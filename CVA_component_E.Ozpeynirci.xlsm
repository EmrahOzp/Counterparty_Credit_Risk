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bruiker\Documents\CQF\Elective_CVA\"/>
    </mc:Choice>
  </mc:AlternateContent>
  <bookViews>
    <workbookView xWindow="0" yWindow="0" windowWidth="24000" windowHeight="10575" tabRatio="814"/>
  </bookViews>
  <sheets>
    <sheet name="BOOTSTRAP PD" sheetId="23" r:id="rId1"/>
    <sheet name="Sheet1" sheetId="24" r:id="rId2"/>
    <sheet name="IRS" sheetId="20" r:id="rId3"/>
    <sheet name="CVA" sheetId="21" r:id="rId4"/>
    <sheet name="webex" sheetId="26" r:id="rId5"/>
    <sheet name="data" sheetId="22" r:id="rId6"/>
    <sheet name="py_input" sheetId="25" r:id="rId7"/>
    <sheet name="Sheet3" sheetId="27" r:id="rId8"/>
  </sheets>
  <definedNames>
    <definedName name="dt" localSheetId="0">'BOOTSTRAP PD'!$B$8</definedName>
    <definedName name="dt">data!$B$13</definedName>
    <definedName name="fix">data!$B$2</definedName>
    <definedName name="N">data!$B$4</definedName>
    <definedName name="RR" localSheetId="0">'BOOTSTRAP PD'!$B$2</definedName>
    <definedName name="RR">#REF!</definedName>
    <definedName name="solver_adj" localSheetId="2" hidden="1">IRS!$B$7</definedName>
    <definedName name="solver_cvg" localSheetId="3" hidden="1">0.0001</definedName>
    <definedName name="solver_cvg" localSheetId="2" hidden="1">0.0001</definedName>
    <definedName name="solver_drv" localSheetId="3" hidden="1">1</definedName>
    <definedName name="solver_drv" localSheetId="2" hidden="1">1</definedName>
    <definedName name="solver_eng" localSheetId="3" hidden="1">1</definedName>
    <definedName name="solver_eng" localSheetId="2" hidden="1">1</definedName>
    <definedName name="solver_est" localSheetId="3" hidden="1">1</definedName>
    <definedName name="solver_est" localSheetId="2" hidden="1">1</definedName>
    <definedName name="solver_itr" localSheetId="3" hidden="1">2147483647</definedName>
    <definedName name="solver_itr" localSheetId="2" hidden="1">2147483647</definedName>
    <definedName name="solver_mip" localSheetId="3" hidden="1">2147483647</definedName>
    <definedName name="solver_mip" localSheetId="2" hidden="1">2147483647</definedName>
    <definedName name="solver_mni" localSheetId="3" hidden="1">30</definedName>
    <definedName name="solver_mni" localSheetId="2" hidden="1">30</definedName>
    <definedName name="solver_mrt" localSheetId="3" hidden="1">0.075</definedName>
    <definedName name="solver_mrt" localSheetId="2" hidden="1">0.075</definedName>
    <definedName name="solver_msl" localSheetId="3" hidden="1">2</definedName>
    <definedName name="solver_msl" localSheetId="2" hidden="1">2</definedName>
    <definedName name="solver_neg" localSheetId="3" hidden="1">1</definedName>
    <definedName name="solver_neg" localSheetId="2" hidden="1">1</definedName>
    <definedName name="solver_nod" localSheetId="3" hidden="1">2147483647</definedName>
    <definedName name="solver_nod" localSheetId="2" hidden="1">2147483647</definedName>
    <definedName name="solver_num" localSheetId="3" hidden="1">0</definedName>
    <definedName name="solver_num" localSheetId="2" hidden="1">0</definedName>
    <definedName name="solver_nwt" localSheetId="3" hidden="1">1</definedName>
    <definedName name="solver_nwt" localSheetId="2" hidden="1">1</definedName>
    <definedName name="solver_opt" localSheetId="3" hidden="1">CVA!$B$9</definedName>
    <definedName name="solver_opt" localSheetId="2" hidden="1">IRS!$A$13</definedName>
    <definedName name="solver_pre" localSheetId="3" hidden="1">0.000001</definedName>
    <definedName name="solver_pre" localSheetId="2" hidden="1">0.000001</definedName>
    <definedName name="solver_rbv" localSheetId="3" hidden="1">1</definedName>
    <definedName name="solver_rbv" localSheetId="2" hidden="1">1</definedName>
    <definedName name="solver_rlx" localSheetId="3" hidden="1">2</definedName>
    <definedName name="solver_rlx" localSheetId="2" hidden="1">2</definedName>
    <definedName name="solver_rsd" localSheetId="3" hidden="1">0</definedName>
    <definedName name="solver_rsd" localSheetId="2" hidden="1">0</definedName>
    <definedName name="solver_scl" localSheetId="3" hidden="1">1</definedName>
    <definedName name="solver_scl" localSheetId="2" hidden="1">1</definedName>
    <definedName name="solver_sho" localSheetId="3" hidden="1">2</definedName>
    <definedName name="solver_sho" localSheetId="2" hidden="1">2</definedName>
    <definedName name="solver_ssz" localSheetId="3" hidden="1">100</definedName>
    <definedName name="solver_ssz" localSheetId="2" hidden="1">100</definedName>
    <definedName name="solver_tim" localSheetId="3" hidden="1">2147483647</definedName>
    <definedName name="solver_tim" localSheetId="2" hidden="1">2147483647</definedName>
    <definedName name="solver_tol" localSheetId="3" hidden="1">0.01</definedName>
    <definedName name="solver_tol" localSheetId="2" hidden="1">0.01</definedName>
    <definedName name="solver_typ" localSheetId="3" hidden="1">3</definedName>
    <definedName name="solver_typ" localSheetId="2" hidden="1">3</definedName>
    <definedName name="solver_val" localSheetId="3" hidden="1">0</definedName>
    <definedName name="solver_val" localSheetId="2" hidden="1">0</definedName>
    <definedName name="solver_ver" localSheetId="3" hidden="1">3</definedName>
    <definedName name="solver_ver" localSheetId="2" hidden="1">3</definedName>
    <definedName name="ST" localSheetId="0">#REF!</definedName>
    <definedName name="ST">#REF!</definedName>
    <definedName name="STRIKEVEC" localSheetId="0">#REF!</definedName>
    <definedName name="STRIKEVEC">#REF!</definedName>
    <definedName name="Swap_FixedLeg">webex!$D$39</definedName>
    <definedName name="Swap_Tau">webex!$H$39</definedName>
    <definedName name="time">data!$B$3</definedName>
    <definedName name="time_step">data!$B$3</definedName>
  </definedNames>
  <calcPr calcId="162913"/>
</workbook>
</file>

<file path=xl/calcChain.xml><?xml version="1.0" encoding="utf-8"?>
<calcChain xmlns="http://schemas.openxmlformats.org/spreadsheetml/2006/main">
  <c r="Z10" i="22" l="1"/>
  <c r="Q31" i="26"/>
  <c r="R31" i="26"/>
  <c r="S31" i="26"/>
  <c r="T31" i="26"/>
  <c r="U31" i="26"/>
  <c r="V31" i="26"/>
  <c r="W31" i="26"/>
  <c r="X31" i="26"/>
  <c r="Y31" i="26"/>
  <c r="P42" i="26"/>
  <c r="P43" i="26"/>
  <c r="R32" i="26"/>
  <c r="S32" i="26"/>
  <c r="T32" i="26"/>
  <c r="U32" i="26"/>
  <c r="V32" i="26"/>
  <c r="W32" i="26"/>
  <c r="X32" i="26"/>
  <c r="Y32" i="26"/>
  <c r="Q42" i="26"/>
  <c r="Q43" i="26"/>
  <c r="P49" i="26"/>
  <c r="P53" i="26"/>
  <c r="S33" i="26"/>
  <c r="T33" i="26"/>
  <c r="U33" i="26"/>
  <c r="V33" i="26"/>
  <c r="W33" i="26"/>
  <c r="X33" i="26"/>
  <c r="Y33" i="26"/>
  <c r="R42" i="26"/>
  <c r="R43" i="26"/>
  <c r="Q49" i="26"/>
  <c r="Q53" i="26"/>
  <c r="T34" i="26"/>
  <c r="U34" i="26"/>
  <c r="V34" i="26"/>
  <c r="W34" i="26"/>
  <c r="X34" i="26"/>
  <c r="Y34" i="26"/>
  <c r="S42" i="26"/>
  <c r="S43" i="26"/>
  <c r="R49" i="26"/>
  <c r="R53" i="26"/>
  <c r="U35" i="26"/>
  <c r="V35" i="26"/>
  <c r="W35" i="26"/>
  <c r="X35" i="26"/>
  <c r="Y35" i="26"/>
  <c r="T42" i="26"/>
  <c r="T43" i="26"/>
  <c r="S49" i="26"/>
  <c r="S53" i="26"/>
  <c r="V36" i="26"/>
  <c r="W36" i="26"/>
  <c r="X36" i="26"/>
  <c r="Y36" i="26"/>
  <c r="U42" i="26"/>
  <c r="U43" i="26"/>
  <c r="T49" i="26"/>
  <c r="T53" i="26"/>
  <c r="W37" i="26"/>
  <c r="X37" i="26"/>
  <c r="Y37" i="26"/>
  <c r="V42" i="26"/>
  <c r="V43" i="26"/>
  <c r="U49" i="26"/>
  <c r="U53" i="26"/>
  <c r="X38" i="26"/>
  <c r="Y38" i="26"/>
  <c r="W42" i="26"/>
  <c r="W43" i="26"/>
  <c r="V49" i="26"/>
  <c r="V53" i="26"/>
  <c r="Y39" i="26"/>
  <c r="X42" i="26"/>
  <c r="X43" i="26"/>
  <c r="W49" i="26"/>
  <c r="W53" i="26"/>
  <c r="X49" i="26"/>
  <c r="X53" i="26"/>
  <c r="P30" i="26"/>
  <c r="Q30" i="26"/>
  <c r="R30" i="26"/>
  <c r="S30" i="26"/>
  <c r="T30" i="26"/>
  <c r="U30" i="26"/>
  <c r="V30" i="26"/>
  <c r="W30" i="26"/>
  <c r="X30" i="26"/>
  <c r="Y30" i="26"/>
  <c r="O42" i="26"/>
  <c r="O43" i="26"/>
  <c r="O49" i="26"/>
  <c r="O53" i="26"/>
  <c r="P51" i="26"/>
  <c r="Q51" i="26"/>
  <c r="R51" i="26"/>
  <c r="S51" i="26"/>
  <c r="T51" i="26"/>
  <c r="U51" i="26"/>
  <c r="V51" i="26"/>
  <c r="W51" i="26"/>
  <c r="X51" i="26"/>
  <c r="O51" i="26"/>
  <c r="P50" i="26"/>
  <c r="Q50" i="26"/>
  <c r="R50" i="26"/>
  <c r="S50" i="26"/>
  <c r="T50" i="26"/>
  <c r="U50" i="26"/>
  <c r="V50" i="26"/>
  <c r="W50" i="26"/>
  <c r="X50" i="26"/>
  <c r="O50" i="26"/>
  <c r="O52" i="26"/>
  <c r="P52" i="26"/>
  <c r="Q52" i="26"/>
  <c r="R52" i="26"/>
  <c r="S52" i="26"/>
  <c r="T52" i="26"/>
  <c r="U52" i="26"/>
  <c r="V52" i="26"/>
  <c r="W52" i="26"/>
  <c r="X52" i="26"/>
  <c r="O55" i="26"/>
  <c r="C51" i="26"/>
  <c r="D51" i="26"/>
  <c r="E51" i="26"/>
  <c r="F51" i="26"/>
  <c r="G51" i="26"/>
  <c r="H51" i="26"/>
  <c r="I51" i="26"/>
  <c r="J51" i="26"/>
  <c r="K51" i="26"/>
  <c r="B51" i="26"/>
  <c r="C50" i="26"/>
  <c r="D50" i="26"/>
  <c r="E50" i="26"/>
  <c r="F50" i="26"/>
  <c r="G50" i="26"/>
  <c r="H50" i="26"/>
  <c r="I50" i="26"/>
  <c r="J50" i="26"/>
  <c r="K50" i="26"/>
  <c r="B50" i="26"/>
  <c r="L39" i="26"/>
  <c r="K42" i="26"/>
  <c r="K43" i="26"/>
  <c r="K49" i="26"/>
  <c r="K38" i="26"/>
  <c r="L38" i="26"/>
  <c r="J42" i="26"/>
  <c r="J43" i="26"/>
  <c r="J49" i="26"/>
  <c r="J37" i="26"/>
  <c r="K37" i="26"/>
  <c r="L37" i="26"/>
  <c r="I42" i="26"/>
  <c r="I43" i="26"/>
  <c r="I49" i="26"/>
  <c r="I36" i="26"/>
  <c r="J36" i="26"/>
  <c r="K36" i="26"/>
  <c r="L36" i="26"/>
  <c r="H42" i="26"/>
  <c r="H43" i="26"/>
  <c r="H49" i="26"/>
  <c r="H35" i="26"/>
  <c r="I35" i="26"/>
  <c r="J35" i="26"/>
  <c r="K35" i="26"/>
  <c r="L35" i="26"/>
  <c r="G42" i="26"/>
  <c r="G43" i="26"/>
  <c r="G49" i="26"/>
  <c r="G34" i="26"/>
  <c r="H34" i="26"/>
  <c r="I34" i="26"/>
  <c r="J34" i="26"/>
  <c r="K34" i="26"/>
  <c r="L34" i="26"/>
  <c r="F42" i="26"/>
  <c r="F43" i="26"/>
  <c r="F49" i="26"/>
  <c r="F33" i="26"/>
  <c r="G33" i="26"/>
  <c r="H33" i="26"/>
  <c r="I33" i="26"/>
  <c r="J33" i="26"/>
  <c r="K33" i="26"/>
  <c r="L33" i="26"/>
  <c r="E42" i="26"/>
  <c r="E43" i="26"/>
  <c r="E49" i="26"/>
  <c r="E32" i="26"/>
  <c r="F32" i="26"/>
  <c r="G32" i="26"/>
  <c r="H32" i="26"/>
  <c r="I32" i="26"/>
  <c r="J32" i="26"/>
  <c r="K32" i="26"/>
  <c r="L32" i="26"/>
  <c r="D42" i="26"/>
  <c r="D43" i="26"/>
  <c r="D49" i="26"/>
  <c r="D31" i="26"/>
  <c r="E31" i="26"/>
  <c r="F31" i="26"/>
  <c r="G31" i="26"/>
  <c r="H31" i="26"/>
  <c r="I31" i="26"/>
  <c r="J31" i="26"/>
  <c r="K31" i="26"/>
  <c r="L31" i="26"/>
  <c r="C42" i="26"/>
  <c r="C43" i="26"/>
  <c r="C49" i="26"/>
  <c r="C30" i="26"/>
  <c r="D30" i="26"/>
  <c r="E30" i="26"/>
  <c r="F30" i="26"/>
  <c r="G30" i="26"/>
  <c r="H30" i="26"/>
  <c r="I30" i="26"/>
  <c r="J30" i="26"/>
  <c r="K30" i="26"/>
  <c r="L30" i="26"/>
  <c r="B42" i="26"/>
  <c r="B43" i="26"/>
  <c r="B49" i="26"/>
  <c r="B52" i="26"/>
  <c r="B53" i="26"/>
  <c r="C53" i="26"/>
  <c r="D53" i="26"/>
  <c r="E53" i="26"/>
  <c r="F53" i="26"/>
  <c r="G53" i="26"/>
  <c r="H53" i="26"/>
  <c r="I53" i="26"/>
  <c r="J53" i="26"/>
  <c r="K53" i="26"/>
  <c r="B55" i="26"/>
  <c r="K52" i="26"/>
  <c r="J52" i="26"/>
  <c r="I52" i="26"/>
  <c r="H52" i="26"/>
  <c r="G52" i="26"/>
  <c r="F52" i="26"/>
  <c r="E52" i="26"/>
  <c r="D52" i="26"/>
  <c r="C52" i="26"/>
  <c r="Y43" i="26"/>
  <c r="K8" i="26"/>
  <c r="J8" i="26"/>
  <c r="I8" i="26"/>
  <c r="H8" i="26"/>
  <c r="G8" i="26"/>
  <c r="F8" i="26"/>
  <c r="E8" i="26"/>
  <c r="L8" i="26"/>
  <c r="D8" i="26"/>
  <c r="C8" i="26"/>
  <c r="M16" i="26"/>
  <c r="M17" i="26"/>
  <c r="M18" i="26"/>
  <c r="M19" i="26"/>
  <c r="M20" i="26"/>
  <c r="M21" i="26"/>
  <c r="M15" i="26"/>
  <c r="M14" i="26"/>
  <c r="M13" i="26"/>
  <c r="M12" i="26"/>
  <c r="L43" i="26"/>
  <c r="A39" i="26"/>
  <c r="A38" i="26"/>
  <c r="A37" i="26"/>
  <c r="A36" i="26"/>
  <c r="A35" i="26"/>
  <c r="A34" i="26"/>
  <c r="A33" i="26"/>
  <c r="A32" i="26"/>
  <c r="A31" i="26"/>
  <c r="A30" i="26"/>
  <c r="D19" i="26"/>
  <c r="D18" i="26"/>
  <c r="E18" i="26"/>
  <c r="D17" i="26"/>
  <c r="E17" i="26"/>
  <c r="F17" i="26"/>
  <c r="D16" i="26"/>
  <c r="E16" i="26"/>
  <c r="F16" i="26"/>
  <c r="G16" i="26"/>
  <c r="D15" i="26"/>
  <c r="E15" i="26"/>
  <c r="F15" i="26"/>
  <c r="G15" i="26"/>
  <c r="H15" i="26"/>
  <c r="D14" i="26"/>
  <c r="E14" i="26"/>
  <c r="F14" i="26"/>
  <c r="G14" i="26"/>
  <c r="H14" i="26"/>
  <c r="I14" i="26"/>
  <c r="C21" i="26"/>
  <c r="C20" i="26"/>
  <c r="C19" i="26"/>
  <c r="C18" i="26"/>
  <c r="C17" i="26"/>
  <c r="C16" i="26"/>
  <c r="C15" i="26"/>
  <c r="C14" i="26"/>
  <c r="D13" i="26"/>
  <c r="E13" i="26"/>
  <c r="F13" i="26"/>
  <c r="G13" i="26"/>
  <c r="H13" i="26"/>
  <c r="I13" i="26"/>
  <c r="J13" i="26"/>
  <c r="C13" i="26"/>
  <c r="D12" i="26"/>
  <c r="E12" i="26"/>
  <c r="F12" i="26"/>
  <c r="G12" i="26"/>
  <c r="H12" i="26"/>
  <c r="I12" i="26"/>
  <c r="J12" i="26"/>
  <c r="K12" i="26"/>
  <c r="C12" i="26"/>
  <c r="D11" i="26"/>
  <c r="E11" i="26"/>
  <c r="F11" i="26"/>
  <c r="G11" i="26"/>
  <c r="H11" i="26"/>
  <c r="I11" i="26"/>
  <c r="J11" i="26"/>
  <c r="K11" i="26"/>
  <c r="L11" i="26"/>
  <c r="C11" i="26"/>
  <c r="L7" i="26"/>
  <c r="F7" i="26"/>
  <c r="G7" i="26"/>
  <c r="H7" i="26"/>
  <c r="I7" i="26"/>
  <c r="J7" i="26"/>
  <c r="K7" i="26"/>
  <c r="E7" i="26"/>
  <c r="D7" i="26"/>
  <c r="C7" i="26"/>
  <c r="L6" i="26"/>
  <c r="K6" i="26"/>
  <c r="J6" i="26"/>
  <c r="I6" i="26"/>
  <c r="H6" i="26"/>
  <c r="G6" i="26"/>
  <c r="F6" i="26"/>
  <c r="E6" i="26"/>
  <c r="D6" i="26"/>
  <c r="C6" i="26"/>
  <c r="H9" i="23"/>
  <c r="B1" i="25"/>
  <c r="D1" i="25"/>
  <c r="E1" i="25"/>
  <c r="F1" i="25"/>
  <c r="B2" i="25"/>
  <c r="C2" i="25"/>
  <c r="D2" i="25"/>
  <c r="E2" i="25"/>
  <c r="F2" i="25"/>
  <c r="B3" i="25"/>
  <c r="C3" i="25"/>
  <c r="D3" i="25"/>
  <c r="E3" i="25"/>
  <c r="F3" i="25"/>
  <c r="B4" i="25"/>
  <c r="C4" i="25"/>
  <c r="F4" i="25"/>
  <c r="B5" i="25"/>
  <c r="C5" i="25"/>
  <c r="B6" i="25"/>
  <c r="C6" i="25"/>
  <c r="B7" i="25"/>
  <c r="C7" i="25"/>
  <c r="B8" i="25"/>
  <c r="C8" i="25"/>
  <c r="B9" i="25"/>
  <c r="C9" i="25"/>
  <c r="B10" i="25"/>
  <c r="C10" i="25"/>
  <c r="B11" i="25"/>
  <c r="C11" i="25"/>
  <c r="B12" i="25"/>
  <c r="C12" i="25"/>
  <c r="A2" i="25"/>
  <c r="A3" i="25"/>
  <c r="A4" i="25"/>
  <c r="A5" i="25"/>
  <c r="A6" i="25"/>
  <c r="A7" i="25"/>
  <c r="A8" i="25"/>
  <c r="A9" i="25"/>
  <c r="A10" i="25"/>
  <c r="A11" i="25"/>
  <c r="A12" i="25"/>
  <c r="A1" i="25"/>
  <c r="W410" i="22"/>
  <c r="W411" i="22"/>
  <c r="W412" i="22"/>
  <c r="W413" i="22"/>
  <c r="W414" i="22"/>
  <c r="W415" i="22"/>
  <c r="W416" i="22"/>
  <c r="W417" i="22"/>
  <c r="W418" i="22"/>
  <c r="W419" i="22"/>
  <c r="W420" i="22"/>
  <c r="W421" i="22"/>
  <c r="W422" i="22"/>
  <c r="W423" i="22"/>
  <c r="W424" i="22"/>
  <c r="W425" i="22"/>
  <c r="W426" i="22"/>
  <c r="W427" i="22"/>
  <c r="W428" i="22"/>
  <c r="W429" i="22"/>
  <c r="W430" i="22"/>
  <c r="W431" i="22"/>
  <c r="W432" i="22"/>
  <c r="W433" i="22"/>
  <c r="W434" i="22"/>
  <c r="W435" i="22"/>
  <c r="W436" i="22"/>
  <c r="W437" i="22"/>
  <c r="W438" i="22"/>
  <c r="W439" i="22"/>
  <c r="W440" i="22"/>
  <c r="W441" i="22"/>
  <c r="W442" i="22"/>
  <c r="W443" i="22"/>
  <c r="W444" i="22"/>
  <c r="W445" i="22"/>
  <c r="W446" i="22"/>
  <c r="W447" i="22"/>
  <c r="W448" i="22"/>
  <c r="W449" i="22"/>
  <c r="W450" i="22"/>
  <c r="W451" i="22"/>
  <c r="W452" i="22"/>
  <c r="W453" i="22"/>
  <c r="W454" i="22"/>
  <c r="W455" i="22"/>
  <c r="W456" i="22"/>
  <c r="W457" i="22"/>
  <c r="W458" i="22"/>
  <c r="W459" i="22"/>
  <c r="W460" i="22"/>
  <c r="W461" i="22"/>
  <c r="W462" i="22"/>
  <c r="W463" i="22"/>
  <c r="W464" i="22"/>
  <c r="W465" i="22"/>
  <c r="W466" i="22"/>
  <c r="W467" i="22"/>
  <c r="W468" i="22"/>
  <c r="W469" i="22"/>
  <c r="W470" i="22"/>
  <c r="W471" i="22"/>
  <c r="W472" i="22"/>
  <c r="W473" i="22"/>
  <c r="W474" i="22"/>
  <c r="W475" i="22"/>
  <c r="W476" i="22"/>
  <c r="W477" i="22"/>
  <c r="W478" i="22"/>
  <c r="W479" i="22"/>
  <c r="W480" i="22"/>
  <c r="W481" i="22"/>
  <c r="W482" i="22"/>
  <c r="W483" i="22"/>
  <c r="W484" i="22"/>
  <c r="W485" i="22"/>
  <c r="W486" i="22"/>
  <c r="W487" i="22"/>
  <c r="W488" i="22"/>
  <c r="W489" i="22"/>
  <c r="W490" i="22"/>
  <c r="W491" i="22"/>
  <c r="W492" i="22"/>
  <c r="W493" i="22"/>
  <c r="W494" i="22"/>
  <c r="W495" i="22"/>
  <c r="W496" i="22"/>
  <c r="W497" i="22"/>
  <c r="W498" i="22"/>
  <c r="W499" i="22"/>
  <c r="W500" i="22"/>
  <c r="W501" i="22"/>
  <c r="W502" i="22"/>
  <c r="W503" i="22"/>
  <c r="W504" i="22"/>
  <c r="W505" i="22"/>
  <c r="W506" i="22"/>
  <c r="W507" i="22"/>
  <c r="W508" i="22"/>
  <c r="W409" i="22"/>
  <c r="W360" i="22"/>
  <c r="W361" i="22"/>
  <c r="W362" i="22"/>
  <c r="W363" i="22"/>
  <c r="W364" i="22"/>
  <c r="W365" i="22"/>
  <c r="W366" i="22"/>
  <c r="W367" i="22"/>
  <c r="W368" i="22"/>
  <c r="W369" i="22"/>
  <c r="W370" i="22"/>
  <c r="W371" i="22"/>
  <c r="W372" i="22"/>
  <c r="W373" i="22"/>
  <c r="W374" i="22"/>
  <c r="W375" i="22"/>
  <c r="W376" i="22"/>
  <c r="W377" i="22"/>
  <c r="W378" i="22"/>
  <c r="W379" i="22"/>
  <c r="W380" i="22"/>
  <c r="W381" i="22"/>
  <c r="W382" i="22"/>
  <c r="W383" i="22"/>
  <c r="W384" i="22"/>
  <c r="W385" i="22"/>
  <c r="W386" i="22"/>
  <c r="W387" i="22"/>
  <c r="W388" i="22"/>
  <c r="W389" i="22"/>
  <c r="W390" i="22"/>
  <c r="W391" i="22"/>
  <c r="W392" i="22"/>
  <c r="W393" i="22"/>
  <c r="W394" i="22"/>
  <c r="W395" i="22"/>
  <c r="W396" i="22"/>
  <c r="W397" i="22"/>
  <c r="W398" i="22"/>
  <c r="W399" i="22"/>
  <c r="W400" i="22"/>
  <c r="W401" i="22"/>
  <c r="W402" i="22"/>
  <c r="W403" i="22"/>
  <c r="W404" i="22"/>
  <c r="W405" i="22"/>
  <c r="W406" i="22"/>
  <c r="W407" i="22"/>
  <c r="W408" i="22"/>
  <c r="W359" i="22"/>
  <c r="W310" i="22"/>
  <c r="W311" i="22"/>
  <c r="W312" i="22"/>
  <c r="W313" i="22"/>
  <c r="W314" i="22"/>
  <c r="W315" i="22"/>
  <c r="W316" i="22"/>
  <c r="W317" i="22"/>
  <c r="W318" i="22"/>
  <c r="W319" i="22"/>
  <c r="W320" i="22"/>
  <c r="W321" i="22"/>
  <c r="W322" i="22"/>
  <c r="W323" i="22"/>
  <c r="W324" i="22"/>
  <c r="W325" i="22"/>
  <c r="W326" i="22"/>
  <c r="W327" i="22"/>
  <c r="W328" i="22"/>
  <c r="W329" i="22"/>
  <c r="W330" i="22"/>
  <c r="W331" i="22"/>
  <c r="W332" i="22"/>
  <c r="W333" i="22"/>
  <c r="W334" i="22"/>
  <c r="W335" i="22"/>
  <c r="W336" i="22"/>
  <c r="W337" i="22"/>
  <c r="W338" i="22"/>
  <c r="W339" i="22"/>
  <c r="W340" i="22"/>
  <c r="W341" i="22"/>
  <c r="W342" i="22"/>
  <c r="W343" i="22"/>
  <c r="W344" i="22"/>
  <c r="W345" i="22"/>
  <c r="W346" i="22"/>
  <c r="W347" i="22"/>
  <c r="W348" i="22"/>
  <c r="W349" i="22"/>
  <c r="W350" i="22"/>
  <c r="W351" i="22"/>
  <c r="W352" i="22"/>
  <c r="W353" i="22"/>
  <c r="W354" i="22"/>
  <c r="W355" i="22"/>
  <c r="W356" i="22"/>
  <c r="W357" i="22"/>
  <c r="W358" i="22"/>
  <c r="W309" i="22"/>
  <c r="W260" i="22"/>
  <c r="W261" i="22"/>
  <c r="W262" i="22"/>
  <c r="W263" i="22"/>
  <c r="W264" i="22"/>
  <c r="W265" i="22"/>
  <c r="W266" i="22"/>
  <c r="W267" i="22"/>
  <c r="W268" i="22"/>
  <c r="W269" i="22"/>
  <c r="W270" i="22"/>
  <c r="W271" i="22"/>
  <c r="W272" i="22"/>
  <c r="W273" i="22"/>
  <c r="W274" i="22"/>
  <c r="W275" i="22"/>
  <c r="W276" i="22"/>
  <c r="W277" i="22"/>
  <c r="W278" i="22"/>
  <c r="W279" i="22"/>
  <c r="W280" i="22"/>
  <c r="W281" i="22"/>
  <c r="W282" i="22"/>
  <c r="W283" i="22"/>
  <c r="W284" i="22"/>
  <c r="W285" i="22"/>
  <c r="W286" i="22"/>
  <c r="W287" i="22"/>
  <c r="W288" i="22"/>
  <c r="W289" i="22"/>
  <c r="W290" i="22"/>
  <c r="W291" i="22"/>
  <c r="W292" i="22"/>
  <c r="W293" i="22"/>
  <c r="W294" i="22"/>
  <c r="W295" i="22"/>
  <c r="W296" i="22"/>
  <c r="W297" i="22"/>
  <c r="W298" i="22"/>
  <c r="W299" i="22"/>
  <c r="W300" i="22"/>
  <c r="W301" i="22"/>
  <c r="W302" i="22"/>
  <c r="W303" i="22"/>
  <c r="W304" i="22"/>
  <c r="W305" i="22"/>
  <c r="W306" i="22"/>
  <c r="W307" i="22"/>
  <c r="W308" i="22"/>
  <c r="W259" i="22"/>
  <c r="W210" i="22"/>
  <c r="W211" i="22"/>
  <c r="W212" i="22"/>
  <c r="W213" i="22"/>
  <c r="W214" i="22"/>
  <c r="W215" i="22"/>
  <c r="W216" i="22"/>
  <c r="W217" i="22"/>
  <c r="W218" i="22"/>
  <c r="W219" i="22"/>
  <c r="W220" i="22"/>
  <c r="W221" i="22"/>
  <c r="W222" i="22"/>
  <c r="W223" i="22"/>
  <c r="W224" i="22"/>
  <c r="W225" i="22"/>
  <c r="W226" i="22"/>
  <c r="W227" i="22"/>
  <c r="W228" i="22"/>
  <c r="W229" i="22"/>
  <c r="W230" i="22"/>
  <c r="W231" i="22"/>
  <c r="W232" i="22"/>
  <c r="W233" i="22"/>
  <c r="W234" i="22"/>
  <c r="W235" i="22"/>
  <c r="W236" i="22"/>
  <c r="W237" i="22"/>
  <c r="W238" i="22"/>
  <c r="W239" i="22"/>
  <c r="W240" i="22"/>
  <c r="W241" i="22"/>
  <c r="W242" i="22"/>
  <c r="W243" i="22"/>
  <c r="W244" i="22"/>
  <c r="W245" i="22"/>
  <c r="W246" i="22"/>
  <c r="W247" i="22"/>
  <c r="W248" i="22"/>
  <c r="W249" i="22"/>
  <c r="W250" i="22"/>
  <c r="W251" i="22"/>
  <c r="W252" i="22"/>
  <c r="W253" i="22"/>
  <c r="W254" i="22"/>
  <c r="W255" i="22"/>
  <c r="W256" i="22"/>
  <c r="W257" i="22"/>
  <c r="W258" i="22"/>
  <c r="W209" i="22"/>
  <c r="W160" i="22"/>
  <c r="W161" i="22"/>
  <c r="W162" i="22"/>
  <c r="W163" i="22"/>
  <c r="W164" i="22"/>
  <c r="W165" i="22"/>
  <c r="W166" i="22"/>
  <c r="W167" i="22"/>
  <c r="W168" i="22"/>
  <c r="W169" i="22"/>
  <c r="W170" i="22"/>
  <c r="W171" i="22"/>
  <c r="W172" i="22"/>
  <c r="W173" i="22"/>
  <c r="W174" i="22"/>
  <c r="W175" i="22"/>
  <c r="W176" i="22"/>
  <c r="W177" i="22"/>
  <c r="W178" i="22"/>
  <c r="W179" i="22"/>
  <c r="W180" i="22"/>
  <c r="W181" i="22"/>
  <c r="W182" i="22"/>
  <c r="W183" i="22"/>
  <c r="W184" i="22"/>
  <c r="W185" i="22"/>
  <c r="W186" i="22"/>
  <c r="W187" i="22"/>
  <c r="W188" i="22"/>
  <c r="W189" i="22"/>
  <c r="W190" i="22"/>
  <c r="W191" i="22"/>
  <c r="W192" i="22"/>
  <c r="W193" i="22"/>
  <c r="W194" i="22"/>
  <c r="W195" i="22"/>
  <c r="W196" i="22"/>
  <c r="W197" i="22"/>
  <c r="W198" i="22"/>
  <c r="W199" i="22"/>
  <c r="W200" i="22"/>
  <c r="W201" i="22"/>
  <c r="W202" i="22"/>
  <c r="W203" i="22"/>
  <c r="W204" i="22"/>
  <c r="W205" i="22"/>
  <c r="W206" i="22"/>
  <c r="W207" i="22"/>
  <c r="W208" i="22"/>
  <c r="W159" i="22"/>
  <c r="W110" i="22"/>
  <c r="W111" i="22"/>
  <c r="W112" i="22"/>
  <c r="W113" i="22"/>
  <c r="W114" i="22"/>
  <c r="W115" i="22"/>
  <c r="W116" i="22"/>
  <c r="W117" i="22"/>
  <c r="W118" i="22"/>
  <c r="W119" i="22"/>
  <c r="W120" i="22"/>
  <c r="W121" i="22"/>
  <c r="W122" i="22"/>
  <c r="W123" i="22"/>
  <c r="W124" i="22"/>
  <c r="W125" i="22"/>
  <c r="W126" i="22"/>
  <c r="W127" i="22"/>
  <c r="W128" i="22"/>
  <c r="W129" i="22"/>
  <c r="W130" i="22"/>
  <c r="W131" i="22"/>
  <c r="W132" i="22"/>
  <c r="W133" i="22"/>
  <c r="W134" i="22"/>
  <c r="W135" i="22"/>
  <c r="W136" i="22"/>
  <c r="W137" i="22"/>
  <c r="W138" i="22"/>
  <c r="W139" i="22"/>
  <c r="W140" i="22"/>
  <c r="W141" i="22"/>
  <c r="W142" i="22"/>
  <c r="W143" i="22"/>
  <c r="W144" i="22"/>
  <c r="W145" i="22"/>
  <c r="W146" i="22"/>
  <c r="W147" i="22"/>
  <c r="W148" i="22"/>
  <c r="W149" i="22"/>
  <c r="W150" i="22"/>
  <c r="W151" i="22"/>
  <c r="W152" i="22"/>
  <c r="W153" i="22"/>
  <c r="W154" i="22"/>
  <c r="W155" i="22"/>
  <c r="W156" i="22"/>
  <c r="W157" i="22"/>
  <c r="W158" i="22"/>
  <c r="W109" i="22"/>
  <c r="W60" i="22"/>
  <c r="W61" i="22"/>
  <c r="W62" i="22"/>
  <c r="W63" i="22"/>
  <c r="W64" i="22"/>
  <c r="W65" i="22"/>
  <c r="W66" i="22"/>
  <c r="W67" i="22"/>
  <c r="W68" i="22"/>
  <c r="W69" i="22"/>
  <c r="W70" i="22"/>
  <c r="W71" i="22"/>
  <c r="W72" i="22"/>
  <c r="W73" i="22"/>
  <c r="W74" i="22"/>
  <c r="W75" i="22"/>
  <c r="W76" i="22"/>
  <c r="W77" i="22"/>
  <c r="W78" i="22"/>
  <c r="W79" i="22"/>
  <c r="W80" i="22"/>
  <c r="W81" i="22"/>
  <c r="W82" i="22"/>
  <c r="W83" i="22"/>
  <c r="W84" i="22"/>
  <c r="W85" i="22"/>
  <c r="W86" i="22"/>
  <c r="W87" i="22"/>
  <c r="W88" i="22"/>
  <c r="W89" i="22"/>
  <c r="W90" i="22"/>
  <c r="W91" i="22"/>
  <c r="W92" i="22"/>
  <c r="W93" i="22"/>
  <c r="W94" i="22"/>
  <c r="W95" i="22"/>
  <c r="W96" i="22"/>
  <c r="W97" i="22"/>
  <c r="W98" i="22"/>
  <c r="W99" i="22"/>
  <c r="W100" i="22"/>
  <c r="W101" i="22"/>
  <c r="W102" i="22"/>
  <c r="W103" i="22"/>
  <c r="W104" i="22"/>
  <c r="W105" i="22"/>
  <c r="W106" i="22"/>
  <c r="W107" i="22"/>
  <c r="W108" i="22"/>
  <c r="W59" i="22"/>
  <c r="V360" i="22"/>
  <c r="V361" i="22"/>
  <c r="V362" i="22"/>
  <c r="V363" i="22"/>
  <c r="V364" i="22"/>
  <c r="V365" i="22"/>
  <c r="V366" i="22"/>
  <c r="V367" i="22"/>
  <c r="V368" i="22"/>
  <c r="V369" i="22"/>
  <c r="V370" i="22"/>
  <c r="V371" i="22"/>
  <c r="V372" i="22"/>
  <c r="V373" i="22"/>
  <c r="V374" i="22"/>
  <c r="V375" i="22"/>
  <c r="V376" i="22"/>
  <c r="V377" i="22"/>
  <c r="V378" i="22"/>
  <c r="V379" i="22"/>
  <c r="V380" i="22"/>
  <c r="V381" i="22"/>
  <c r="V382" i="22"/>
  <c r="V383" i="22"/>
  <c r="V384" i="22"/>
  <c r="V385" i="22"/>
  <c r="V386" i="22"/>
  <c r="V387" i="22"/>
  <c r="V388" i="22"/>
  <c r="V389" i="22"/>
  <c r="V390" i="22"/>
  <c r="V391" i="22"/>
  <c r="V392" i="22"/>
  <c r="V393" i="22"/>
  <c r="V394" i="22"/>
  <c r="V395" i="22"/>
  <c r="V396" i="22"/>
  <c r="V397" i="22"/>
  <c r="V398" i="22"/>
  <c r="V399" i="22"/>
  <c r="V400" i="22"/>
  <c r="V401" i="22"/>
  <c r="V402" i="22"/>
  <c r="V403" i="22"/>
  <c r="V404" i="22"/>
  <c r="V405" i="22"/>
  <c r="V406" i="22"/>
  <c r="V407" i="22"/>
  <c r="V408" i="22"/>
  <c r="V409" i="22"/>
  <c r="V410" i="22"/>
  <c r="V411" i="22"/>
  <c r="V412" i="22"/>
  <c r="V413" i="22"/>
  <c r="V414" i="22"/>
  <c r="V415" i="22"/>
  <c r="V416" i="22"/>
  <c r="V417" i="22"/>
  <c r="V418" i="22"/>
  <c r="V419" i="22"/>
  <c r="V420" i="22"/>
  <c r="V421" i="22"/>
  <c r="V422" i="22"/>
  <c r="V423" i="22"/>
  <c r="V424" i="22"/>
  <c r="V425" i="22"/>
  <c r="V426" i="22"/>
  <c r="V427" i="22"/>
  <c r="V428" i="22"/>
  <c r="V429" i="22"/>
  <c r="V430" i="22"/>
  <c r="V431" i="22"/>
  <c r="V432" i="22"/>
  <c r="V433" i="22"/>
  <c r="V434" i="22"/>
  <c r="V435" i="22"/>
  <c r="V436" i="22"/>
  <c r="V437" i="22"/>
  <c r="V438" i="22"/>
  <c r="V439" i="22"/>
  <c r="V440" i="22"/>
  <c r="V441" i="22"/>
  <c r="V442" i="22"/>
  <c r="V443" i="22"/>
  <c r="V444" i="22"/>
  <c r="V445" i="22"/>
  <c r="V446" i="22"/>
  <c r="V447" i="22"/>
  <c r="V448" i="22"/>
  <c r="V449" i="22"/>
  <c r="V450" i="22"/>
  <c r="V451" i="22"/>
  <c r="V452" i="22"/>
  <c r="V453" i="22"/>
  <c r="V454" i="22"/>
  <c r="V455" i="22"/>
  <c r="V456" i="22"/>
  <c r="V457" i="22"/>
  <c r="V458" i="22"/>
  <c r="V359" i="22"/>
  <c r="V310" i="22"/>
  <c r="V311" i="22"/>
  <c r="V312" i="22"/>
  <c r="V313" i="22"/>
  <c r="V314" i="22"/>
  <c r="V315" i="22"/>
  <c r="V316" i="22"/>
  <c r="V317" i="22"/>
  <c r="V318" i="22"/>
  <c r="V319" i="22"/>
  <c r="V320" i="22"/>
  <c r="V321" i="22"/>
  <c r="V322" i="22"/>
  <c r="V323" i="22"/>
  <c r="V324" i="22"/>
  <c r="V325" i="22"/>
  <c r="V326" i="22"/>
  <c r="V327" i="22"/>
  <c r="V328" i="22"/>
  <c r="V329" i="22"/>
  <c r="V330" i="22"/>
  <c r="V331" i="22"/>
  <c r="V332" i="22"/>
  <c r="V333" i="22"/>
  <c r="V334" i="22"/>
  <c r="V335" i="22"/>
  <c r="V336" i="22"/>
  <c r="V337" i="22"/>
  <c r="V338" i="22"/>
  <c r="V339" i="22"/>
  <c r="V340" i="22"/>
  <c r="V341" i="22"/>
  <c r="V342" i="22"/>
  <c r="V343" i="22"/>
  <c r="V344" i="22"/>
  <c r="V345" i="22"/>
  <c r="V346" i="22"/>
  <c r="V347" i="22"/>
  <c r="V348" i="22"/>
  <c r="V349" i="22"/>
  <c r="V350" i="22"/>
  <c r="V351" i="22"/>
  <c r="V352" i="22"/>
  <c r="V353" i="22"/>
  <c r="V354" i="22"/>
  <c r="V355" i="22"/>
  <c r="V356" i="22"/>
  <c r="V357" i="22"/>
  <c r="V358" i="22"/>
  <c r="V309" i="22"/>
  <c r="V260" i="22"/>
  <c r="V261" i="22"/>
  <c r="V262" i="22"/>
  <c r="V263" i="22"/>
  <c r="V264" i="22"/>
  <c r="V265" i="22"/>
  <c r="V266" i="22"/>
  <c r="V267" i="22"/>
  <c r="V268" i="22"/>
  <c r="V269" i="22"/>
  <c r="V270" i="22"/>
  <c r="V271" i="22"/>
  <c r="V272" i="22"/>
  <c r="V273" i="22"/>
  <c r="V274" i="22"/>
  <c r="V275" i="22"/>
  <c r="V276" i="22"/>
  <c r="V277" i="22"/>
  <c r="V278" i="22"/>
  <c r="V279" i="22"/>
  <c r="V280" i="22"/>
  <c r="V281" i="22"/>
  <c r="V282" i="22"/>
  <c r="V283" i="22"/>
  <c r="V284" i="22"/>
  <c r="V285" i="22"/>
  <c r="V286" i="22"/>
  <c r="V287" i="22"/>
  <c r="V288" i="22"/>
  <c r="V289" i="22"/>
  <c r="V290" i="22"/>
  <c r="V291" i="22"/>
  <c r="V292" i="22"/>
  <c r="V293" i="22"/>
  <c r="V294" i="22"/>
  <c r="V295" i="22"/>
  <c r="V296" i="22"/>
  <c r="V297" i="22"/>
  <c r="V298" i="22"/>
  <c r="V299" i="22"/>
  <c r="V300" i="22"/>
  <c r="V301" i="22"/>
  <c r="V302" i="22"/>
  <c r="V303" i="22"/>
  <c r="V304" i="22"/>
  <c r="V305" i="22"/>
  <c r="V306" i="22"/>
  <c r="V307" i="22"/>
  <c r="V308" i="22"/>
  <c r="V259" i="22"/>
  <c r="V210" i="22"/>
  <c r="V211" i="22"/>
  <c r="V212" i="22"/>
  <c r="V213" i="22"/>
  <c r="V214" i="22"/>
  <c r="V215" i="22"/>
  <c r="V216" i="22"/>
  <c r="V217" i="22"/>
  <c r="V218" i="22"/>
  <c r="V219" i="22"/>
  <c r="V220" i="22"/>
  <c r="V221" i="22"/>
  <c r="V222" i="22"/>
  <c r="V223" i="22"/>
  <c r="V224" i="22"/>
  <c r="V225" i="22"/>
  <c r="V226" i="22"/>
  <c r="V227" i="22"/>
  <c r="V228" i="22"/>
  <c r="V229" i="22"/>
  <c r="V230" i="22"/>
  <c r="V231" i="22"/>
  <c r="V232" i="22"/>
  <c r="V233" i="22"/>
  <c r="V234" i="22"/>
  <c r="V235" i="22"/>
  <c r="V236" i="22"/>
  <c r="V237" i="22"/>
  <c r="V238" i="22"/>
  <c r="V239" i="22"/>
  <c r="V240" i="22"/>
  <c r="V241" i="22"/>
  <c r="V242" i="22"/>
  <c r="V243" i="22"/>
  <c r="V244" i="22"/>
  <c r="V245" i="22"/>
  <c r="V246" i="22"/>
  <c r="V247" i="22"/>
  <c r="V248" i="22"/>
  <c r="V249" i="22"/>
  <c r="V250" i="22"/>
  <c r="V251" i="22"/>
  <c r="V252" i="22"/>
  <c r="V253" i="22"/>
  <c r="V254" i="22"/>
  <c r="V255" i="22"/>
  <c r="V256" i="22"/>
  <c r="V257" i="22"/>
  <c r="V258" i="22"/>
  <c r="V209" i="22"/>
  <c r="V160" i="22"/>
  <c r="V161" i="22"/>
  <c r="V162" i="22"/>
  <c r="V163" i="22"/>
  <c r="V164" i="22"/>
  <c r="V165" i="22"/>
  <c r="V166" i="22"/>
  <c r="V167" i="22"/>
  <c r="V168" i="22"/>
  <c r="V169" i="22"/>
  <c r="V170" i="22"/>
  <c r="V171" i="22"/>
  <c r="V172" i="22"/>
  <c r="V173" i="22"/>
  <c r="V174" i="22"/>
  <c r="V175" i="22"/>
  <c r="V176" i="22"/>
  <c r="V177" i="22"/>
  <c r="V178" i="22"/>
  <c r="V179" i="22"/>
  <c r="V180" i="22"/>
  <c r="V181" i="22"/>
  <c r="V182" i="22"/>
  <c r="V183" i="22"/>
  <c r="V184" i="22"/>
  <c r="V185" i="22"/>
  <c r="V186" i="22"/>
  <c r="V187" i="22"/>
  <c r="V188" i="22"/>
  <c r="V189" i="22"/>
  <c r="V190" i="22"/>
  <c r="V191" i="22"/>
  <c r="V192" i="22"/>
  <c r="V193" i="22"/>
  <c r="V194" i="22"/>
  <c r="V195" i="22"/>
  <c r="V196" i="22"/>
  <c r="V197" i="22"/>
  <c r="V198" i="22"/>
  <c r="V199" i="22"/>
  <c r="V200" i="22"/>
  <c r="V201" i="22"/>
  <c r="V202" i="22"/>
  <c r="V203" i="22"/>
  <c r="V204" i="22"/>
  <c r="V205" i="22"/>
  <c r="V206" i="22"/>
  <c r="V207" i="22"/>
  <c r="V208" i="22"/>
  <c r="V159" i="22"/>
  <c r="V110" i="22"/>
  <c r="V111" i="22"/>
  <c r="V112" i="22"/>
  <c r="V113" i="22"/>
  <c r="V114" i="22"/>
  <c r="V115" i="22"/>
  <c r="V116" i="22"/>
  <c r="V117" i="22"/>
  <c r="V118" i="22"/>
  <c r="V119" i="22"/>
  <c r="V120" i="22"/>
  <c r="V121" i="22"/>
  <c r="V122" i="22"/>
  <c r="V123" i="22"/>
  <c r="V124" i="22"/>
  <c r="V125" i="22"/>
  <c r="V126" i="22"/>
  <c r="V127" i="22"/>
  <c r="V128" i="22"/>
  <c r="V129" i="22"/>
  <c r="V130" i="22"/>
  <c r="V131" i="22"/>
  <c r="V132" i="22"/>
  <c r="V133" i="22"/>
  <c r="V134" i="22"/>
  <c r="V135" i="22"/>
  <c r="V136" i="22"/>
  <c r="V137" i="22"/>
  <c r="V138" i="22"/>
  <c r="V139" i="22"/>
  <c r="V140" i="22"/>
  <c r="V141" i="22"/>
  <c r="V142" i="22"/>
  <c r="V143" i="22"/>
  <c r="V144" i="22"/>
  <c r="V145" i="22"/>
  <c r="V146" i="22"/>
  <c r="V147" i="22"/>
  <c r="V148" i="22"/>
  <c r="V149" i="22"/>
  <c r="V150" i="22"/>
  <c r="V151" i="22"/>
  <c r="V152" i="22"/>
  <c r="V153" i="22"/>
  <c r="V154" i="22"/>
  <c r="V155" i="22"/>
  <c r="V156" i="22"/>
  <c r="V157" i="22"/>
  <c r="V158" i="22"/>
  <c r="V109" i="22"/>
  <c r="V60" i="22"/>
  <c r="V61" i="22"/>
  <c r="V62" i="22"/>
  <c r="V63" i="22"/>
  <c r="V64" i="22"/>
  <c r="V65" i="22"/>
  <c r="V66" i="22"/>
  <c r="V67" i="22"/>
  <c r="V68" i="22"/>
  <c r="V69" i="22"/>
  <c r="V70" i="22"/>
  <c r="V71" i="22"/>
  <c r="V72" i="22"/>
  <c r="V73" i="22"/>
  <c r="V74" i="22"/>
  <c r="V75" i="22"/>
  <c r="V76" i="22"/>
  <c r="V77" i="22"/>
  <c r="V78" i="22"/>
  <c r="V79" i="22"/>
  <c r="V80" i="22"/>
  <c r="V81" i="22"/>
  <c r="V82" i="22"/>
  <c r="V83" i="22"/>
  <c r="V84" i="22"/>
  <c r="V85" i="22"/>
  <c r="V86" i="22"/>
  <c r="V87" i="22"/>
  <c r="V88" i="22"/>
  <c r="V89" i="22"/>
  <c r="V90" i="22"/>
  <c r="V91" i="22"/>
  <c r="V92" i="22"/>
  <c r="V93" i="22"/>
  <c r="V94" i="22"/>
  <c r="V95" i="22"/>
  <c r="V96" i="22"/>
  <c r="V97" i="22"/>
  <c r="V98" i="22"/>
  <c r="V99" i="22"/>
  <c r="V100" i="22"/>
  <c r="V101" i="22"/>
  <c r="V102" i="22"/>
  <c r="V103" i="22"/>
  <c r="V104" i="22"/>
  <c r="V105" i="22"/>
  <c r="V106" i="22"/>
  <c r="V107" i="22"/>
  <c r="V108" i="22"/>
  <c r="V59" i="22"/>
  <c r="U209" i="22"/>
  <c r="U258" i="22"/>
  <c r="U308" i="22"/>
  <c r="U309" i="22"/>
  <c r="U310" i="22"/>
  <c r="U311" i="22"/>
  <c r="U312" i="22"/>
  <c r="U313" i="22"/>
  <c r="U314" i="22"/>
  <c r="U315" i="22"/>
  <c r="U316" i="22"/>
  <c r="U317" i="22"/>
  <c r="U318" i="22"/>
  <c r="U319" i="22"/>
  <c r="U320" i="22"/>
  <c r="U321" i="22"/>
  <c r="U322" i="22"/>
  <c r="U323" i="22"/>
  <c r="U324" i="22"/>
  <c r="U325" i="22"/>
  <c r="U326" i="22"/>
  <c r="U327" i="22"/>
  <c r="U328" i="22"/>
  <c r="U329" i="22"/>
  <c r="U330" i="22"/>
  <c r="U331" i="22"/>
  <c r="U332" i="22"/>
  <c r="U333" i="22"/>
  <c r="U334" i="22"/>
  <c r="U335" i="22"/>
  <c r="U336" i="22"/>
  <c r="U337" i="22"/>
  <c r="U338" i="22"/>
  <c r="U339" i="22"/>
  <c r="U340" i="22"/>
  <c r="U341" i="22"/>
  <c r="U342" i="22"/>
  <c r="U343" i="22"/>
  <c r="U344" i="22"/>
  <c r="U345" i="22"/>
  <c r="U346" i="22"/>
  <c r="U347" i="22"/>
  <c r="U348" i="22"/>
  <c r="U349" i="22"/>
  <c r="U350" i="22"/>
  <c r="U351" i="22"/>
  <c r="U352" i="22"/>
  <c r="U353" i="22"/>
  <c r="U354" i="22"/>
  <c r="U355" i="22"/>
  <c r="U356" i="22"/>
  <c r="U357" i="22"/>
  <c r="U358" i="22"/>
  <c r="U359" i="22"/>
  <c r="U360" i="22"/>
  <c r="U361" i="22"/>
  <c r="U362" i="22"/>
  <c r="U363" i="22"/>
  <c r="U364" i="22"/>
  <c r="U365" i="22"/>
  <c r="U366" i="22"/>
  <c r="U367" i="22"/>
  <c r="U368" i="22"/>
  <c r="U369" i="22"/>
  <c r="U370" i="22"/>
  <c r="U371" i="22"/>
  <c r="U372" i="22"/>
  <c r="U373" i="22"/>
  <c r="U374" i="22"/>
  <c r="U375" i="22"/>
  <c r="U376" i="22"/>
  <c r="U377" i="22"/>
  <c r="U378" i="22"/>
  <c r="U379" i="22"/>
  <c r="U380" i="22"/>
  <c r="U381" i="22"/>
  <c r="U382" i="22"/>
  <c r="U383" i="22"/>
  <c r="U384" i="22"/>
  <c r="U385" i="22"/>
  <c r="U386" i="22"/>
  <c r="U387" i="22"/>
  <c r="U388" i="22"/>
  <c r="U389" i="22"/>
  <c r="U390" i="22"/>
  <c r="U391" i="22"/>
  <c r="U392" i="22"/>
  <c r="U393" i="22"/>
  <c r="U394" i="22"/>
  <c r="U395" i="22"/>
  <c r="U396" i="22"/>
  <c r="U397" i="22"/>
  <c r="U398" i="22"/>
  <c r="U399" i="22"/>
  <c r="U400" i="22"/>
  <c r="U401" i="22"/>
  <c r="U402" i="22"/>
  <c r="U403" i="22"/>
  <c r="U404" i="22"/>
  <c r="U405" i="22"/>
  <c r="U406" i="22"/>
  <c r="U407" i="22"/>
  <c r="U408" i="22"/>
  <c r="U260" i="22"/>
  <c r="U261" i="22"/>
  <c r="U262" i="22"/>
  <c r="U263" i="22"/>
  <c r="U264" i="22"/>
  <c r="U265" i="22"/>
  <c r="U266" i="22"/>
  <c r="U267" i="22"/>
  <c r="U268" i="22"/>
  <c r="U269" i="22"/>
  <c r="U270" i="22"/>
  <c r="U271" i="22"/>
  <c r="U272" i="22"/>
  <c r="U273" i="22"/>
  <c r="U274" i="22"/>
  <c r="U275" i="22"/>
  <c r="U276" i="22"/>
  <c r="U277" i="22"/>
  <c r="U278" i="22"/>
  <c r="U279" i="22"/>
  <c r="U280" i="22"/>
  <c r="U281" i="22"/>
  <c r="U282" i="22"/>
  <c r="U283" i="22"/>
  <c r="U284" i="22"/>
  <c r="U285" i="22"/>
  <c r="U286" i="22"/>
  <c r="U287" i="22"/>
  <c r="U288" i="22"/>
  <c r="U289" i="22"/>
  <c r="U290" i="22"/>
  <c r="U291" i="22"/>
  <c r="U292" i="22"/>
  <c r="U293" i="22"/>
  <c r="U294" i="22"/>
  <c r="U295" i="22"/>
  <c r="U296" i="22"/>
  <c r="U297" i="22"/>
  <c r="U298" i="22"/>
  <c r="U299" i="22"/>
  <c r="U300" i="22"/>
  <c r="U301" i="22"/>
  <c r="U302" i="22"/>
  <c r="U303" i="22"/>
  <c r="U304" i="22"/>
  <c r="U305" i="22"/>
  <c r="U306" i="22"/>
  <c r="U307" i="22"/>
  <c r="U259" i="22"/>
  <c r="U210" i="22"/>
  <c r="U211" i="22"/>
  <c r="U212" i="22"/>
  <c r="U213" i="22"/>
  <c r="U214" i="22"/>
  <c r="U215" i="22"/>
  <c r="U216" i="22"/>
  <c r="U217" i="22"/>
  <c r="U218" i="22"/>
  <c r="U219" i="22"/>
  <c r="U220" i="22"/>
  <c r="U221" i="22"/>
  <c r="U222" i="22"/>
  <c r="U223" i="22"/>
  <c r="U224" i="22"/>
  <c r="U225" i="22"/>
  <c r="U226" i="22"/>
  <c r="U227" i="22"/>
  <c r="U228" i="22"/>
  <c r="U229" i="22"/>
  <c r="U230" i="22"/>
  <c r="U231" i="22"/>
  <c r="U232" i="22"/>
  <c r="U233" i="22"/>
  <c r="U234" i="22"/>
  <c r="U235" i="22"/>
  <c r="U236" i="22"/>
  <c r="U237" i="22"/>
  <c r="U238" i="22"/>
  <c r="U239" i="22"/>
  <c r="U240" i="22"/>
  <c r="U241" i="22"/>
  <c r="U242" i="22"/>
  <c r="U243" i="22"/>
  <c r="U244" i="22"/>
  <c r="U245" i="22"/>
  <c r="U246" i="22"/>
  <c r="U247" i="22"/>
  <c r="U248" i="22"/>
  <c r="U249" i="22"/>
  <c r="U250" i="22"/>
  <c r="U251" i="22"/>
  <c r="U252" i="22"/>
  <c r="U253" i="22"/>
  <c r="U254" i="22"/>
  <c r="U255" i="22"/>
  <c r="U256" i="22"/>
  <c r="U257" i="22"/>
  <c r="U160" i="22"/>
  <c r="U161" i="22"/>
  <c r="U162" i="22"/>
  <c r="U163" i="22"/>
  <c r="U164" i="22"/>
  <c r="U165" i="22"/>
  <c r="U166" i="22"/>
  <c r="U167" i="22"/>
  <c r="U168" i="22"/>
  <c r="U169" i="22"/>
  <c r="U170" i="22"/>
  <c r="U171" i="22"/>
  <c r="U172" i="22"/>
  <c r="U173" i="22"/>
  <c r="U174" i="22"/>
  <c r="U175" i="22"/>
  <c r="U176" i="22"/>
  <c r="U177" i="22"/>
  <c r="U178" i="22"/>
  <c r="U179" i="22"/>
  <c r="U180" i="22"/>
  <c r="U181" i="22"/>
  <c r="U182" i="22"/>
  <c r="U183" i="22"/>
  <c r="U184" i="22"/>
  <c r="U185" i="22"/>
  <c r="U186" i="22"/>
  <c r="U187" i="22"/>
  <c r="U188" i="22"/>
  <c r="U189" i="22"/>
  <c r="U190" i="22"/>
  <c r="U191" i="22"/>
  <c r="U192" i="22"/>
  <c r="U193" i="22"/>
  <c r="U194" i="22"/>
  <c r="U195" i="22"/>
  <c r="U196" i="22"/>
  <c r="U197" i="22"/>
  <c r="U198" i="22"/>
  <c r="U199" i="22"/>
  <c r="U200" i="22"/>
  <c r="U201" i="22"/>
  <c r="U202" i="22"/>
  <c r="U203" i="22"/>
  <c r="U204" i="22"/>
  <c r="U205" i="22"/>
  <c r="U206" i="22"/>
  <c r="U207" i="22"/>
  <c r="U208" i="22"/>
  <c r="U159" i="22"/>
  <c r="U110" i="22"/>
  <c r="U111" i="22"/>
  <c r="U112" i="22"/>
  <c r="U113" i="22"/>
  <c r="U114" i="22"/>
  <c r="U115" i="22"/>
  <c r="U116" i="22"/>
  <c r="U117" i="22"/>
  <c r="U118" i="22"/>
  <c r="U119" i="22"/>
  <c r="U120" i="22"/>
  <c r="U121" i="22"/>
  <c r="U122" i="22"/>
  <c r="U123" i="22"/>
  <c r="U124" i="22"/>
  <c r="U125" i="22"/>
  <c r="U126" i="22"/>
  <c r="U127" i="22"/>
  <c r="U128" i="22"/>
  <c r="U129" i="22"/>
  <c r="U130" i="22"/>
  <c r="U131" i="22"/>
  <c r="U132" i="22"/>
  <c r="U133" i="22"/>
  <c r="U134" i="22"/>
  <c r="U135" i="22"/>
  <c r="U136" i="22"/>
  <c r="U137" i="22"/>
  <c r="U138" i="22"/>
  <c r="U139" i="22"/>
  <c r="U140" i="22"/>
  <c r="U141" i="22"/>
  <c r="U142" i="22"/>
  <c r="U143" i="22"/>
  <c r="U144" i="22"/>
  <c r="U145" i="22"/>
  <c r="U146" i="22"/>
  <c r="U147" i="22"/>
  <c r="U148" i="22"/>
  <c r="U149" i="22"/>
  <c r="U150" i="22"/>
  <c r="U151" i="22"/>
  <c r="U152" i="22"/>
  <c r="U153" i="22"/>
  <c r="U154" i="22"/>
  <c r="U155" i="22"/>
  <c r="U156" i="22"/>
  <c r="U157" i="22"/>
  <c r="U158" i="22"/>
  <c r="U109" i="22"/>
  <c r="U60" i="22"/>
  <c r="U61" i="22"/>
  <c r="U62" i="22"/>
  <c r="U63" i="22"/>
  <c r="U64" i="22"/>
  <c r="U65" i="22"/>
  <c r="U66" i="22"/>
  <c r="U67" i="22"/>
  <c r="U68" i="22"/>
  <c r="U69" i="22"/>
  <c r="U70" i="22"/>
  <c r="U71" i="22"/>
  <c r="U72" i="22"/>
  <c r="U73" i="22"/>
  <c r="U74" i="22"/>
  <c r="U75" i="22"/>
  <c r="U76" i="22"/>
  <c r="U77" i="22"/>
  <c r="U78" i="22"/>
  <c r="U79" i="22"/>
  <c r="U80" i="22"/>
  <c r="U81" i="22"/>
  <c r="U82" i="22"/>
  <c r="U83" i="22"/>
  <c r="U84" i="22"/>
  <c r="U85" i="22"/>
  <c r="U86" i="22"/>
  <c r="U87" i="22"/>
  <c r="U88" i="22"/>
  <c r="U89" i="22"/>
  <c r="U90" i="22"/>
  <c r="U91" i="22"/>
  <c r="U92" i="22"/>
  <c r="U93" i="22"/>
  <c r="U94" i="22"/>
  <c r="U95" i="22"/>
  <c r="U96" i="22"/>
  <c r="U97" i="22"/>
  <c r="U98" i="22"/>
  <c r="U99" i="22"/>
  <c r="U100" i="22"/>
  <c r="U101" i="22"/>
  <c r="U102" i="22"/>
  <c r="U103" i="22"/>
  <c r="U104" i="22"/>
  <c r="U105" i="22"/>
  <c r="U106" i="22"/>
  <c r="U107" i="22"/>
  <c r="U108" i="22"/>
  <c r="U59" i="22"/>
  <c r="T260" i="22"/>
  <c r="T261" i="22"/>
  <c r="T262" i="22"/>
  <c r="T263" i="22"/>
  <c r="T264" i="22"/>
  <c r="T265" i="22"/>
  <c r="T266" i="22"/>
  <c r="T267" i="22"/>
  <c r="T268" i="22"/>
  <c r="T269" i="22"/>
  <c r="T270" i="22"/>
  <c r="T271" i="22"/>
  <c r="T272" i="22"/>
  <c r="T273" i="22"/>
  <c r="T274" i="22"/>
  <c r="T275" i="22"/>
  <c r="T276" i="22"/>
  <c r="T277" i="22"/>
  <c r="T278" i="22"/>
  <c r="T279" i="22"/>
  <c r="T280" i="22"/>
  <c r="T281" i="22"/>
  <c r="T282" i="22"/>
  <c r="T283" i="22"/>
  <c r="T284" i="22"/>
  <c r="T285" i="22"/>
  <c r="T286" i="22"/>
  <c r="T287" i="22"/>
  <c r="T288" i="22"/>
  <c r="T289" i="22"/>
  <c r="T290" i="22"/>
  <c r="T291" i="22"/>
  <c r="T292" i="22"/>
  <c r="T293" i="22"/>
  <c r="T294" i="22"/>
  <c r="T295" i="22"/>
  <c r="T296" i="22"/>
  <c r="T297" i="22"/>
  <c r="T298" i="22"/>
  <c r="T299" i="22"/>
  <c r="T300" i="22"/>
  <c r="T301" i="22"/>
  <c r="T302" i="22"/>
  <c r="T303" i="22"/>
  <c r="T304" i="22"/>
  <c r="T305" i="22"/>
  <c r="T306" i="22"/>
  <c r="T307" i="22"/>
  <c r="T308" i="22"/>
  <c r="T309" i="22"/>
  <c r="T310" i="22"/>
  <c r="T311" i="22"/>
  <c r="T312" i="22"/>
  <c r="T313" i="22"/>
  <c r="T314" i="22"/>
  <c r="T315" i="22"/>
  <c r="T316" i="22"/>
  <c r="T317" i="22"/>
  <c r="T318" i="22"/>
  <c r="T319" i="22"/>
  <c r="T320" i="22"/>
  <c r="T321" i="22"/>
  <c r="T322" i="22"/>
  <c r="T323" i="22"/>
  <c r="T324" i="22"/>
  <c r="T325" i="22"/>
  <c r="T326" i="22"/>
  <c r="T327" i="22"/>
  <c r="T328" i="22"/>
  <c r="T329" i="22"/>
  <c r="T330" i="22"/>
  <c r="T331" i="22"/>
  <c r="T332" i="22"/>
  <c r="T333" i="22"/>
  <c r="T334" i="22"/>
  <c r="T335" i="22"/>
  <c r="T336" i="22"/>
  <c r="T337" i="22"/>
  <c r="T338" i="22"/>
  <c r="T339" i="22"/>
  <c r="T340" i="22"/>
  <c r="T341" i="22"/>
  <c r="T342" i="22"/>
  <c r="T343" i="22"/>
  <c r="T344" i="22"/>
  <c r="T345" i="22"/>
  <c r="T346" i="22"/>
  <c r="T347" i="22"/>
  <c r="T348" i="22"/>
  <c r="T349" i="22"/>
  <c r="T350" i="22"/>
  <c r="T351" i="22"/>
  <c r="T352" i="22"/>
  <c r="T353" i="22"/>
  <c r="T354" i="22"/>
  <c r="T355" i="22"/>
  <c r="T356" i="22"/>
  <c r="T357" i="22"/>
  <c r="T358" i="22"/>
  <c r="T259" i="22"/>
  <c r="T210" i="22"/>
  <c r="T211" i="22"/>
  <c r="T212" i="22"/>
  <c r="T213" i="22"/>
  <c r="T214" i="22"/>
  <c r="T215" i="22"/>
  <c r="T216" i="22"/>
  <c r="T217" i="22"/>
  <c r="T218" i="22"/>
  <c r="T219" i="22"/>
  <c r="T220" i="22"/>
  <c r="T221" i="22"/>
  <c r="T222" i="22"/>
  <c r="T223" i="22"/>
  <c r="T224" i="22"/>
  <c r="T225" i="22"/>
  <c r="T226" i="22"/>
  <c r="T227" i="22"/>
  <c r="T228" i="22"/>
  <c r="T229" i="22"/>
  <c r="T230" i="22"/>
  <c r="T231" i="22"/>
  <c r="T232" i="22"/>
  <c r="T233" i="22"/>
  <c r="T234" i="22"/>
  <c r="T235" i="22"/>
  <c r="T236" i="22"/>
  <c r="T237" i="22"/>
  <c r="T238" i="22"/>
  <c r="T239" i="22"/>
  <c r="T240" i="22"/>
  <c r="T241" i="22"/>
  <c r="T242" i="22"/>
  <c r="T243" i="22"/>
  <c r="T244" i="22"/>
  <c r="T245" i="22"/>
  <c r="T246" i="22"/>
  <c r="T247" i="22"/>
  <c r="T248" i="22"/>
  <c r="T249" i="22"/>
  <c r="T250" i="22"/>
  <c r="T251" i="22"/>
  <c r="T252" i="22"/>
  <c r="T253" i="22"/>
  <c r="T254" i="22"/>
  <c r="T255" i="22"/>
  <c r="T256" i="22"/>
  <c r="T257" i="22"/>
  <c r="T258" i="22"/>
  <c r="T209" i="22"/>
  <c r="T160" i="22"/>
  <c r="T161" i="22"/>
  <c r="T162" i="22"/>
  <c r="T163" i="22"/>
  <c r="T164" i="22"/>
  <c r="T165" i="22"/>
  <c r="T166" i="22"/>
  <c r="T167" i="22"/>
  <c r="T168" i="22"/>
  <c r="T169" i="22"/>
  <c r="T170" i="22"/>
  <c r="T171" i="22"/>
  <c r="T172" i="22"/>
  <c r="T173" i="22"/>
  <c r="T174" i="22"/>
  <c r="T175" i="22"/>
  <c r="T176" i="22"/>
  <c r="T177" i="22"/>
  <c r="T178" i="22"/>
  <c r="T179" i="22"/>
  <c r="T180" i="22"/>
  <c r="T181" i="22"/>
  <c r="T182" i="22"/>
  <c r="T183" i="22"/>
  <c r="T184" i="22"/>
  <c r="T185" i="22"/>
  <c r="T186" i="22"/>
  <c r="T187" i="22"/>
  <c r="T188" i="22"/>
  <c r="T189" i="22"/>
  <c r="T190" i="22"/>
  <c r="T191" i="22"/>
  <c r="T192" i="22"/>
  <c r="T193" i="22"/>
  <c r="T194" i="22"/>
  <c r="T195" i="22"/>
  <c r="T196" i="22"/>
  <c r="T197" i="22"/>
  <c r="T198" i="22"/>
  <c r="T199" i="22"/>
  <c r="T200" i="22"/>
  <c r="T201" i="22"/>
  <c r="T202" i="22"/>
  <c r="T203" i="22"/>
  <c r="T204" i="22"/>
  <c r="T205" i="22"/>
  <c r="T206" i="22"/>
  <c r="T207" i="22"/>
  <c r="T208" i="22"/>
  <c r="T159" i="22"/>
  <c r="T110" i="22"/>
  <c r="T111" i="22"/>
  <c r="T112" i="22"/>
  <c r="T113" i="22"/>
  <c r="T114" i="22"/>
  <c r="T115" i="22"/>
  <c r="T116" i="22"/>
  <c r="T117" i="22"/>
  <c r="T118" i="22"/>
  <c r="T119" i="22"/>
  <c r="T120" i="22"/>
  <c r="T121" i="22"/>
  <c r="T122" i="22"/>
  <c r="T123" i="22"/>
  <c r="T124" i="22"/>
  <c r="T125" i="22"/>
  <c r="T126" i="22"/>
  <c r="T127" i="22"/>
  <c r="T128" i="22"/>
  <c r="T129" i="22"/>
  <c r="T130" i="22"/>
  <c r="T131" i="22"/>
  <c r="T132" i="22"/>
  <c r="T133" i="22"/>
  <c r="T134" i="22"/>
  <c r="T135" i="22"/>
  <c r="T136" i="22"/>
  <c r="T137" i="22"/>
  <c r="T138" i="22"/>
  <c r="T139" i="22"/>
  <c r="T140" i="22"/>
  <c r="T141" i="22"/>
  <c r="T142" i="22"/>
  <c r="T143" i="22"/>
  <c r="T144" i="22"/>
  <c r="T145" i="22"/>
  <c r="T146" i="22"/>
  <c r="T147" i="22"/>
  <c r="T148" i="22"/>
  <c r="T149" i="22"/>
  <c r="T150" i="22"/>
  <c r="T151" i="22"/>
  <c r="T152" i="22"/>
  <c r="T153" i="22"/>
  <c r="T154" i="22"/>
  <c r="T155" i="22"/>
  <c r="T156" i="22"/>
  <c r="T157" i="22"/>
  <c r="T158" i="22"/>
  <c r="T109" i="22"/>
  <c r="T60" i="22"/>
  <c r="T61" i="22"/>
  <c r="T62" i="22"/>
  <c r="T63" i="22"/>
  <c r="T64" i="22"/>
  <c r="T65" i="22"/>
  <c r="T66" i="22"/>
  <c r="T67" i="22"/>
  <c r="T68" i="22"/>
  <c r="T69" i="22"/>
  <c r="T70" i="22"/>
  <c r="T71" i="22"/>
  <c r="T72" i="22"/>
  <c r="T73" i="22"/>
  <c r="T74" i="22"/>
  <c r="T75" i="22"/>
  <c r="T76" i="22"/>
  <c r="T77" i="22"/>
  <c r="T78" i="22"/>
  <c r="T79" i="22"/>
  <c r="T80" i="22"/>
  <c r="T81" i="22"/>
  <c r="T82" i="22"/>
  <c r="T83" i="22"/>
  <c r="T84" i="22"/>
  <c r="T85" i="22"/>
  <c r="T86" i="22"/>
  <c r="T87" i="22"/>
  <c r="T88" i="22"/>
  <c r="T89" i="22"/>
  <c r="T90" i="22"/>
  <c r="T91" i="22"/>
  <c r="T92" i="22"/>
  <c r="T93" i="22"/>
  <c r="T94" i="22"/>
  <c r="T95" i="22"/>
  <c r="T96" i="22"/>
  <c r="T97" i="22"/>
  <c r="T98" i="22"/>
  <c r="T99" i="22"/>
  <c r="T100" i="22"/>
  <c r="T101" i="22"/>
  <c r="T102" i="22"/>
  <c r="T103" i="22"/>
  <c r="T104" i="22"/>
  <c r="T105" i="22"/>
  <c r="T106" i="22"/>
  <c r="T107" i="22"/>
  <c r="T108" i="22"/>
  <c r="T5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20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15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33" i="22"/>
  <c r="S134" i="22"/>
  <c r="S135" i="22"/>
  <c r="S136" i="22"/>
  <c r="S137" i="22"/>
  <c r="S138" i="22"/>
  <c r="S139" i="22"/>
  <c r="S140" i="22"/>
  <c r="S141" i="22"/>
  <c r="S14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0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80" i="22"/>
  <c r="S81" i="22"/>
  <c r="S82" i="22"/>
  <c r="S83" i="22"/>
  <c r="S84" i="22"/>
  <c r="S85" i="22"/>
  <c r="S86" i="22"/>
  <c r="S87" i="22"/>
  <c r="S88" i="22"/>
  <c r="S89" i="22"/>
  <c r="S90" i="22"/>
  <c r="S91" i="22"/>
  <c r="S92" i="22"/>
  <c r="S93" i="22"/>
  <c r="S94" i="22"/>
  <c r="S95" i="22"/>
  <c r="S96" i="22"/>
  <c r="S97" i="22"/>
  <c r="S98" i="22"/>
  <c r="S99" i="22"/>
  <c r="S100" i="22"/>
  <c r="S101" i="22"/>
  <c r="S102" i="22"/>
  <c r="S103" i="22"/>
  <c r="S104" i="22"/>
  <c r="S105" i="22"/>
  <c r="S106" i="22"/>
  <c r="S107" i="22"/>
  <c r="S108" i="22"/>
  <c r="S59" i="22"/>
  <c r="R210" i="22"/>
  <c r="R211" i="22"/>
  <c r="R212" i="22"/>
  <c r="R213" i="22"/>
  <c r="R214" i="22"/>
  <c r="R215" i="22"/>
  <c r="R216" i="22"/>
  <c r="R217" i="22"/>
  <c r="R218" i="22"/>
  <c r="R219" i="22"/>
  <c r="R220" i="22"/>
  <c r="R221" i="22"/>
  <c r="R222" i="22"/>
  <c r="R223" i="22"/>
  <c r="R224" i="22"/>
  <c r="R225" i="22"/>
  <c r="R226" i="22"/>
  <c r="R227" i="22"/>
  <c r="R228" i="22"/>
  <c r="R229" i="22"/>
  <c r="R230" i="22"/>
  <c r="R231" i="22"/>
  <c r="R232" i="22"/>
  <c r="R233" i="22"/>
  <c r="R234" i="22"/>
  <c r="R235" i="22"/>
  <c r="R236" i="22"/>
  <c r="R237" i="22"/>
  <c r="R238" i="22"/>
  <c r="R239" i="22"/>
  <c r="R240" i="22"/>
  <c r="R241" i="22"/>
  <c r="R242" i="22"/>
  <c r="R243" i="22"/>
  <c r="R244" i="22"/>
  <c r="R245" i="22"/>
  <c r="R246" i="22"/>
  <c r="R247" i="22"/>
  <c r="R248" i="22"/>
  <c r="R249" i="22"/>
  <c r="R250" i="22"/>
  <c r="R251" i="22"/>
  <c r="R252" i="22"/>
  <c r="R253" i="22"/>
  <c r="R254" i="22"/>
  <c r="R255" i="22"/>
  <c r="R256" i="22"/>
  <c r="R257" i="22"/>
  <c r="R258" i="22"/>
  <c r="R209" i="22"/>
  <c r="R110" i="22"/>
  <c r="R111" i="22"/>
  <c r="R112" i="22"/>
  <c r="R113" i="22"/>
  <c r="R114" i="22"/>
  <c r="R115" i="22"/>
  <c r="R116" i="22"/>
  <c r="R117" i="22"/>
  <c r="R118" i="22"/>
  <c r="R119" i="22"/>
  <c r="R120" i="22"/>
  <c r="R121" i="22"/>
  <c r="R122" i="22"/>
  <c r="R123" i="22"/>
  <c r="R124" i="22"/>
  <c r="R125" i="22"/>
  <c r="R126" i="22"/>
  <c r="R127" i="22"/>
  <c r="R128" i="22"/>
  <c r="R129" i="22"/>
  <c r="R130" i="22"/>
  <c r="R131" i="22"/>
  <c r="R132" i="22"/>
  <c r="R133" i="22"/>
  <c r="R134" i="22"/>
  <c r="R135" i="22"/>
  <c r="R136" i="22"/>
  <c r="R137" i="22"/>
  <c r="R138" i="22"/>
  <c r="R139" i="22"/>
  <c r="R140" i="22"/>
  <c r="R141" i="22"/>
  <c r="R142" i="22"/>
  <c r="R143" i="22"/>
  <c r="R144" i="22"/>
  <c r="R145" i="22"/>
  <c r="R146" i="22"/>
  <c r="R147" i="22"/>
  <c r="R148" i="22"/>
  <c r="R149" i="22"/>
  <c r="R150" i="22"/>
  <c r="R151" i="22"/>
  <c r="R152" i="22"/>
  <c r="R153" i="22"/>
  <c r="R154" i="22"/>
  <c r="R155" i="22"/>
  <c r="R156" i="22"/>
  <c r="R157" i="22"/>
  <c r="R158" i="22"/>
  <c r="R159" i="22"/>
  <c r="R160" i="22"/>
  <c r="R161" i="22"/>
  <c r="R162" i="22"/>
  <c r="R163" i="22"/>
  <c r="R164" i="22"/>
  <c r="R165" i="22"/>
  <c r="R166" i="22"/>
  <c r="R167" i="22"/>
  <c r="R168" i="22"/>
  <c r="R169" i="22"/>
  <c r="R170" i="22"/>
  <c r="R171" i="22"/>
  <c r="R172" i="22"/>
  <c r="R173" i="22"/>
  <c r="R174" i="22"/>
  <c r="R175" i="22"/>
  <c r="R176" i="22"/>
  <c r="R177" i="22"/>
  <c r="R178" i="22"/>
  <c r="R179" i="22"/>
  <c r="R180" i="22"/>
  <c r="R181" i="22"/>
  <c r="R182" i="22"/>
  <c r="R183" i="22"/>
  <c r="R184" i="22"/>
  <c r="R185" i="22"/>
  <c r="R186" i="22"/>
  <c r="R187" i="22"/>
  <c r="R188" i="22"/>
  <c r="R189" i="22"/>
  <c r="R190" i="22"/>
  <c r="R191" i="22"/>
  <c r="R192" i="22"/>
  <c r="R193" i="22"/>
  <c r="R194" i="22"/>
  <c r="R195" i="22"/>
  <c r="R196" i="22"/>
  <c r="R197" i="22"/>
  <c r="R198" i="22"/>
  <c r="R199" i="22"/>
  <c r="R200" i="22"/>
  <c r="R201" i="22"/>
  <c r="R202" i="22"/>
  <c r="R203" i="22"/>
  <c r="R204" i="22"/>
  <c r="R205" i="22"/>
  <c r="R206" i="22"/>
  <c r="R207" i="22"/>
  <c r="R208" i="22"/>
  <c r="R109" i="22"/>
  <c r="R60" i="22"/>
  <c r="R61" i="22"/>
  <c r="R62" i="22"/>
  <c r="R63" i="22"/>
  <c r="R64" i="22"/>
  <c r="R65" i="22"/>
  <c r="R66" i="22"/>
  <c r="R67" i="22"/>
  <c r="R68" i="22"/>
  <c r="R69" i="22"/>
  <c r="R70" i="22"/>
  <c r="R71" i="22"/>
  <c r="R72" i="22"/>
  <c r="R73" i="22"/>
  <c r="R74" i="22"/>
  <c r="R75" i="22"/>
  <c r="R76" i="22"/>
  <c r="R77" i="22"/>
  <c r="R78" i="22"/>
  <c r="R79" i="22"/>
  <c r="R80" i="22"/>
  <c r="R81" i="22"/>
  <c r="R82" i="22"/>
  <c r="R83" i="22"/>
  <c r="R84" i="22"/>
  <c r="R85" i="22"/>
  <c r="R86" i="22"/>
  <c r="R87" i="22"/>
  <c r="R88" i="22"/>
  <c r="R89" i="22"/>
  <c r="R90" i="22"/>
  <c r="R91" i="22"/>
  <c r="R92" i="22"/>
  <c r="R93" i="22"/>
  <c r="R94" i="22"/>
  <c r="R95" i="22"/>
  <c r="R96" i="22"/>
  <c r="R97" i="22"/>
  <c r="R98" i="22"/>
  <c r="R99" i="22"/>
  <c r="R100" i="22"/>
  <c r="R101" i="22"/>
  <c r="R102" i="22"/>
  <c r="R103" i="22"/>
  <c r="R104" i="22"/>
  <c r="R105" i="22"/>
  <c r="R106" i="22"/>
  <c r="R107" i="22"/>
  <c r="R108" i="22"/>
  <c r="R59" i="22"/>
  <c r="Q110" i="22"/>
  <c r="Q111" i="22"/>
  <c r="Q112" i="22"/>
  <c r="Q113" i="22"/>
  <c r="Q114" i="22"/>
  <c r="Q115" i="22"/>
  <c r="Q116" i="22"/>
  <c r="Q117" i="22"/>
  <c r="Q118" i="22"/>
  <c r="Q119" i="22"/>
  <c r="Q120" i="22"/>
  <c r="Q121" i="22"/>
  <c r="Q122" i="22"/>
  <c r="Q123" i="22"/>
  <c r="Q124" i="22"/>
  <c r="Q125" i="22"/>
  <c r="Q126" i="22"/>
  <c r="Q127" i="22"/>
  <c r="Q128" i="22"/>
  <c r="Q129" i="22"/>
  <c r="Q130" i="22"/>
  <c r="Q131" i="22"/>
  <c r="Q132" i="22"/>
  <c r="Q133" i="22"/>
  <c r="Q134" i="22"/>
  <c r="Q135" i="22"/>
  <c r="Q136" i="22"/>
  <c r="Q137" i="22"/>
  <c r="Q138" i="22"/>
  <c r="Q139" i="22"/>
  <c r="Q140" i="22"/>
  <c r="Q141" i="22"/>
  <c r="Q142" i="22"/>
  <c r="Q143" i="22"/>
  <c r="Q144" i="22"/>
  <c r="Q145" i="22"/>
  <c r="Q146" i="22"/>
  <c r="Q147" i="22"/>
  <c r="Q148" i="22"/>
  <c r="Q149" i="22"/>
  <c r="Q150" i="22"/>
  <c r="Q151" i="22"/>
  <c r="Q152" i="22"/>
  <c r="Q153" i="22"/>
  <c r="Q154" i="22"/>
  <c r="Q155" i="22"/>
  <c r="Q156" i="22"/>
  <c r="Q157" i="22"/>
  <c r="Q158" i="22"/>
  <c r="Q159" i="22"/>
  <c r="Q160" i="22"/>
  <c r="Q161" i="22"/>
  <c r="Q162" i="22"/>
  <c r="Q163" i="22"/>
  <c r="Q164" i="22"/>
  <c r="Q165" i="22"/>
  <c r="Q166" i="22"/>
  <c r="Q167" i="22"/>
  <c r="Q168" i="22"/>
  <c r="Q169" i="22"/>
  <c r="Q170" i="22"/>
  <c r="Q171" i="22"/>
  <c r="Q172" i="22"/>
  <c r="Q173" i="22"/>
  <c r="Q174" i="22"/>
  <c r="Q175" i="22"/>
  <c r="Q176" i="22"/>
  <c r="Q177" i="22"/>
  <c r="Q178" i="22"/>
  <c r="Q179" i="22"/>
  <c r="Q180" i="22"/>
  <c r="Q181" i="22"/>
  <c r="Q182" i="22"/>
  <c r="Q183" i="22"/>
  <c r="Q184" i="22"/>
  <c r="Q185" i="22"/>
  <c r="Q186" i="22"/>
  <c r="Q187" i="22"/>
  <c r="Q188" i="22"/>
  <c r="Q189" i="22"/>
  <c r="Q190" i="22"/>
  <c r="Q191" i="22"/>
  <c r="Q192" i="22"/>
  <c r="Q193" i="22"/>
  <c r="Q194" i="22"/>
  <c r="Q195" i="22"/>
  <c r="Q196" i="22"/>
  <c r="Q197" i="22"/>
  <c r="Q198" i="22"/>
  <c r="Q199" i="22"/>
  <c r="Q200" i="22"/>
  <c r="Q201" i="22"/>
  <c r="Q202" i="22"/>
  <c r="Q203" i="22"/>
  <c r="Q204" i="22"/>
  <c r="Q205" i="22"/>
  <c r="Q206" i="22"/>
  <c r="Q207" i="22"/>
  <c r="Q208" i="22"/>
  <c r="Q109" i="22"/>
  <c r="Q60" i="22"/>
  <c r="Q61" i="22"/>
  <c r="Q62" i="22"/>
  <c r="Q63" i="22"/>
  <c r="Q64" i="22"/>
  <c r="Q65" i="22"/>
  <c r="Q66" i="22"/>
  <c r="Q67" i="22"/>
  <c r="Q68" i="22"/>
  <c r="Q69" i="22"/>
  <c r="Q70" i="22"/>
  <c r="Q71" i="22"/>
  <c r="Q72" i="22"/>
  <c r="Q73" i="22"/>
  <c r="Q74" i="22"/>
  <c r="Q75" i="22"/>
  <c r="Q76" i="22"/>
  <c r="Q77" i="22"/>
  <c r="Q78" i="22"/>
  <c r="Q79" i="22"/>
  <c r="Q80" i="22"/>
  <c r="Q81" i="22"/>
  <c r="Q82" i="22"/>
  <c r="Q83" i="22"/>
  <c r="Q84" i="22"/>
  <c r="Q85" i="22"/>
  <c r="Q86" i="22"/>
  <c r="Q87" i="22"/>
  <c r="Q88" i="22"/>
  <c r="Q89" i="22"/>
  <c r="Q90" i="22"/>
  <c r="Q91" i="22"/>
  <c r="Q92" i="22"/>
  <c r="Q93" i="22"/>
  <c r="Q94" i="22"/>
  <c r="Q95" i="22"/>
  <c r="Q96" i="22"/>
  <c r="Q97" i="22"/>
  <c r="Q98" i="22"/>
  <c r="Q99" i="22"/>
  <c r="Q100" i="22"/>
  <c r="Q101" i="22"/>
  <c r="Q102" i="22"/>
  <c r="Q103" i="22"/>
  <c r="Q104" i="22"/>
  <c r="Q105" i="22"/>
  <c r="Q106" i="22"/>
  <c r="Q107" i="22"/>
  <c r="Q108" i="22"/>
  <c r="Q5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33" i="22"/>
  <c r="P134" i="22"/>
  <c r="P135" i="22"/>
  <c r="P136" i="22"/>
  <c r="P137" i="22"/>
  <c r="P138" i="22"/>
  <c r="P139" i="22"/>
  <c r="P140" i="22"/>
  <c r="P141" i="22"/>
  <c r="P14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09" i="22"/>
  <c r="P59" i="22"/>
  <c r="W9" i="22"/>
  <c r="W10" i="22"/>
  <c r="W11" i="22"/>
  <c r="W12" i="22"/>
  <c r="W13" i="22"/>
  <c r="W14" i="22"/>
  <c r="W15" i="22"/>
  <c r="W16" i="22"/>
  <c r="W17" i="22"/>
  <c r="W18" i="22"/>
  <c r="W19" i="22"/>
  <c r="W20" i="22"/>
  <c r="W21" i="22"/>
  <c r="W22" i="22"/>
  <c r="W23" i="22"/>
  <c r="W24" i="22"/>
  <c r="W25" i="22"/>
  <c r="W26" i="22"/>
  <c r="W27" i="22"/>
  <c r="W28" i="22"/>
  <c r="W29" i="22"/>
  <c r="W30" i="22"/>
  <c r="W31" i="22"/>
  <c r="W32" i="22"/>
  <c r="W33" i="22"/>
  <c r="W34" i="22"/>
  <c r="W35" i="22"/>
  <c r="W36" i="22"/>
  <c r="W37" i="22"/>
  <c r="W38" i="22"/>
  <c r="W39" i="22"/>
  <c r="W40" i="22"/>
  <c r="W41" i="22"/>
  <c r="W42" i="22"/>
  <c r="W43" i="22"/>
  <c r="W44" i="22"/>
  <c r="W45" i="22"/>
  <c r="W46" i="22"/>
  <c r="W47" i="22"/>
  <c r="W48" i="22"/>
  <c r="W49" i="22"/>
  <c r="W50" i="22"/>
  <c r="W51" i="22"/>
  <c r="W52" i="22"/>
  <c r="W53" i="22"/>
  <c r="W54" i="22"/>
  <c r="W55" i="22"/>
  <c r="W56" i="22"/>
  <c r="W57" i="22"/>
  <c r="W58" i="22"/>
  <c r="W8" i="22"/>
  <c r="V9" i="22"/>
  <c r="V10" i="22"/>
  <c r="V11" i="22"/>
  <c r="V12" i="22"/>
  <c r="V13" i="22"/>
  <c r="V14" i="22"/>
  <c r="V15" i="22"/>
  <c r="V16" i="22"/>
  <c r="V17" i="22"/>
  <c r="V18" i="22"/>
  <c r="V19" i="22"/>
  <c r="V20" i="22"/>
  <c r="V21" i="22"/>
  <c r="V22" i="22"/>
  <c r="V23" i="22"/>
  <c r="V24" i="22"/>
  <c r="V25" i="22"/>
  <c r="V26" i="22"/>
  <c r="V27" i="22"/>
  <c r="V28" i="22"/>
  <c r="V29" i="22"/>
  <c r="V30" i="22"/>
  <c r="V31" i="22"/>
  <c r="V32" i="22"/>
  <c r="V33" i="22"/>
  <c r="V34" i="22"/>
  <c r="V35" i="22"/>
  <c r="V36" i="22"/>
  <c r="V37" i="22"/>
  <c r="V38" i="22"/>
  <c r="V39" i="22"/>
  <c r="V40" i="22"/>
  <c r="V41" i="22"/>
  <c r="V42" i="22"/>
  <c r="V43" i="22"/>
  <c r="V44" i="22"/>
  <c r="V45" i="22"/>
  <c r="V46" i="22"/>
  <c r="V47" i="22"/>
  <c r="V48" i="22"/>
  <c r="V49" i="22"/>
  <c r="V50" i="22"/>
  <c r="V51" i="22"/>
  <c r="V52" i="22"/>
  <c r="V53" i="22"/>
  <c r="V54" i="22"/>
  <c r="V55" i="22"/>
  <c r="V56" i="22"/>
  <c r="V57" i="22"/>
  <c r="V58" i="22"/>
  <c r="V8" i="22"/>
  <c r="U9" i="22"/>
  <c r="U10" i="22"/>
  <c r="U11" i="22"/>
  <c r="U12" i="22"/>
  <c r="U13" i="22"/>
  <c r="U14" i="22"/>
  <c r="U15" i="22"/>
  <c r="U16" i="22"/>
  <c r="U17" i="22"/>
  <c r="U18" i="22"/>
  <c r="U19" i="22"/>
  <c r="U20" i="22"/>
  <c r="U21" i="22"/>
  <c r="U22" i="22"/>
  <c r="U23" i="22"/>
  <c r="U24" i="22"/>
  <c r="U25" i="22"/>
  <c r="U26" i="22"/>
  <c r="U27" i="22"/>
  <c r="U28" i="22"/>
  <c r="U29" i="22"/>
  <c r="U30" i="22"/>
  <c r="U31" i="22"/>
  <c r="U32" i="22"/>
  <c r="U33" i="22"/>
  <c r="U34" i="22"/>
  <c r="U35" i="22"/>
  <c r="U36" i="22"/>
  <c r="U37" i="22"/>
  <c r="U38" i="22"/>
  <c r="U39" i="22"/>
  <c r="U40" i="22"/>
  <c r="U41" i="22"/>
  <c r="U42" i="22"/>
  <c r="U43" i="22"/>
  <c r="U44" i="22"/>
  <c r="U45" i="22"/>
  <c r="U46" i="22"/>
  <c r="U47" i="22"/>
  <c r="U48" i="22"/>
  <c r="U49" i="22"/>
  <c r="U50" i="22"/>
  <c r="U51" i="22"/>
  <c r="U52" i="22"/>
  <c r="U53" i="22"/>
  <c r="U54" i="22"/>
  <c r="U55" i="22"/>
  <c r="U56" i="22"/>
  <c r="U57" i="22"/>
  <c r="U58" i="22"/>
  <c r="U8" i="22"/>
  <c r="T9" i="22"/>
  <c r="T10" i="22"/>
  <c r="T11" i="22"/>
  <c r="T12" i="22"/>
  <c r="T13" i="22"/>
  <c r="T14" i="22"/>
  <c r="T15" i="22"/>
  <c r="T16" i="22"/>
  <c r="T17" i="22"/>
  <c r="T18" i="22"/>
  <c r="T19" i="22"/>
  <c r="T20" i="22"/>
  <c r="T21" i="22"/>
  <c r="T22" i="22"/>
  <c r="T23" i="22"/>
  <c r="T24" i="22"/>
  <c r="T25" i="22"/>
  <c r="T26" i="22"/>
  <c r="T27" i="22"/>
  <c r="T28" i="22"/>
  <c r="T29" i="22"/>
  <c r="T30" i="22"/>
  <c r="T31" i="22"/>
  <c r="T32" i="22"/>
  <c r="T33" i="22"/>
  <c r="T34" i="22"/>
  <c r="T35" i="22"/>
  <c r="T36" i="22"/>
  <c r="T37" i="22"/>
  <c r="T38" i="22"/>
  <c r="T39" i="22"/>
  <c r="T40" i="22"/>
  <c r="T41" i="22"/>
  <c r="T42" i="22"/>
  <c r="T43" i="22"/>
  <c r="T44" i="22"/>
  <c r="T45" i="22"/>
  <c r="T46" i="22"/>
  <c r="T47" i="22"/>
  <c r="T48" i="22"/>
  <c r="T49" i="22"/>
  <c r="T50" i="22"/>
  <c r="T51" i="22"/>
  <c r="T52" i="22"/>
  <c r="T53" i="22"/>
  <c r="T54" i="22"/>
  <c r="T55" i="22"/>
  <c r="T56" i="22"/>
  <c r="T57" i="22"/>
  <c r="T58" i="22"/>
  <c r="T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8" i="22"/>
  <c r="R9" i="22"/>
  <c r="R10" i="22"/>
  <c r="R11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R24" i="22"/>
  <c r="R25" i="22"/>
  <c r="R26" i="22"/>
  <c r="R27" i="22"/>
  <c r="R28" i="22"/>
  <c r="R29" i="22"/>
  <c r="R30" i="22"/>
  <c r="R31" i="22"/>
  <c r="R32" i="22"/>
  <c r="R33" i="22"/>
  <c r="R34" i="22"/>
  <c r="R35" i="22"/>
  <c r="R36" i="22"/>
  <c r="R37" i="22"/>
  <c r="R38" i="22"/>
  <c r="R39" i="22"/>
  <c r="R40" i="22"/>
  <c r="R41" i="22"/>
  <c r="R42" i="22"/>
  <c r="R43" i="22"/>
  <c r="R44" i="22"/>
  <c r="R45" i="22"/>
  <c r="R46" i="22"/>
  <c r="R47" i="22"/>
  <c r="R48" i="22"/>
  <c r="R49" i="22"/>
  <c r="R50" i="22"/>
  <c r="R51" i="22"/>
  <c r="R52" i="22"/>
  <c r="R53" i="22"/>
  <c r="R54" i="22"/>
  <c r="R55" i="22"/>
  <c r="R56" i="22"/>
  <c r="R57" i="22"/>
  <c r="R58" i="22"/>
  <c r="R8" i="22"/>
  <c r="Q9" i="22"/>
  <c r="Q10" i="22"/>
  <c r="Q11" i="22"/>
  <c r="Q12" i="22"/>
  <c r="Q13" i="22"/>
  <c r="Q14" i="22"/>
  <c r="Q15" i="22"/>
  <c r="Q16" i="22"/>
  <c r="Q17" i="22"/>
  <c r="Q18" i="22"/>
  <c r="Q19" i="22"/>
  <c r="Q20" i="22"/>
  <c r="Q21" i="22"/>
  <c r="Q22" i="22"/>
  <c r="Q23" i="22"/>
  <c r="Q24" i="22"/>
  <c r="Q25" i="22"/>
  <c r="Q26" i="22"/>
  <c r="Q27" i="22"/>
  <c r="Q28" i="22"/>
  <c r="Q29" i="22"/>
  <c r="Q30" i="22"/>
  <c r="Q31" i="22"/>
  <c r="Q32" i="22"/>
  <c r="Q33" i="22"/>
  <c r="Q34" i="22"/>
  <c r="Q35" i="22"/>
  <c r="Q36" i="22"/>
  <c r="Q37" i="22"/>
  <c r="Q38" i="22"/>
  <c r="Q39" i="22"/>
  <c r="Q40" i="22"/>
  <c r="Q41" i="22"/>
  <c r="Q42" i="22"/>
  <c r="Q43" i="22"/>
  <c r="Q44" i="22"/>
  <c r="Q45" i="22"/>
  <c r="Q46" i="22"/>
  <c r="Q47" i="22"/>
  <c r="Q48" i="22"/>
  <c r="Q49" i="22"/>
  <c r="Q50" i="22"/>
  <c r="Q51" i="22"/>
  <c r="Q52" i="22"/>
  <c r="Q53" i="22"/>
  <c r="Q54" i="22"/>
  <c r="Q55" i="22"/>
  <c r="Q56" i="22"/>
  <c r="Q57" i="22"/>
  <c r="Q58" i="22"/>
  <c r="Q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80" i="22"/>
  <c r="P81" i="22"/>
  <c r="P82" i="22"/>
  <c r="P83" i="22"/>
  <c r="P84" i="22"/>
  <c r="P85" i="22"/>
  <c r="P86" i="22"/>
  <c r="P87" i="22"/>
  <c r="P88" i="22"/>
  <c r="P89" i="22"/>
  <c r="P90" i="22"/>
  <c r="P91" i="22"/>
  <c r="P92" i="22"/>
  <c r="P93" i="22"/>
  <c r="P94" i="22"/>
  <c r="P95" i="22"/>
  <c r="P96" i="22"/>
  <c r="P97" i="22"/>
  <c r="P98" i="22"/>
  <c r="P99" i="22"/>
  <c r="P100" i="22"/>
  <c r="P101" i="22"/>
  <c r="P102" i="22"/>
  <c r="P103" i="22"/>
  <c r="P104" i="22"/>
  <c r="P105" i="22"/>
  <c r="P106" i="22"/>
  <c r="P107" i="22"/>
  <c r="P108" i="22"/>
  <c r="P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O58" i="22"/>
  <c r="O59" i="22"/>
  <c r="O60" i="22"/>
  <c r="O61" i="22"/>
  <c r="O62" i="22"/>
  <c r="O63" i="22"/>
  <c r="O64" i="22"/>
  <c r="O65" i="22"/>
  <c r="O66" i="22"/>
  <c r="O67" i="22"/>
  <c r="O68" i="22"/>
  <c r="O69" i="22"/>
  <c r="O70" i="22"/>
  <c r="O71" i="22"/>
  <c r="O72" i="22"/>
  <c r="O73" i="22"/>
  <c r="O74" i="22"/>
  <c r="O75" i="22"/>
  <c r="O76" i="22"/>
  <c r="O77" i="22"/>
  <c r="O78" i="22"/>
  <c r="O79" i="22"/>
  <c r="O80" i="22"/>
  <c r="O81" i="22"/>
  <c r="O82" i="22"/>
  <c r="O83" i="22"/>
  <c r="O84" i="22"/>
  <c r="O85" i="22"/>
  <c r="O86" i="22"/>
  <c r="O87" i="22"/>
  <c r="O88" i="22"/>
  <c r="O89" i="22"/>
  <c r="O90" i="22"/>
  <c r="O91" i="22"/>
  <c r="O92" i="22"/>
  <c r="O93" i="22"/>
  <c r="O94" i="22"/>
  <c r="O95" i="22"/>
  <c r="O96" i="22"/>
  <c r="O97" i="22"/>
  <c r="O98" i="22"/>
  <c r="O99" i="22"/>
  <c r="O100" i="22"/>
  <c r="O101" i="22"/>
  <c r="O102" i="22"/>
  <c r="O103" i="22"/>
  <c r="O104" i="22"/>
  <c r="O105" i="22"/>
  <c r="O106" i="22"/>
  <c r="O107" i="22"/>
  <c r="O108" i="22"/>
  <c r="O8" i="22"/>
  <c r="AH9" i="22"/>
  <c r="AH10" i="22"/>
  <c r="AH11" i="22"/>
  <c r="AH12" i="22"/>
  <c r="AH13" i="22"/>
  <c r="AH14" i="22"/>
  <c r="AH15" i="22"/>
  <c r="AH16" i="22"/>
  <c r="AH17" i="22"/>
  <c r="AH18" i="22"/>
  <c r="AH19" i="22"/>
  <c r="AH20" i="22"/>
  <c r="AH21" i="22"/>
  <c r="AH22" i="22"/>
  <c r="AH23" i="22"/>
  <c r="AH24" i="22"/>
  <c r="AH25" i="22"/>
  <c r="AH26" i="22"/>
  <c r="AH27" i="22"/>
  <c r="AH28" i="22"/>
  <c r="AH29" i="22"/>
  <c r="AH30" i="22"/>
  <c r="AH31" i="22"/>
  <c r="AH32" i="22"/>
  <c r="AH33" i="22"/>
  <c r="AH34" i="22"/>
  <c r="AH35" i="22"/>
  <c r="AH36" i="22"/>
  <c r="AH37" i="22"/>
  <c r="AH38" i="22"/>
  <c r="AH39" i="22"/>
  <c r="AH40" i="22"/>
  <c r="AH41" i="22"/>
  <c r="AH42" i="22"/>
  <c r="AH43" i="22"/>
  <c r="AH44" i="22"/>
  <c r="AH45" i="22"/>
  <c r="AH46" i="22"/>
  <c r="AH47" i="22"/>
  <c r="AH48" i="22"/>
  <c r="AH49" i="22"/>
  <c r="AH50" i="22"/>
  <c r="AH51" i="22"/>
  <c r="AH52" i="22"/>
  <c r="AH53" i="22"/>
  <c r="AH54" i="22"/>
  <c r="AH55" i="22"/>
  <c r="AH56" i="22"/>
  <c r="AH57" i="22"/>
  <c r="AH58" i="22"/>
  <c r="AH59" i="22"/>
  <c r="AH60" i="22"/>
  <c r="AH61" i="22"/>
  <c r="AH62" i="22"/>
  <c r="AH63" i="22"/>
  <c r="AH64" i="22"/>
  <c r="AH65" i="22"/>
  <c r="AH66" i="22"/>
  <c r="AH67" i="22"/>
  <c r="AH68" i="22"/>
  <c r="AH69" i="22"/>
  <c r="AH70" i="22"/>
  <c r="AH71" i="22"/>
  <c r="AH72" i="22"/>
  <c r="AH73" i="22"/>
  <c r="AH74" i="22"/>
  <c r="AH75" i="22"/>
  <c r="AH76" i="22"/>
  <c r="AH77" i="22"/>
  <c r="AH78" i="22"/>
  <c r="AH79" i="22"/>
  <c r="AH80" i="22"/>
  <c r="AH81" i="22"/>
  <c r="AH82" i="22"/>
  <c r="AH83" i="22"/>
  <c r="AH84" i="22"/>
  <c r="AH85" i="22"/>
  <c r="AH86" i="22"/>
  <c r="AH87" i="22"/>
  <c r="AH88" i="22"/>
  <c r="AH89" i="22"/>
  <c r="AH90" i="22"/>
  <c r="AH91" i="22"/>
  <c r="AH92" i="22"/>
  <c r="AH93" i="22"/>
  <c r="AH94" i="22"/>
  <c r="AH95" i="22"/>
  <c r="AH96" i="22"/>
  <c r="AH97" i="22"/>
  <c r="AH98" i="22"/>
  <c r="AH99" i="22"/>
  <c r="AH100" i="22"/>
  <c r="AH101" i="22"/>
  <c r="AH102" i="22"/>
  <c r="AH103" i="22"/>
  <c r="AH104" i="22"/>
  <c r="AH105" i="22"/>
  <c r="AH106" i="22"/>
  <c r="AH107" i="22"/>
  <c r="AH108" i="22"/>
  <c r="AH109" i="22"/>
  <c r="AH110" i="22"/>
  <c r="AH111" i="22"/>
  <c r="AH112" i="22"/>
  <c r="AH113" i="22"/>
  <c r="AH114" i="22"/>
  <c r="AH115" i="22"/>
  <c r="AH116" i="22"/>
  <c r="AH117" i="22"/>
  <c r="AH118" i="22"/>
  <c r="AH119" i="22"/>
  <c r="AH120" i="22"/>
  <c r="AH121" i="22"/>
  <c r="AH122" i="22"/>
  <c r="AH123" i="22"/>
  <c r="AH124" i="22"/>
  <c r="AH125" i="22"/>
  <c r="AH126" i="22"/>
  <c r="AH127" i="22"/>
  <c r="AH128" i="22"/>
  <c r="AH129" i="22"/>
  <c r="AH130" i="22"/>
  <c r="AH131" i="22"/>
  <c r="AH132" i="22"/>
  <c r="AH133" i="22"/>
  <c r="AH134" i="22"/>
  <c r="AH135" i="22"/>
  <c r="AH136" i="22"/>
  <c r="AH137" i="22"/>
  <c r="AH138" i="22"/>
  <c r="AH139" i="22"/>
  <c r="AH140" i="22"/>
  <c r="AH141" i="22"/>
  <c r="AH142" i="22"/>
  <c r="AH143" i="22"/>
  <c r="AH144" i="22"/>
  <c r="AH145" i="22"/>
  <c r="AH146" i="22"/>
  <c r="AH147" i="22"/>
  <c r="AH148" i="22"/>
  <c r="AH149" i="22"/>
  <c r="AH150" i="22"/>
  <c r="AH151" i="22"/>
  <c r="AH152" i="22"/>
  <c r="AH153" i="22"/>
  <c r="AH154" i="22"/>
  <c r="AH155" i="22"/>
  <c r="AH156" i="22"/>
  <c r="AH157" i="22"/>
  <c r="AH158" i="22"/>
  <c r="AH159" i="22"/>
  <c r="AH160" i="22"/>
  <c r="AH161" i="22"/>
  <c r="AH162" i="22"/>
  <c r="AH163" i="22"/>
  <c r="AH164" i="22"/>
  <c r="AH165" i="22"/>
  <c r="AH166" i="22"/>
  <c r="AH167" i="22"/>
  <c r="AH168" i="22"/>
  <c r="AH169" i="22"/>
  <c r="AH170" i="22"/>
  <c r="AH171" i="22"/>
  <c r="AH172" i="22"/>
  <c r="AH173" i="22"/>
  <c r="AH174" i="22"/>
  <c r="AH175" i="22"/>
  <c r="AH176" i="22"/>
  <c r="AH177" i="22"/>
  <c r="AH178" i="22"/>
  <c r="AH179" i="22"/>
  <c r="AH180" i="22"/>
  <c r="AH181" i="22"/>
  <c r="AH182" i="22"/>
  <c r="AH183" i="22"/>
  <c r="AH184" i="22"/>
  <c r="AH185" i="22"/>
  <c r="AH186" i="22"/>
  <c r="AH187" i="22"/>
  <c r="AH188" i="22"/>
  <c r="AH189" i="22"/>
  <c r="AH190" i="22"/>
  <c r="AH191" i="22"/>
  <c r="AH192" i="22"/>
  <c r="AH193" i="22"/>
  <c r="AH194" i="22"/>
  <c r="AH195" i="22"/>
  <c r="AH196" i="22"/>
  <c r="AH197" i="22"/>
  <c r="AH198" i="22"/>
  <c r="AH199" i="22"/>
  <c r="AH200" i="22"/>
  <c r="AH201" i="22"/>
  <c r="AH202" i="22"/>
  <c r="AH203" i="22"/>
  <c r="AH204" i="22"/>
  <c r="AH205" i="22"/>
  <c r="AH206" i="22"/>
  <c r="AH207" i="22"/>
  <c r="AH208" i="22"/>
  <c r="AH209" i="22"/>
  <c r="AH210" i="22"/>
  <c r="AH211" i="22"/>
  <c r="AH212" i="22"/>
  <c r="AH213" i="22"/>
  <c r="AH214" i="22"/>
  <c r="AH215" i="22"/>
  <c r="AH216" i="22"/>
  <c r="AH217" i="22"/>
  <c r="AH218" i="22"/>
  <c r="AH219" i="22"/>
  <c r="AH220" i="22"/>
  <c r="AH221" i="22"/>
  <c r="AH222" i="22"/>
  <c r="AH223" i="22"/>
  <c r="AH224" i="22"/>
  <c r="AH225" i="22"/>
  <c r="AH226" i="22"/>
  <c r="AH227" i="22"/>
  <c r="AH228" i="22"/>
  <c r="AH229" i="22"/>
  <c r="AH230" i="22"/>
  <c r="AH231" i="22"/>
  <c r="AH232" i="22"/>
  <c r="AH233" i="22"/>
  <c r="AH234" i="22"/>
  <c r="AH235" i="22"/>
  <c r="AH236" i="22"/>
  <c r="AH237" i="22"/>
  <c r="AH238" i="22"/>
  <c r="AH239" i="22"/>
  <c r="AH240" i="22"/>
  <c r="AH241" i="22"/>
  <c r="AH242" i="22"/>
  <c r="AH243" i="22"/>
  <c r="AH244" i="22"/>
  <c r="AH245" i="22"/>
  <c r="AH246" i="22"/>
  <c r="AH247" i="22"/>
  <c r="AH248" i="22"/>
  <c r="AH249" i="22"/>
  <c r="AH250" i="22"/>
  <c r="AH251" i="22"/>
  <c r="AH252" i="22"/>
  <c r="AH253" i="22"/>
  <c r="AH254" i="22"/>
  <c r="AH255" i="22"/>
  <c r="AH256" i="22"/>
  <c r="AH257" i="22"/>
  <c r="AH258" i="22"/>
  <c r="AH259" i="22"/>
  <c r="AH260" i="22"/>
  <c r="AH261" i="22"/>
  <c r="AH262" i="22"/>
  <c r="AH263" i="22"/>
  <c r="AH264" i="22"/>
  <c r="AH265" i="22"/>
  <c r="AH266" i="22"/>
  <c r="AH267" i="22"/>
  <c r="AH268" i="22"/>
  <c r="AH269" i="22"/>
  <c r="AH270" i="22"/>
  <c r="AH271" i="22"/>
  <c r="AH272" i="22"/>
  <c r="AH273" i="22"/>
  <c r="AH274" i="22"/>
  <c r="AH275" i="22"/>
  <c r="AH276" i="22"/>
  <c r="AH277" i="22"/>
  <c r="AH278" i="22"/>
  <c r="AH279" i="22"/>
  <c r="AH280" i="22"/>
  <c r="AH281" i="22"/>
  <c r="AH282" i="22"/>
  <c r="AH283" i="22"/>
  <c r="AH284" i="22"/>
  <c r="AH285" i="22"/>
  <c r="AH286" i="22"/>
  <c r="AH287" i="22"/>
  <c r="AH288" i="22"/>
  <c r="AH289" i="22"/>
  <c r="AH290" i="22"/>
  <c r="AH291" i="22"/>
  <c r="AH292" i="22"/>
  <c r="AH293" i="22"/>
  <c r="AH294" i="22"/>
  <c r="AH295" i="22"/>
  <c r="AH296" i="22"/>
  <c r="AH297" i="22"/>
  <c r="AH298" i="22"/>
  <c r="AH299" i="22"/>
  <c r="AH300" i="22"/>
  <c r="AH301" i="22"/>
  <c r="AH302" i="22"/>
  <c r="AH303" i="22"/>
  <c r="AH304" i="22"/>
  <c r="AH305" i="22"/>
  <c r="AH306" i="22"/>
  <c r="AH307" i="22"/>
  <c r="AH308" i="22"/>
  <c r="AH309" i="22"/>
  <c r="AH310" i="22"/>
  <c r="AH311" i="22"/>
  <c r="AH312" i="22"/>
  <c r="AH313" i="22"/>
  <c r="AH314" i="22"/>
  <c r="AH315" i="22"/>
  <c r="AH316" i="22"/>
  <c r="AH317" i="22"/>
  <c r="AH318" i="22"/>
  <c r="AH319" i="22"/>
  <c r="AH320" i="22"/>
  <c r="AH321" i="22"/>
  <c r="AH322" i="22"/>
  <c r="AH323" i="22"/>
  <c r="AH324" i="22"/>
  <c r="AH325" i="22"/>
  <c r="AH326" i="22"/>
  <c r="AH327" i="22"/>
  <c r="AH328" i="22"/>
  <c r="AH329" i="22"/>
  <c r="AH330" i="22"/>
  <c r="AH331" i="22"/>
  <c r="AH332" i="22"/>
  <c r="AH333" i="22"/>
  <c r="AH334" i="22"/>
  <c r="AH335" i="22"/>
  <c r="AH336" i="22"/>
  <c r="AH337" i="22"/>
  <c r="AH338" i="22"/>
  <c r="AH339" i="22"/>
  <c r="AH340" i="22"/>
  <c r="AH341" i="22"/>
  <c r="AH342" i="22"/>
  <c r="AH343" i="22"/>
  <c r="AH344" i="22"/>
  <c r="AH345" i="22"/>
  <c r="AH346" i="22"/>
  <c r="AH347" i="22"/>
  <c r="AH348" i="22"/>
  <c r="AH349" i="22"/>
  <c r="AH350" i="22"/>
  <c r="AH351" i="22"/>
  <c r="AH352" i="22"/>
  <c r="AH353" i="22"/>
  <c r="AH354" i="22"/>
  <c r="AH355" i="22"/>
  <c r="AH356" i="22"/>
  <c r="AH357" i="22"/>
  <c r="AH358" i="22"/>
  <c r="AH359" i="22"/>
  <c r="AH360" i="22"/>
  <c r="AH361" i="22"/>
  <c r="AH362" i="22"/>
  <c r="AH363" i="22"/>
  <c r="AH364" i="22"/>
  <c r="AH365" i="22"/>
  <c r="AH366" i="22"/>
  <c r="AH367" i="22"/>
  <c r="AH368" i="22"/>
  <c r="AH369" i="22"/>
  <c r="AH370" i="22"/>
  <c r="AH371" i="22"/>
  <c r="AH372" i="22"/>
  <c r="AH373" i="22"/>
  <c r="AH374" i="22"/>
  <c r="AH375" i="22"/>
  <c r="AH376" i="22"/>
  <c r="AH377" i="22"/>
  <c r="AH378" i="22"/>
  <c r="AH379" i="22"/>
  <c r="AH380" i="22"/>
  <c r="AH381" i="22"/>
  <c r="AH382" i="22"/>
  <c r="AH383" i="22"/>
  <c r="AH384" i="22"/>
  <c r="AH385" i="22"/>
  <c r="AH386" i="22"/>
  <c r="AH387" i="22"/>
  <c r="AH388" i="22"/>
  <c r="AH389" i="22"/>
  <c r="AH390" i="22"/>
  <c r="AH391" i="22"/>
  <c r="AH392" i="22"/>
  <c r="AH393" i="22"/>
  <c r="AH394" i="22"/>
  <c r="AH395" i="22"/>
  <c r="AH396" i="22"/>
  <c r="AH397" i="22"/>
  <c r="AH398" i="22"/>
  <c r="AH399" i="22"/>
  <c r="AH400" i="22"/>
  <c r="AH401" i="22"/>
  <c r="AH402" i="22"/>
  <c r="AH403" i="22"/>
  <c r="AH404" i="22"/>
  <c r="AH405" i="22"/>
  <c r="AH406" i="22"/>
  <c r="AH407" i="22"/>
  <c r="AH408" i="22"/>
  <c r="AH409" i="22"/>
  <c r="AH410" i="22"/>
  <c r="AH411" i="22"/>
  <c r="AH412" i="22"/>
  <c r="AH413" i="22"/>
  <c r="AH414" i="22"/>
  <c r="AH415" i="22"/>
  <c r="AH416" i="22"/>
  <c r="AH417" i="22"/>
  <c r="AH418" i="22"/>
  <c r="AH419" i="22"/>
  <c r="AH420" i="22"/>
  <c r="AH421" i="22"/>
  <c r="AH422" i="22"/>
  <c r="AH423" i="22"/>
  <c r="AH424" i="22"/>
  <c r="AH425" i="22"/>
  <c r="AH426" i="22"/>
  <c r="AH427" i="22"/>
  <c r="AH428" i="22"/>
  <c r="AH429" i="22"/>
  <c r="AH430" i="22"/>
  <c r="AH431" i="22"/>
  <c r="AH432" i="22"/>
  <c r="AH433" i="22"/>
  <c r="AH434" i="22"/>
  <c r="AH435" i="22"/>
  <c r="AH436" i="22"/>
  <c r="AH437" i="22"/>
  <c r="AH438" i="22"/>
  <c r="AH439" i="22"/>
  <c r="AH440" i="22"/>
  <c r="AH441" i="22"/>
  <c r="AH442" i="22"/>
  <c r="AH443" i="22"/>
  <c r="AH444" i="22"/>
  <c r="AH445" i="22"/>
  <c r="AH446" i="22"/>
  <c r="AH447" i="22"/>
  <c r="AH448" i="22"/>
  <c r="AH449" i="22"/>
  <c r="AH450" i="22"/>
  <c r="AH451" i="22"/>
  <c r="AH452" i="22"/>
  <c r="AH453" i="22"/>
  <c r="AH454" i="22"/>
  <c r="AH455" i="22"/>
  <c r="AH456" i="22"/>
  <c r="AH457" i="22"/>
  <c r="AH458" i="22"/>
  <c r="AH459" i="22"/>
  <c r="AH460" i="22"/>
  <c r="AH461" i="22"/>
  <c r="AH462" i="22"/>
  <c r="AH463" i="22"/>
  <c r="AH464" i="22"/>
  <c r="AH465" i="22"/>
  <c r="AH466" i="22"/>
  <c r="AH467" i="22"/>
  <c r="AH468" i="22"/>
  <c r="AH469" i="22"/>
  <c r="AH470" i="22"/>
  <c r="AH471" i="22"/>
  <c r="AH472" i="22"/>
  <c r="AH473" i="22"/>
  <c r="AH474" i="22"/>
  <c r="AH475" i="22"/>
  <c r="AH476" i="22"/>
  <c r="AH477" i="22"/>
  <c r="AH478" i="22"/>
  <c r="AH479" i="22"/>
  <c r="AH480" i="22"/>
  <c r="AH481" i="22"/>
  <c r="AH482" i="22"/>
  <c r="AH483" i="22"/>
  <c r="AH484" i="22"/>
  <c r="AH485" i="22"/>
  <c r="AH486" i="22"/>
  <c r="AH487" i="22"/>
  <c r="AH488" i="22"/>
  <c r="AH489" i="22"/>
  <c r="AH490" i="22"/>
  <c r="AH491" i="22"/>
  <c r="AH492" i="22"/>
  <c r="AH493" i="22"/>
  <c r="AH494" i="22"/>
  <c r="AH495" i="22"/>
  <c r="AH496" i="22"/>
  <c r="AH497" i="22"/>
  <c r="AH498" i="22"/>
  <c r="AH499" i="22"/>
  <c r="AH500" i="22"/>
  <c r="AH501" i="22"/>
  <c r="AH502" i="22"/>
  <c r="AH503" i="22"/>
  <c r="AH504" i="22"/>
  <c r="AH505" i="22"/>
  <c r="AH506" i="22"/>
  <c r="AH507" i="22"/>
  <c r="AH508" i="22"/>
  <c r="AH8" i="22"/>
  <c r="AG9" i="22"/>
  <c r="AG10" i="22"/>
  <c r="AG11" i="22"/>
  <c r="AG12" i="22"/>
  <c r="AG13" i="22"/>
  <c r="AG14" i="22"/>
  <c r="AG15" i="22"/>
  <c r="AG16" i="22"/>
  <c r="AG17" i="22"/>
  <c r="AG18" i="22"/>
  <c r="AG19" i="22"/>
  <c r="AG20" i="22"/>
  <c r="AG21" i="22"/>
  <c r="AG22" i="22"/>
  <c r="AG23" i="22"/>
  <c r="AG24" i="22"/>
  <c r="AG25" i="22"/>
  <c r="AG26" i="22"/>
  <c r="AG27" i="22"/>
  <c r="AG28" i="22"/>
  <c r="AG29" i="22"/>
  <c r="AG30" i="22"/>
  <c r="AG31" i="22"/>
  <c r="AG32" i="22"/>
  <c r="AG33" i="22"/>
  <c r="AG34" i="22"/>
  <c r="AG35" i="22"/>
  <c r="AG36" i="22"/>
  <c r="AG37" i="22"/>
  <c r="AG38" i="22"/>
  <c r="AG39" i="22"/>
  <c r="AG40" i="22"/>
  <c r="AG41" i="22"/>
  <c r="AG42" i="22"/>
  <c r="AG43" i="22"/>
  <c r="AG44" i="22"/>
  <c r="AG45" i="22"/>
  <c r="AG46" i="22"/>
  <c r="AG47" i="22"/>
  <c r="AG48" i="22"/>
  <c r="AG49" i="22"/>
  <c r="AG50" i="22"/>
  <c r="AG51" i="22"/>
  <c r="AG52" i="22"/>
  <c r="AG53" i="22"/>
  <c r="AG54" i="22"/>
  <c r="AG55" i="22"/>
  <c r="AG56" i="22"/>
  <c r="AG57" i="22"/>
  <c r="AG58" i="22"/>
  <c r="AG59" i="22"/>
  <c r="AG60" i="22"/>
  <c r="AG61" i="22"/>
  <c r="AG62" i="22"/>
  <c r="AG63" i="22"/>
  <c r="AG64" i="22"/>
  <c r="AG65" i="22"/>
  <c r="AG66" i="22"/>
  <c r="AG67" i="22"/>
  <c r="AG68" i="22"/>
  <c r="AG69" i="22"/>
  <c r="AG70" i="22"/>
  <c r="AG71" i="22"/>
  <c r="AG72" i="22"/>
  <c r="AG73" i="22"/>
  <c r="AG74" i="22"/>
  <c r="AG75" i="22"/>
  <c r="AG76" i="22"/>
  <c r="AG77" i="22"/>
  <c r="AG78" i="22"/>
  <c r="AG79" i="22"/>
  <c r="AG80" i="22"/>
  <c r="AG81" i="22"/>
  <c r="AG82" i="22"/>
  <c r="AG83" i="22"/>
  <c r="AG84" i="22"/>
  <c r="AG85" i="22"/>
  <c r="AG86" i="22"/>
  <c r="AG87" i="22"/>
  <c r="AG88" i="22"/>
  <c r="AG89" i="22"/>
  <c r="AG90" i="22"/>
  <c r="AG91" i="22"/>
  <c r="AG92" i="22"/>
  <c r="AG93" i="22"/>
  <c r="AG94" i="22"/>
  <c r="AG95" i="22"/>
  <c r="AG96" i="22"/>
  <c r="AG97" i="22"/>
  <c r="AG98" i="22"/>
  <c r="AG99" i="22"/>
  <c r="AG100" i="22"/>
  <c r="AG101" i="22"/>
  <c r="AG102" i="22"/>
  <c r="AG103" i="22"/>
  <c r="AG104" i="22"/>
  <c r="AG105" i="22"/>
  <c r="AG106" i="22"/>
  <c r="AG107" i="22"/>
  <c r="AG108" i="22"/>
  <c r="AG109" i="22"/>
  <c r="AG110" i="22"/>
  <c r="AG111" i="22"/>
  <c r="AG112" i="22"/>
  <c r="AG113" i="22"/>
  <c r="AG114" i="22"/>
  <c r="AG115" i="22"/>
  <c r="AG116" i="22"/>
  <c r="AG117" i="22"/>
  <c r="AG118" i="22"/>
  <c r="AG119" i="22"/>
  <c r="AG120" i="22"/>
  <c r="AG121" i="22"/>
  <c r="AG122" i="22"/>
  <c r="AG123" i="22"/>
  <c r="AG124" i="22"/>
  <c r="AG125" i="22"/>
  <c r="AG126" i="22"/>
  <c r="AG127" i="22"/>
  <c r="AG128" i="22"/>
  <c r="AG129" i="22"/>
  <c r="AG130" i="22"/>
  <c r="AG131" i="22"/>
  <c r="AG132" i="22"/>
  <c r="AG133" i="22"/>
  <c r="AG134" i="22"/>
  <c r="AG135" i="22"/>
  <c r="AG136" i="22"/>
  <c r="AG137" i="22"/>
  <c r="AG138" i="22"/>
  <c r="AG139" i="22"/>
  <c r="AG140" i="22"/>
  <c r="AG141" i="22"/>
  <c r="AG142" i="22"/>
  <c r="AG143" i="22"/>
  <c r="AG144" i="22"/>
  <c r="AG145" i="22"/>
  <c r="AG146" i="22"/>
  <c r="AG147" i="22"/>
  <c r="AG148" i="22"/>
  <c r="AG149" i="22"/>
  <c r="AG150" i="22"/>
  <c r="AG151" i="22"/>
  <c r="AG152" i="22"/>
  <c r="AG153" i="22"/>
  <c r="AG154" i="22"/>
  <c r="AG155" i="22"/>
  <c r="AG156" i="22"/>
  <c r="AG157" i="22"/>
  <c r="AG158" i="22"/>
  <c r="AG159" i="22"/>
  <c r="AG160" i="22"/>
  <c r="AG161" i="22"/>
  <c r="AG162" i="22"/>
  <c r="AG163" i="22"/>
  <c r="AG164" i="22"/>
  <c r="AG165" i="22"/>
  <c r="AG166" i="22"/>
  <c r="AG167" i="22"/>
  <c r="AG168" i="22"/>
  <c r="AG169" i="22"/>
  <c r="AG170" i="22"/>
  <c r="AG171" i="22"/>
  <c r="AG172" i="22"/>
  <c r="AG173" i="22"/>
  <c r="AG174" i="22"/>
  <c r="AG175" i="22"/>
  <c r="AG176" i="22"/>
  <c r="AG177" i="22"/>
  <c r="AG178" i="22"/>
  <c r="AG179" i="22"/>
  <c r="AG180" i="22"/>
  <c r="AG181" i="22"/>
  <c r="AG182" i="22"/>
  <c r="AG183" i="22"/>
  <c r="AG184" i="22"/>
  <c r="AG185" i="22"/>
  <c r="AG186" i="22"/>
  <c r="AG187" i="22"/>
  <c r="AG188" i="22"/>
  <c r="AG189" i="22"/>
  <c r="AG190" i="22"/>
  <c r="AG191" i="22"/>
  <c r="AG192" i="22"/>
  <c r="AG193" i="22"/>
  <c r="AG194" i="22"/>
  <c r="AG195" i="22"/>
  <c r="AG196" i="22"/>
  <c r="AG197" i="22"/>
  <c r="AG198" i="22"/>
  <c r="AG199" i="22"/>
  <c r="AG200" i="22"/>
  <c r="AG201" i="22"/>
  <c r="AG202" i="22"/>
  <c r="AG203" i="22"/>
  <c r="AG204" i="22"/>
  <c r="AG205" i="22"/>
  <c r="AG206" i="22"/>
  <c r="AG207" i="22"/>
  <c r="AG208" i="22"/>
  <c r="AG209" i="22"/>
  <c r="AG210" i="22"/>
  <c r="AG211" i="22"/>
  <c r="AG212" i="22"/>
  <c r="AG213" i="22"/>
  <c r="AG214" i="22"/>
  <c r="AG215" i="22"/>
  <c r="AG216" i="22"/>
  <c r="AG217" i="22"/>
  <c r="AG218" i="22"/>
  <c r="AG219" i="22"/>
  <c r="AG220" i="22"/>
  <c r="AG221" i="22"/>
  <c r="AG222" i="22"/>
  <c r="AG223" i="22"/>
  <c r="AG224" i="22"/>
  <c r="AG225" i="22"/>
  <c r="AG226" i="22"/>
  <c r="AG227" i="22"/>
  <c r="AG228" i="22"/>
  <c r="AG229" i="22"/>
  <c r="AG230" i="22"/>
  <c r="AG231" i="22"/>
  <c r="AG232" i="22"/>
  <c r="AG233" i="22"/>
  <c r="AG234" i="22"/>
  <c r="AG235" i="22"/>
  <c r="AG236" i="22"/>
  <c r="AG237" i="22"/>
  <c r="AG238" i="22"/>
  <c r="AG239" i="22"/>
  <c r="AG240" i="22"/>
  <c r="AG241" i="22"/>
  <c r="AG242" i="22"/>
  <c r="AG243" i="22"/>
  <c r="AG244" i="22"/>
  <c r="AG245" i="22"/>
  <c r="AG246" i="22"/>
  <c r="AG247" i="22"/>
  <c r="AG248" i="22"/>
  <c r="AG249" i="22"/>
  <c r="AG250" i="22"/>
  <c r="AG251" i="22"/>
  <c r="AG252" i="22"/>
  <c r="AG253" i="22"/>
  <c r="AG254" i="22"/>
  <c r="AG255" i="22"/>
  <c r="AG256" i="22"/>
  <c r="AG257" i="22"/>
  <c r="AG258" i="22"/>
  <c r="AG259" i="22"/>
  <c r="AG260" i="22"/>
  <c r="AG261" i="22"/>
  <c r="AG262" i="22"/>
  <c r="AG263" i="22"/>
  <c r="AG264" i="22"/>
  <c r="AG265" i="22"/>
  <c r="AG266" i="22"/>
  <c r="AG267" i="22"/>
  <c r="AG268" i="22"/>
  <c r="AG269" i="22"/>
  <c r="AG270" i="22"/>
  <c r="AG271" i="22"/>
  <c r="AG272" i="22"/>
  <c r="AG273" i="22"/>
  <c r="AG274" i="22"/>
  <c r="AG275" i="22"/>
  <c r="AG276" i="22"/>
  <c r="AG277" i="22"/>
  <c r="AG278" i="22"/>
  <c r="AG279" i="22"/>
  <c r="AG280" i="22"/>
  <c r="AG281" i="22"/>
  <c r="AG282" i="22"/>
  <c r="AG283" i="22"/>
  <c r="AG284" i="22"/>
  <c r="AG285" i="22"/>
  <c r="AG286" i="22"/>
  <c r="AG287" i="22"/>
  <c r="AG288" i="22"/>
  <c r="AG289" i="22"/>
  <c r="AG290" i="22"/>
  <c r="AG291" i="22"/>
  <c r="AG292" i="22"/>
  <c r="AG293" i="22"/>
  <c r="AG294" i="22"/>
  <c r="AG295" i="22"/>
  <c r="AG296" i="22"/>
  <c r="AG297" i="22"/>
  <c r="AG298" i="22"/>
  <c r="AG299" i="22"/>
  <c r="AG300" i="22"/>
  <c r="AG301" i="22"/>
  <c r="AG302" i="22"/>
  <c r="AG303" i="22"/>
  <c r="AG304" i="22"/>
  <c r="AG305" i="22"/>
  <c r="AG306" i="22"/>
  <c r="AG307" i="22"/>
  <c r="AG308" i="22"/>
  <c r="AG309" i="22"/>
  <c r="AG310" i="22"/>
  <c r="AG311" i="22"/>
  <c r="AG312" i="22"/>
  <c r="AG313" i="22"/>
  <c r="AG314" i="22"/>
  <c r="AG315" i="22"/>
  <c r="AG316" i="22"/>
  <c r="AG317" i="22"/>
  <c r="AG318" i="22"/>
  <c r="AG319" i="22"/>
  <c r="AG320" i="22"/>
  <c r="AG321" i="22"/>
  <c r="AG322" i="22"/>
  <c r="AG323" i="22"/>
  <c r="AG324" i="22"/>
  <c r="AG325" i="22"/>
  <c r="AG326" i="22"/>
  <c r="AG327" i="22"/>
  <c r="AG328" i="22"/>
  <c r="AG329" i="22"/>
  <c r="AG330" i="22"/>
  <c r="AG331" i="22"/>
  <c r="AG332" i="22"/>
  <c r="AG333" i="22"/>
  <c r="AG334" i="22"/>
  <c r="AG335" i="22"/>
  <c r="AG336" i="22"/>
  <c r="AG337" i="22"/>
  <c r="AG338" i="22"/>
  <c r="AG339" i="22"/>
  <c r="AG340" i="22"/>
  <c r="AG341" i="22"/>
  <c r="AG342" i="22"/>
  <c r="AG343" i="22"/>
  <c r="AG344" i="22"/>
  <c r="AG345" i="22"/>
  <c r="AG346" i="22"/>
  <c r="AG347" i="22"/>
  <c r="AG348" i="22"/>
  <c r="AG349" i="22"/>
  <c r="AG350" i="22"/>
  <c r="AG351" i="22"/>
  <c r="AG352" i="22"/>
  <c r="AG353" i="22"/>
  <c r="AG354" i="22"/>
  <c r="AG355" i="22"/>
  <c r="AG356" i="22"/>
  <c r="AG357" i="22"/>
  <c r="AG358" i="22"/>
  <c r="AG359" i="22"/>
  <c r="AG360" i="22"/>
  <c r="AG361" i="22"/>
  <c r="AG362" i="22"/>
  <c r="AG363" i="22"/>
  <c r="AG364" i="22"/>
  <c r="AG365" i="22"/>
  <c r="AG366" i="22"/>
  <c r="AG367" i="22"/>
  <c r="AG368" i="22"/>
  <c r="AG369" i="22"/>
  <c r="AG370" i="22"/>
  <c r="AG371" i="22"/>
  <c r="AG372" i="22"/>
  <c r="AG373" i="22"/>
  <c r="AG374" i="22"/>
  <c r="AG375" i="22"/>
  <c r="AG376" i="22"/>
  <c r="AG377" i="22"/>
  <c r="AG378" i="22"/>
  <c r="AG379" i="22"/>
  <c r="AG380" i="22"/>
  <c r="AG381" i="22"/>
  <c r="AG382" i="22"/>
  <c r="AG383" i="22"/>
  <c r="AG384" i="22"/>
  <c r="AG385" i="22"/>
  <c r="AG386" i="22"/>
  <c r="AG387" i="22"/>
  <c r="AG388" i="22"/>
  <c r="AG389" i="22"/>
  <c r="AG390" i="22"/>
  <c r="AG391" i="22"/>
  <c r="AG392" i="22"/>
  <c r="AG393" i="22"/>
  <c r="AG394" i="22"/>
  <c r="AG395" i="22"/>
  <c r="AG396" i="22"/>
  <c r="AG397" i="22"/>
  <c r="AG398" i="22"/>
  <c r="AG399" i="22"/>
  <c r="AG400" i="22"/>
  <c r="AG401" i="22"/>
  <c r="AG402" i="22"/>
  <c r="AG403" i="22"/>
  <c r="AG404" i="22"/>
  <c r="AG405" i="22"/>
  <c r="AG406" i="22"/>
  <c r="AG407" i="22"/>
  <c r="AG408" i="22"/>
  <c r="AG409" i="22"/>
  <c r="AG410" i="22"/>
  <c r="AG411" i="22"/>
  <c r="AG412" i="22"/>
  <c r="AG413" i="22"/>
  <c r="AG414" i="22"/>
  <c r="AG415" i="22"/>
  <c r="AG416" i="22"/>
  <c r="AG417" i="22"/>
  <c r="AG418" i="22"/>
  <c r="AG419" i="22"/>
  <c r="AG420" i="22"/>
  <c r="AG421" i="22"/>
  <c r="AG422" i="22"/>
  <c r="AG423" i="22"/>
  <c r="AG424" i="22"/>
  <c r="AG425" i="22"/>
  <c r="AG426" i="22"/>
  <c r="AG427" i="22"/>
  <c r="AG428" i="22"/>
  <c r="AG429" i="22"/>
  <c r="AG430" i="22"/>
  <c r="AG431" i="22"/>
  <c r="AG432" i="22"/>
  <c r="AG433" i="22"/>
  <c r="AG434" i="22"/>
  <c r="AG435" i="22"/>
  <c r="AG436" i="22"/>
  <c r="AG437" i="22"/>
  <c r="AG438" i="22"/>
  <c r="AG439" i="22"/>
  <c r="AG440" i="22"/>
  <c r="AG441" i="22"/>
  <c r="AG442" i="22"/>
  <c r="AG443" i="22"/>
  <c r="AG444" i="22"/>
  <c r="AG445" i="22"/>
  <c r="AG446" i="22"/>
  <c r="AG447" i="22"/>
  <c r="AG448" i="22"/>
  <c r="AG449" i="22"/>
  <c r="AG450" i="22"/>
  <c r="AG451" i="22"/>
  <c r="AG452" i="22"/>
  <c r="AG453" i="22"/>
  <c r="AG454" i="22"/>
  <c r="AG455" i="22"/>
  <c r="AG456" i="22"/>
  <c r="AG457" i="22"/>
  <c r="AG458" i="22"/>
  <c r="AG8" i="22"/>
  <c r="AF9" i="22"/>
  <c r="AF10" i="22"/>
  <c r="AF11" i="22"/>
  <c r="AF12" i="22"/>
  <c r="AF13" i="22"/>
  <c r="AF14" i="22"/>
  <c r="AF15" i="22"/>
  <c r="AF16" i="22"/>
  <c r="AF17" i="22"/>
  <c r="AF18" i="22"/>
  <c r="AF19" i="22"/>
  <c r="AF20" i="22"/>
  <c r="AF21" i="22"/>
  <c r="AF22" i="22"/>
  <c r="AF23" i="22"/>
  <c r="AF24" i="22"/>
  <c r="AF25" i="22"/>
  <c r="AF26" i="22"/>
  <c r="AF27" i="22"/>
  <c r="AF28" i="22"/>
  <c r="AF29" i="22"/>
  <c r="AF30" i="22"/>
  <c r="AF31" i="22"/>
  <c r="AF32" i="22"/>
  <c r="AF33" i="22"/>
  <c r="AF34" i="22"/>
  <c r="AF35" i="22"/>
  <c r="AF36" i="22"/>
  <c r="AF37" i="22"/>
  <c r="AF38" i="22"/>
  <c r="AF39" i="22"/>
  <c r="AF40" i="22"/>
  <c r="AF41" i="22"/>
  <c r="AF42" i="22"/>
  <c r="AF43" i="22"/>
  <c r="AF44" i="22"/>
  <c r="AF45" i="22"/>
  <c r="AF46" i="22"/>
  <c r="AF47" i="22"/>
  <c r="AF48" i="22"/>
  <c r="AF49" i="22"/>
  <c r="AF50" i="22"/>
  <c r="AF51" i="22"/>
  <c r="AF52" i="22"/>
  <c r="AF53" i="22"/>
  <c r="AF54" i="22"/>
  <c r="AF55" i="22"/>
  <c r="AF56" i="22"/>
  <c r="AF57" i="22"/>
  <c r="AF58" i="22"/>
  <c r="AF59" i="22"/>
  <c r="AF60" i="22"/>
  <c r="AF61" i="22"/>
  <c r="AF62" i="22"/>
  <c r="AF63" i="22"/>
  <c r="AF64" i="22"/>
  <c r="AF65" i="22"/>
  <c r="AF66" i="22"/>
  <c r="AF67" i="22"/>
  <c r="AF68" i="22"/>
  <c r="AF69" i="22"/>
  <c r="AF70" i="22"/>
  <c r="AF71" i="22"/>
  <c r="AF72" i="22"/>
  <c r="AF73" i="22"/>
  <c r="AF74" i="22"/>
  <c r="AF75" i="22"/>
  <c r="AF76" i="22"/>
  <c r="AF77" i="22"/>
  <c r="AF78" i="22"/>
  <c r="AF79" i="22"/>
  <c r="AF80" i="22"/>
  <c r="AF81" i="22"/>
  <c r="AF82" i="22"/>
  <c r="AF83" i="22"/>
  <c r="AF84" i="22"/>
  <c r="AF85" i="22"/>
  <c r="AF86" i="22"/>
  <c r="AF87" i="22"/>
  <c r="AF88" i="22"/>
  <c r="AF89" i="22"/>
  <c r="AF90" i="22"/>
  <c r="AF91" i="22"/>
  <c r="AF92" i="22"/>
  <c r="AF93" i="22"/>
  <c r="AF94" i="22"/>
  <c r="AF95" i="22"/>
  <c r="AF96" i="22"/>
  <c r="AF97" i="22"/>
  <c r="AF98" i="22"/>
  <c r="AF99" i="22"/>
  <c r="AF100" i="22"/>
  <c r="AF101" i="22"/>
  <c r="AF102" i="22"/>
  <c r="AF103" i="22"/>
  <c r="AF104" i="22"/>
  <c r="AF105" i="22"/>
  <c r="AF106" i="22"/>
  <c r="AF107" i="22"/>
  <c r="AF108" i="22"/>
  <c r="AF109" i="22"/>
  <c r="AF110" i="22"/>
  <c r="AF111" i="22"/>
  <c r="AF112" i="22"/>
  <c r="AF113" i="22"/>
  <c r="AF114" i="22"/>
  <c r="AF115" i="22"/>
  <c r="AF116" i="22"/>
  <c r="AF117" i="22"/>
  <c r="AF118" i="22"/>
  <c r="AF119" i="22"/>
  <c r="AF120" i="22"/>
  <c r="AF121" i="22"/>
  <c r="AF122" i="22"/>
  <c r="AF123" i="22"/>
  <c r="AF124" i="22"/>
  <c r="AF125" i="22"/>
  <c r="AF126" i="22"/>
  <c r="AF127" i="22"/>
  <c r="AF128" i="22"/>
  <c r="AF129" i="22"/>
  <c r="AF130" i="22"/>
  <c r="AF131" i="22"/>
  <c r="AF132" i="22"/>
  <c r="AF133" i="22"/>
  <c r="AF134" i="22"/>
  <c r="AF135" i="22"/>
  <c r="AF136" i="22"/>
  <c r="AF137" i="22"/>
  <c r="AF138" i="22"/>
  <c r="AF139" i="22"/>
  <c r="AF140" i="22"/>
  <c r="AF141" i="22"/>
  <c r="AF142" i="22"/>
  <c r="AF143" i="22"/>
  <c r="AF144" i="22"/>
  <c r="AF145" i="22"/>
  <c r="AF146" i="22"/>
  <c r="AF147" i="22"/>
  <c r="AF148" i="22"/>
  <c r="AF149" i="22"/>
  <c r="AF150" i="22"/>
  <c r="AF151" i="22"/>
  <c r="AF152" i="22"/>
  <c r="AF153" i="22"/>
  <c r="AF154" i="22"/>
  <c r="AF155" i="22"/>
  <c r="AF156" i="22"/>
  <c r="AF157" i="22"/>
  <c r="AF158" i="22"/>
  <c r="AF159" i="22"/>
  <c r="AF160" i="22"/>
  <c r="AF161" i="22"/>
  <c r="AF162" i="22"/>
  <c r="AF163" i="22"/>
  <c r="AF164" i="22"/>
  <c r="AF165" i="22"/>
  <c r="AF166" i="22"/>
  <c r="AF167" i="22"/>
  <c r="AF168" i="22"/>
  <c r="AF169" i="22"/>
  <c r="AF170" i="22"/>
  <c r="AF171" i="22"/>
  <c r="AF172" i="22"/>
  <c r="AF173" i="22"/>
  <c r="AF174" i="22"/>
  <c r="AF175" i="22"/>
  <c r="AF176" i="22"/>
  <c r="AF177" i="22"/>
  <c r="AF178" i="22"/>
  <c r="AF179" i="22"/>
  <c r="AF180" i="22"/>
  <c r="AF181" i="22"/>
  <c r="AF182" i="22"/>
  <c r="AF183" i="22"/>
  <c r="AF184" i="22"/>
  <c r="AF185" i="22"/>
  <c r="AF186" i="22"/>
  <c r="AF187" i="22"/>
  <c r="AF188" i="22"/>
  <c r="AF189" i="22"/>
  <c r="AF190" i="22"/>
  <c r="AF191" i="22"/>
  <c r="AF192" i="22"/>
  <c r="AF193" i="22"/>
  <c r="AF194" i="22"/>
  <c r="AF195" i="22"/>
  <c r="AF196" i="22"/>
  <c r="AF197" i="22"/>
  <c r="AF198" i="22"/>
  <c r="AF199" i="22"/>
  <c r="AF200" i="22"/>
  <c r="AF201" i="22"/>
  <c r="AF202" i="22"/>
  <c r="AF203" i="22"/>
  <c r="AF204" i="22"/>
  <c r="AF205" i="22"/>
  <c r="AF206" i="22"/>
  <c r="AF207" i="22"/>
  <c r="AF208" i="22"/>
  <c r="AF209" i="22"/>
  <c r="AF210" i="22"/>
  <c r="AF211" i="22"/>
  <c r="AF212" i="22"/>
  <c r="AF213" i="22"/>
  <c r="AF214" i="22"/>
  <c r="AF215" i="22"/>
  <c r="AF216" i="22"/>
  <c r="AF217" i="22"/>
  <c r="AF218" i="22"/>
  <c r="AF219" i="22"/>
  <c r="AF220" i="22"/>
  <c r="AF221" i="22"/>
  <c r="AF222" i="22"/>
  <c r="AF223" i="22"/>
  <c r="AF224" i="22"/>
  <c r="AF225" i="22"/>
  <c r="AF226" i="22"/>
  <c r="AF227" i="22"/>
  <c r="AF228" i="22"/>
  <c r="AF229" i="22"/>
  <c r="AF230" i="22"/>
  <c r="AF231" i="22"/>
  <c r="AF232" i="22"/>
  <c r="AF233" i="22"/>
  <c r="AF234" i="22"/>
  <c r="AF235" i="22"/>
  <c r="AF236" i="22"/>
  <c r="AF237" i="22"/>
  <c r="AF238" i="22"/>
  <c r="AF239" i="22"/>
  <c r="AF240" i="22"/>
  <c r="AF241" i="22"/>
  <c r="AF242" i="22"/>
  <c r="AF243" i="22"/>
  <c r="AF244" i="22"/>
  <c r="AF245" i="22"/>
  <c r="AF246" i="22"/>
  <c r="AF247" i="22"/>
  <c r="AF248" i="22"/>
  <c r="AF249" i="22"/>
  <c r="AF250" i="22"/>
  <c r="AF251" i="22"/>
  <c r="AF252" i="22"/>
  <c r="AF253" i="22"/>
  <c r="AF254" i="22"/>
  <c r="AF255" i="22"/>
  <c r="AF256" i="22"/>
  <c r="AF257" i="22"/>
  <c r="AF258" i="22"/>
  <c r="AF259" i="22"/>
  <c r="AF260" i="22"/>
  <c r="AF261" i="22"/>
  <c r="AF262" i="22"/>
  <c r="AF263" i="22"/>
  <c r="AF264" i="22"/>
  <c r="AF265" i="22"/>
  <c r="AF266" i="22"/>
  <c r="AF267" i="22"/>
  <c r="AF268" i="22"/>
  <c r="AF269" i="22"/>
  <c r="AF270" i="22"/>
  <c r="AF271" i="22"/>
  <c r="AF272" i="22"/>
  <c r="AF273" i="22"/>
  <c r="AF274" i="22"/>
  <c r="AF275" i="22"/>
  <c r="AF276" i="22"/>
  <c r="AF277" i="22"/>
  <c r="AF278" i="22"/>
  <c r="AF279" i="22"/>
  <c r="AF280" i="22"/>
  <c r="AF281" i="22"/>
  <c r="AF282" i="22"/>
  <c r="AF283" i="22"/>
  <c r="AF284" i="22"/>
  <c r="AF285" i="22"/>
  <c r="AF286" i="22"/>
  <c r="AF287" i="22"/>
  <c r="AF288" i="22"/>
  <c r="AF289" i="22"/>
  <c r="AF290" i="22"/>
  <c r="AF291" i="22"/>
  <c r="AF292" i="22"/>
  <c r="AF293" i="22"/>
  <c r="AF294" i="22"/>
  <c r="AF295" i="22"/>
  <c r="AF296" i="22"/>
  <c r="AF297" i="22"/>
  <c r="AF298" i="22"/>
  <c r="AF299" i="22"/>
  <c r="AF300" i="22"/>
  <c r="AF301" i="22"/>
  <c r="AF302" i="22"/>
  <c r="AF303" i="22"/>
  <c r="AF304" i="22"/>
  <c r="AF305" i="22"/>
  <c r="AF306" i="22"/>
  <c r="AF307" i="22"/>
  <c r="AF308" i="22"/>
  <c r="AF309" i="22"/>
  <c r="AF310" i="22"/>
  <c r="AF311" i="22"/>
  <c r="AF312" i="22"/>
  <c r="AF313" i="22"/>
  <c r="AF314" i="22"/>
  <c r="AF315" i="22"/>
  <c r="AF316" i="22"/>
  <c r="AF317" i="22"/>
  <c r="AF318" i="22"/>
  <c r="AF319" i="22"/>
  <c r="AF320" i="22"/>
  <c r="AF321" i="22"/>
  <c r="AF322" i="22"/>
  <c r="AF323" i="22"/>
  <c r="AF324" i="22"/>
  <c r="AF325" i="22"/>
  <c r="AF326" i="22"/>
  <c r="AF327" i="22"/>
  <c r="AF328" i="22"/>
  <c r="AF329" i="22"/>
  <c r="AF330" i="22"/>
  <c r="AF331" i="22"/>
  <c r="AF332" i="22"/>
  <c r="AF333" i="22"/>
  <c r="AF334" i="22"/>
  <c r="AF335" i="22"/>
  <c r="AF336" i="22"/>
  <c r="AF337" i="22"/>
  <c r="AF338" i="22"/>
  <c r="AF339" i="22"/>
  <c r="AF340" i="22"/>
  <c r="AF341" i="22"/>
  <c r="AF342" i="22"/>
  <c r="AF343" i="22"/>
  <c r="AF344" i="22"/>
  <c r="AF345" i="22"/>
  <c r="AF346" i="22"/>
  <c r="AF347" i="22"/>
  <c r="AF348" i="22"/>
  <c r="AF349" i="22"/>
  <c r="AF350" i="22"/>
  <c r="AF351" i="22"/>
  <c r="AF352" i="22"/>
  <c r="AF353" i="22"/>
  <c r="AF354" i="22"/>
  <c r="AF355" i="22"/>
  <c r="AF356" i="22"/>
  <c r="AF357" i="22"/>
  <c r="AF358" i="22"/>
  <c r="AF359" i="22"/>
  <c r="AF360" i="22"/>
  <c r="AF361" i="22"/>
  <c r="AF362" i="22"/>
  <c r="AF363" i="22"/>
  <c r="AF364" i="22"/>
  <c r="AF365" i="22"/>
  <c r="AF366" i="22"/>
  <c r="AF367" i="22"/>
  <c r="AF368" i="22"/>
  <c r="AF369" i="22"/>
  <c r="AF370" i="22"/>
  <c r="AF371" i="22"/>
  <c r="AF372" i="22"/>
  <c r="AF373" i="22"/>
  <c r="AF374" i="22"/>
  <c r="AF375" i="22"/>
  <c r="AF376" i="22"/>
  <c r="AF377" i="22"/>
  <c r="AF378" i="22"/>
  <c r="AF379" i="22"/>
  <c r="AF380" i="22"/>
  <c r="AF381" i="22"/>
  <c r="AF382" i="22"/>
  <c r="AF383" i="22"/>
  <c r="AF384" i="22"/>
  <c r="AF385" i="22"/>
  <c r="AF386" i="22"/>
  <c r="AF387" i="22"/>
  <c r="AF388" i="22"/>
  <c r="AF389" i="22"/>
  <c r="AF390" i="22"/>
  <c r="AF391" i="22"/>
  <c r="AF392" i="22"/>
  <c r="AF393" i="22"/>
  <c r="AF394" i="22"/>
  <c r="AF395" i="22"/>
  <c r="AF396" i="22"/>
  <c r="AF397" i="22"/>
  <c r="AF398" i="22"/>
  <c r="AF399" i="22"/>
  <c r="AF400" i="22"/>
  <c r="AF401" i="22"/>
  <c r="AF402" i="22"/>
  <c r="AF403" i="22"/>
  <c r="AF404" i="22"/>
  <c r="AF405" i="22"/>
  <c r="AF406" i="22"/>
  <c r="AF407" i="22"/>
  <c r="AF408" i="22"/>
  <c r="AF8" i="22"/>
  <c r="AE9" i="22"/>
  <c r="AE10" i="22"/>
  <c r="AE11" i="22"/>
  <c r="AE12" i="22"/>
  <c r="AE13" i="22"/>
  <c r="AE14" i="22"/>
  <c r="AE15" i="22"/>
  <c r="AE16" i="22"/>
  <c r="AE17" i="22"/>
  <c r="AE18" i="22"/>
  <c r="AE19" i="22"/>
  <c r="AE20" i="22"/>
  <c r="AE21" i="22"/>
  <c r="AE22" i="22"/>
  <c r="AE23" i="22"/>
  <c r="AE24" i="22"/>
  <c r="AE25" i="22"/>
  <c r="AE26" i="22"/>
  <c r="AE27" i="22"/>
  <c r="AE28" i="22"/>
  <c r="AE29" i="22"/>
  <c r="AE30" i="22"/>
  <c r="AE31" i="22"/>
  <c r="AE32" i="22"/>
  <c r="AE33" i="22"/>
  <c r="AE34" i="22"/>
  <c r="AE35" i="22"/>
  <c r="AE36" i="22"/>
  <c r="AE37" i="22"/>
  <c r="AE38" i="22"/>
  <c r="AE39" i="22"/>
  <c r="AE40" i="22"/>
  <c r="AE41" i="22"/>
  <c r="AE42" i="22"/>
  <c r="AE43" i="22"/>
  <c r="AE44" i="22"/>
  <c r="AE45" i="22"/>
  <c r="AE46" i="22"/>
  <c r="AE47" i="22"/>
  <c r="AE48" i="22"/>
  <c r="AE49" i="22"/>
  <c r="AE50" i="22"/>
  <c r="AE51" i="22"/>
  <c r="AE52" i="22"/>
  <c r="AE53" i="22"/>
  <c r="AE54" i="22"/>
  <c r="AE55" i="22"/>
  <c r="AE56" i="22"/>
  <c r="AE57" i="22"/>
  <c r="AE58" i="22"/>
  <c r="AE59" i="22"/>
  <c r="AE60" i="22"/>
  <c r="AE61" i="22"/>
  <c r="AE62" i="22"/>
  <c r="AE63" i="22"/>
  <c r="AE64" i="22"/>
  <c r="AE65" i="22"/>
  <c r="AE66" i="22"/>
  <c r="AE67" i="22"/>
  <c r="AE68" i="22"/>
  <c r="AE69" i="22"/>
  <c r="AE70" i="22"/>
  <c r="AE71" i="22"/>
  <c r="AE72" i="22"/>
  <c r="AE73" i="22"/>
  <c r="AE74" i="22"/>
  <c r="AE75" i="22"/>
  <c r="AE76" i="22"/>
  <c r="AE77" i="22"/>
  <c r="AE78" i="22"/>
  <c r="AE79" i="22"/>
  <c r="AE80" i="22"/>
  <c r="AE81" i="22"/>
  <c r="AE82" i="22"/>
  <c r="AE83" i="22"/>
  <c r="AE84" i="22"/>
  <c r="AE85" i="22"/>
  <c r="AE86" i="22"/>
  <c r="AE87" i="22"/>
  <c r="AE88" i="22"/>
  <c r="AE89" i="22"/>
  <c r="AE90" i="22"/>
  <c r="AE91" i="22"/>
  <c r="AE92" i="22"/>
  <c r="AE93" i="22"/>
  <c r="AE94" i="22"/>
  <c r="AE95" i="22"/>
  <c r="AE96" i="22"/>
  <c r="AE97" i="22"/>
  <c r="AE98" i="22"/>
  <c r="AE99" i="22"/>
  <c r="AE100" i="22"/>
  <c r="AE101" i="22"/>
  <c r="AE102" i="22"/>
  <c r="AE103" i="22"/>
  <c r="AE104" i="22"/>
  <c r="AE105" i="22"/>
  <c r="AE106" i="22"/>
  <c r="AE107" i="22"/>
  <c r="AE108" i="22"/>
  <c r="AE109" i="22"/>
  <c r="AE110" i="22"/>
  <c r="AE111" i="22"/>
  <c r="AE112" i="22"/>
  <c r="AE113" i="22"/>
  <c r="AE114" i="22"/>
  <c r="AE115" i="22"/>
  <c r="AE116" i="22"/>
  <c r="AE117" i="22"/>
  <c r="AE118" i="22"/>
  <c r="AE119" i="22"/>
  <c r="AE120" i="22"/>
  <c r="AE121" i="22"/>
  <c r="AE122" i="22"/>
  <c r="AE123" i="22"/>
  <c r="AE124" i="22"/>
  <c r="AE125" i="22"/>
  <c r="AE126" i="22"/>
  <c r="AE127" i="22"/>
  <c r="AE128" i="22"/>
  <c r="AE129" i="22"/>
  <c r="AE130" i="22"/>
  <c r="AE131" i="22"/>
  <c r="AE132" i="22"/>
  <c r="AE133" i="22"/>
  <c r="AE134" i="22"/>
  <c r="AE135" i="22"/>
  <c r="AE136" i="22"/>
  <c r="AE137" i="22"/>
  <c r="AE138" i="22"/>
  <c r="AE139" i="22"/>
  <c r="AE140" i="22"/>
  <c r="AE141" i="22"/>
  <c r="AE142" i="22"/>
  <c r="AE143" i="22"/>
  <c r="AE144" i="22"/>
  <c r="AE145" i="22"/>
  <c r="AE146" i="22"/>
  <c r="AE147" i="22"/>
  <c r="AE148" i="22"/>
  <c r="AE149" i="22"/>
  <c r="AE150" i="22"/>
  <c r="AE151" i="22"/>
  <c r="AE152" i="22"/>
  <c r="AE153" i="22"/>
  <c r="AE154" i="22"/>
  <c r="AE155" i="22"/>
  <c r="AE156" i="22"/>
  <c r="AE157" i="22"/>
  <c r="AE158" i="22"/>
  <c r="AE159" i="22"/>
  <c r="AE160" i="22"/>
  <c r="AE161" i="22"/>
  <c r="AE162" i="22"/>
  <c r="AE163" i="22"/>
  <c r="AE164" i="22"/>
  <c r="AE165" i="22"/>
  <c r="AE166" i="22"/>
  <c r="AE167" i="22"/>
  <c r="AE168" i="22"/>
  <c r="AE169" i="22"/>
  <c r="AE170" i="22"/>
  <c r="AE171" i="22"/>
  <c r="AE172" i="22"/>
  <c r="AE173" i="22"/>
  <c r="AE174" i="22"/>
  <c r="AE175" i="22"/>
  <c r="AE176" i="22"/>
  <c r="AE177" i="22"/>
  <c r="AE178" i="22"/>
  <c r="AE179" i="22"/>
  <c r="AE180" i="22"/>
  <c r="AE181" i="22"/>
  <c r="AE182" i="22"/>
  <c r="AE183" i="22"/>
  <c r="AE184" i="22"/>
  <c r="AE185" i="22"/>
  <c r="AE186" i="22"/>
  <c r="AE187" i="22"/>
  <c r="AE188" i="22"/>
  <c r="AE189" i="22"/>
  <c r="AE190" i="22"/>
  <c r="AE191" i="22"/>
  <c r="AE192" i="22"/>
  <c r="AE193" i="22"/>
  <c r="AE194" i="22"/>
  <c r="AE195" i="22"/>
  <c r="AE196" i="22"/>
  <c r="AE197" i="22"/>
  <c r="AE198" i="22"/>
  <c r="AE199" i="22"/>
  <c r="AE200" i="22"/>
  <c r="AE201" i="22"/>
  <c r="AE202" i="22"/>
  <c r="AE203" i="22"/>
  <c r="AE204" i="22"/>
  <c r="AE205" i="22"/>
  <c r="AE206" i="22"/>
  <c r="AE207" i="22"/>
  <c r="AE208" i="22"/>
  <c r="AE209" i="22"/>
  <c r="AE210" i="22"/>
  <c r="AE211" i="22"/>
  <c r="AE212" i="22"/>
  <c r="AE213" i="22"/>
  <c r="AE214" i="22"/>
  <c r="AE215" i="22"/>
  <c r="AE216" i="22"/>
  <c r="AE217" i="22"/>
  <c r="AE218" i="22"/>
  <c r="AE219" i="22"/>
  <c r="AE220" i="22"/>
  <c r="AE221" i="22"/>
  <c r="AE222" i="22"/>
  <c r="AE223" i="22"/>
  <c r="AE224" i="22"/>
  <c r="AE225" i="22"/>
  <c r="AE226" i="22"/>
  <c r="AE227" i="22"/>
  <c r="AE228" i="22"/>
  <c r="AE229" i="22"/>
  <c r="AE230" i="22"/>
  <c r="AE231" i="22"/>
  <c r="AE232" i="22"/>
  <c r="AE233" i="22"/>
  <c r="AE234" i="22"/>
  <c r="AE235" i="22"/>
  <c r="AE236" i="22"/>
  <c r="AE237" i="22"/>
  <c r="AE238" i="22"/>
  <c r="AE239" i="22"/>
  <c r="AE240" i="22"/>
  <c r="AE241" i="22"/>
  <c r="AE242" i="22"/>
  <c r="AE243" i="22"/>
  <c r="AE244" i="22"/>
  <c r="AE245" i="22"/>
  <c r="AE246" i="22"/>
  <c r="AE247" i="22"/>
  <c r="AE248" i="22"/>
  <c r="AE249" i="22"/>
  <c r="AE250" i="22"/>
  <c r="AE251" i="22"/>
  <c r="AE252" i="22"/>
  <c r="AE253" i="22"/>
  <c r="AE254" i="22"/>
  <c r="AE255" i="22"/>
  <c r="AE256" i="22"/>
  <c r="AE257" i="22"/>
  <c r="AE258" i="22"/>
  <c r="AE259" i="22"/>
  <c r="AE260" i="22"/>
  <c r="AE261" i="22"/>
  <c r="AE262" i="22"/>
  <c r="AE263" i="22"/>
  <c r="AE264" i="22"/>
  <c r="AE265" i="22"/>
  <c r="AE266" i="22"/>
  <c r="AE267" i="22"/>
  <c r="AE268" i="22"/>
  <c r="AE269" i="22"/>
  <c r="AE270" i="22"/>
  <c r="AE271" i="22"/>
  <c r="AE272" i="22"/>
  <c r="AE273" i="22"/>
  <c r="AE274" i="22"/>
  <c r="AE275" i="22"/>
  <c r="AE276" i="22"/>
  <c r="AE277" i="22"/>
  <c r="AE278" i="22"/>
  <c r="AE279" i="22"/>
  <c r="AE280" i="22"/>
  <c r="AE281" i="22"/>
  <c r="AE282" i="22"/>
  <c r="AE283" i="22"/>
  <c r="AE284" i="22"/>
  <c r="AE285" i="22"/>
  <c r="AE286" i="22"/>
  <c r="AE287" i="22"/>
  <c r="AE288" i="22"/>
  <c r="AE289" i="22"/>
  <c r="AE290" i="22"/>
  <c r="AE291" i="22"/>
  <c r="AE292" i="22"/>
  <c r="AE293" i="22"/>
  <c r="AE294" i="22"/>
  <c r="AE295" i="22"/>
  <c r="AE296" i="22"/>
  <c r="AE297" i="22"/>
  <c r="AE298" i="22"/>
  <c r="AE299" i="22"/>
  <c r="AE300" i="22"/>
  <c r="AE301" i="22"/>
  <c r="AE302" i="22"/>
  <c r="AE303" i="22"/>
  <c r="AE304" i="22"/>
  <c r="AE305" i="22"/>
  <c r="AE306" i="22"/>
  <c r="AE307" i="22"/>
  <c r="AE308" i="22"/>
  <c r="AE309" i="22"/>
  <c r="AE310" i="22"/>
  <c r="AE311" i="22"/>
  <c r="AE312" i="22"/>
  <c r="AE313" i="22"/>
  <c r="AE314" i="22"/>
  <c r="AE315" i="22"/>
  <c r="AE316" i="22"/>
  <c r="AE317" i="22"/>
  <c r="AE318" i="22"/>
  <c r="AE319" i="22"/>
  <c r="AE320" i="22"/>
  <c r="AE321" i="22"/>
  <c r="AE322" i="22"/>
  <c r="AE323" i="22"/>
  <c r="AE324" i="22"/>
  <c r="AE325" i="22"/>
  <c r="AE326" i="22"/>
  <c r="AE327" i="22"/>
  <c r="AE328" i="22"/>
  <c r="AE329" i="22"/>
  <c r="AE330" i="22"/>
  <c r="AE331" i="22"/>
  <c r="AE332" i="22"/>
  <c r="AE333" i="22"/>
  <c r="AE334" i="22"/>
  <c r="AE335" i="22"/>
  <c r="AE336" i="22"/>
  <c r="AE337" i="22"/>
  <c r="AE338" i="22"/>
  <c r="AE339" i="22"/>
  <c r="AE340" i="22"/>
  <c r="AE341" i="22"/>
  <c r="AE342" i="22"/>
  <c r="AE343" i="22"/>
  <c r="AE344" i="22"/>
  <c r="AE345" i="22"/>
  <c r="AE346" i="22"/>
  <c r="AE347" i="22"/>
  <c r="AE348" i="22"/>
  <c r="AE349" i="22"/>
  <c r="AE350" i="22"/>
  <c r="AE351" i="22"/>
  <c r="AE352" i="22"/>
  <c r="AE353" i="22"/>
  <c r="AE354" i="22"/>
  <c r="AE355" i="22"/>
  <c r="AE356" i="22"/>
  <c r="AE357" i="22"/>
  <c r="AE358" i="22"/>
  <c r="AE8" i="22"/>
  <c r="AD9" i="22"/>
  <c r="AD10" i="22"/>
  <c r="AD11" i="22"/>
  <c r="AD12" i="22"/>
  <c r="AD13" i="22"/>
  <c r="AD14" i="22"/>
  <c r="AD15" i="22"/>
  <c r="AD16" i="22"/>
  <c r="AD17" i="22"/>
  <c r="AD18" i="22"/>
  <c r="AD19" i="22"/>
  <c r="AD20" i="22"/>
  <c r="AD21" i="22"/>
  <c r="AD22" i="22"/>
  <c r="AD23" i="22"/>
  <c r="AD24" i="22"/>
  <c r="AD25" i="22"/>
  <c r="AD26" i="22"/>
  <c r="AD27" i="22"/>
  <c r="AD28" i="22"/>
  <c r="AD29" i="22"/>
  <c r="AD30" i="22"/>
  <c r="AD31" i="22"/>
  <c r="AD32" i="22"/>
  <c r="AD33" i="22"/>
  <c r="AD34" i="22"/>
  <c r="AD35" i="22"/>
  <c r="AD36" i="22"/>
  <c r="AD37" i="22"/>
  <c r="AD38" i="22"/>
  <c r="AD39" i="22"/>
  <c r="AD40" i="22"/>
  <c r="AD41" i="22"/>
  <c r="AD42" i="22"/>
  <c r="AD43" i="22"/>
  <c r="AD44" i="22"/>
  <c r="AD45" i="22"/>
  <c r="AD46" i="22"/>
  <c r="AD47" i="22"/>
  <c r="AD48" i="22"/>
  <c r="AD49" i="22"/>
  <c r="AD50" i="22"/>
  <c r="AD51" i="22"/>
  <c r="AD52" i="22"/>
  <c r="AD53" i="22"/>
  <c r="AD54" i="22"/>
  <c r="AD55" i="22"/>
  <c r="AD56" i="22"/>
  <c r="AD57" i="22"/>
  <c r="AD58" i="22"/>
  <c r="AD59" i="22"/>
  <c r="AD60" i="22"/>
  <c r="AD61" i="22"/>
  <c r="AD62" i="22"/>
  <c r="AD63" i="22"/>
  <c r="AD64" i="22"/>
  <c r="AD65" i="22"/>
  <c r="AD66" i="22"/>
  <c r="AD67" i="22"/>
  <c r="AD68" i="22"/>
  <c r="AD69" i="22"/>
  <c r="AD70" i="22"/>
  <c r="AD71" i="22"/>
  <c r="AD72" i="22"/>
  <c r="AD73" i="22"/>
  <c r="AD74" i="22"/>
  <c r="AD75" i="22"/>
  <c r="AD76" i="22"/>
  <c r="AD77" i="22"/>
  <c r="AD78" i="22"/>
  <c r="AD79" i="22"/>
  <c r="AD80" i="22"/>
  <c r="AD81" i="22"/>
  <c r="AD82" i="22"/>
  <c r="AD83" i="22"/>
  <c r="AD84" i="22"/>
  <c r="AD85" i="22"/>
  <c r="AD86" i="22"/>
  <c r="AD87" i="22"/>
  <c r="AD88" i="22"/>
  <c r="AD89" i="22"/>
  <c r="AD90" i="22"/>
  <c r="AD91" i="22"/>
  <c r="AD92" i="22"/>
  <c r="AD93" i="22"/>
  <c r="AD94" i="22"/>
  <c r="AD95" i="22"/>
  <c r="AD96" i="22"/>
  <c r="AD97" i="22"/>
  <c r="AD98" i="22"/>
  <c r="AD99" i="22"/>
  <c r="AD100" i="22"/>
  <c r="AD101" i="22"/>
  <c r="AD102" i="22"/>
  <c r="AD103" i="22"/>
  <c r="AD104" i="22"/>
  <c r="AD105" i="22"/>
  <c r="AD106" i="22"/>
  <c r="AD107" i="22"/>
  <c r="AD108" i="22"/>
  <c r="AD109" i="22"/>
  <c r="AD110" i="22"/>
  <c r="AD111" i="22"/>
  <c r="AD112" i="22"/>
  <c r="AD113" i="22"/>
  <c r="AD114" i="22"/>
  <c r="AD115" i="22"/>
  <c r="AD116" i="22"/>
  <c r="AD117" i="22"/>
  <c r="AD118" i="22"/>
  <c r="AD119" i="22"/>
  <c r="AD120" i="22"/>
  <c r="AD121" i="22"/>
  <c r="AD122" i="22"/>
  <c r="AD123" i="22"/>
  <c r="AD124" i="22"/>
  <c r="AD125" i="22"/>
  <c r="AD126" i="22"/>
  <c r="AD127" i="22"/>
  <c r="AD128" i="22"/>
  <c r="AD129" i="22"/>
  <c r="AD130" i="22"/>
  <c r="AD131" i="22"/>
  <c r="AD132" i="22"/>
  <c r="AD133" i="22"/>
  <c r="AD134" i="22"/>
  <c r="AD135" i="22"/>
  <c r="AD136" i="22"/>
  <c r="AD137" i="22"/>
  <c r="AD138" i="22"/>
  <c r="AD139" i="22"/>
  <c r="AD140" i="22"/>
  <c r="AD141" i="22"/>
  <c r="AD142" i="22"/>
  <c r="AD143" i="22"/>
  <c r="AD144" i="22"/>
  <c r="AD145" i="22"/>
  <c r="AD146" i="22"/>
  <c r="AD147" i="22"/>
  <c r="AD148" i="22"/>
  <c r="AD149" i="22"/>
  <c r="AD150" i="22"/>
  <c r="AD151" i="22"/>
  <c r="AD152" i="22"/>
  <c r="AD153" i="22"/>
  <c r="AD154" i="22"/>
  <c r="AD155" i="22"/>
  <c r="AD156" i="22"/>
  <c r="AD157" i="22"/>
  <c r="AD158" i="22"/>
  <c r="AD159" i="22"/>
  <c r="AD160" i="22"/>
  <c r="AD161" i="22"/>
  <c r="AD162" i="22"/>
  <c r="AD163" i="22"/>
  <c r="AD164" i="22"/>
  <c r="AD165" i="22"/>
  <c r="AD166" i="22"/>
  <c r="AD167" i="22"/>
  <c r="AD168" i="22"/>
  <c r="AD169" i="22"/>
  <c r="AD170" i="22"/>
  <c r="AD171" i="22"/>
  <c r="AD172" i="22"/>
  <c r="AD173" i="22"/>
  <c r="AD174" i="22"/>
  <c r="AD175" i="22"/>
  <c r="AD176" i="22"/>
  <c r="AD177" i="22"/>
  <c r="AD178" i="22"/>
  <c r="AD179" i="22"/>
  <c r="AD180" i="22"/>
  <c r="AD181" i="22"/>
  <c r="AD182" i="22"/>
  <c r="AD183" i="22"/>
  <c r="AD184" i="22"/>
  <c r="AD185" i="22"/>
  <c r="AD186" i="22"/>
  <c r="AD187" i="22"/>
  <c r="AD188" i="22"/>
  <c r="AD189" i="22"/>
  <c r="AD190" i="22"/>
  <c r="AD191" i="22"/>
  <c r="AD192" i="22"/>
  <c r="AD193" i="22"/>
  <c r="AD194" i="22"/>
  <c r="AD195" i="22"/>
  <c r="AD196" i="22"/>
  <c r="AD197" i="22"/>
  <c r="AD198" i="22"/>
  <c r="AD199" i="22"/>
  <c r="AD200" i="22"/>
  <c r="AD201" i="22"/>
  <c r="AD202" i="22"/>
  <c r="AD203" i="22"/>
  <c r="AD204" i="22"/>
  <c r="AD205" i="22"/>
  <c r="AD206" i="22"/>
  <c r="AD207" i="22"/>
  <c r="AD208" i="22"/>
  <c r="AD209" i="22"/>
  <c r="AD210" i="22"/>
  <c r="AD211" i="22"/>
  <c r="AD212" i="22"/>
  <c r="AD213" i="22"/>
  <c r="AD214" i="22"/>
  <c r="AD215" i="22"/>
  <c r="AD216" i="22"/>
  <c r="AD217" i="22"/>
  <c r="AD218" i="22"/>
  <c r="AD219" i="22"/>
  <c r="AD220" i="22"/>
  <c r="AD221" i="22"/>
  <c r="AD222" i="22"/>
  <c r="AD223" i="22"/>
  <c r="AD224" i="22"/>
  <c r="AD225" i="22"/>
  <c r="AD226" i="22"/>
  <c r="AD227" i="22"/>
  <c r="AD228" i="22"/>
  <c r="AD229" i="22"/>
  <c r="AD230" i="22"/>
  <c r="AD231" i="22"/>
  <c r="AD232" i="22"/>
  <c r="AD233" i="22"/>
  <c r="AD234" i="22"/>
  <c r="AD235" i="22"/>
  <c r="AD236" i="22"/>
  <c r="AD237" i="22"/>
  <c r="AD238" i="22"/>
  <c r="AD239" i="22"/>
  <c r="AD240" i="22"/>
  <c r="AD241" i="22"/>
  <c r="AD242" i="22"/>
  <c r="AD243" i="22"/>
  <c r="AD244" i="22"/>
  <c r="AD245" i="22"/>
  <c r="AD246" i="22"/>
  <c r="AD247" i="22"/>
  <c r="AD248" i="22"/>
  <c r="AD249" i="22"/>
  <c r="AD250" i="22"/>
  <c r="AD251" i="22"/>
  <c r="AD252" i="22"/>
  <c r="AD253" i="22"/>
  <c r="AD254" i="22"/>
  <c r="AD255" i="22"/>
  <c r="AD256" i="22"/>
  <c r="AD257" i="22"/>
  <c r="AD258" i="22"/>
  <c r="AD259" i="22"/>
  <c r="AD260" i="22"/>
  <c r="AD261" i="22"/>
  <c r="AD262" i="22"/>
  <c r="AD263" i="22"/>
  <c r="AD264" i="22"/>
  <c r="AD265" i="22"/>
  <c r="AD266" i="22"/>
  <c r="AD267" i="22"/>
  <c r="AD268" i="22"/>
  <c r="AD269" i="22"/>
  <c r="AD270" i="22"/>
  <c r="AD271" i="22"/>
  <c r="AD272" i="22"/>
  <c r="AD273" i="22"/>
  <c r="AD274" i="22"/>
  <c r="AD275" i="22"/>
  <c r="AD276" i="22"/>
  <c r="AD277" i="22"/>
  <c r="AD278" i="22"/>
  <c r="AD279" i="22"/>
  <c r="AD280" i="22"/>
  <c r="AD281" i="22"/>
  <c r="AD282" i="22"/>
  <c r="AD283" i="22"/>
  <c r="AD284" i="22"/>
  <c r="AD285" i="22"/>
  <c r="AD286" i="22"/>
  <c r="AD287" i="22"/>
  <c r="AD288" i="22"/>
  <c r="AD289" i="22"/>
  <c r="AD290" i="22"/>
  <c r="AD291" i="22"/>
  <c r="AD292" i="22"/>
  <c r="AD293" i="22"/>
  <c r="AD294" i="22"/>
  <c r="AD295" i="22"/>
  <c r="AD296" i="22"/>
  <c r="AD297" i="22"/>
  <c r="AD298" i="22"/>
  <c r="AD299" i="22"/>
  <c r="AD300" i="22"/>
  <c r="AD301" i="22"/>
  <c r="AD302" i="22"/>
  <c r="AD303" i="22"/>
  <c r="AD304" i="22"/>
  <c r="AD305" i="22"/>
  <c r="AD306" i="22"/>
  <c r="AD307" i="22"/>
  <c r="AD308" i="22"/>
  <c r="AD8" i="22"/>
  <c r="AC9" i="22"/>
  <c r="AC10" i="22"/>
  <c r="AC11" i="22"/>
  <c r="AC12" i="22"/>
  <c r="AC13" i="22"/>
  <c r="AC14" i="22"/>
  <c r="AC15" i="22"/>
  <c r="AC16" i="22"/>
  <c r="AC17" i="22"/>
  <c r="AC18" i="22"/>
  <c r="AC19" i="22"/>
  <c r="AC20" i="22"/>
  <c r="AC21" i="22"/>
  <c r="AC22" i="22"/>
  <c r="AC23" i="22"/>
  <c r="AC24" i="22"/>
  <c r="AC25" i="22"/>
  <c r="AC26" i="22"/>
  <c r="AC27" i="22"/>
  <c r="AC28" i="22"/>
  <c r="AC29" i="22"/>
  <c r="AC30" i="22"/>
  <c r="AC31" i="22"/>
  <c r="AC32" i="22"/>
  <c r="AC33" i="22"/>
  <c r="AC34" i="22"/>
  <c r="AC35" i="22"/>
  <c r="AC36" i="22"/>
  <c r="AC37" i="22"/>
  <c r="AC38" i="22"/>
  <c r="AC39" i="22"/>
  <c r="AC40" i="22"/>
  <c r="AC41" i="22"/>
  <c r="AC42" i="22"/>
  <c r="AC43" i="22"/>
  <c r="AC44" i="22"/>
  <c r="AC45" i="22"/>
  <c r="AC46" i="22"/>
  <c r="AC47" i="22"/>
  <c r="AC48" i="22"/>
  <c r="AC49" i="22"/>
  <c r="AC50" i="22"/>
  <c r="AC51" i="22"/>
  <c r="AC52" i="22"/>
  <c r="AC53" i="22"/>
  <c r="AC54" i="22"/>
  <c r="AC55" i="22"/>
  <c r="AC56" i="22"/>
  <c r="AC57" i="22"/>
  <c r="AC58" i="22"/>
  <c r="AC59" i="22"/>
  <c r="AC60" i="22"/>
  <c r="AC61" i="22"/>
  <c r="AC62" i="22"/>
  <c r="AC63" i="22"/>
  <c r="AC64" i="22"/>
  <c r="AC65" i="22"/>
  <c r="AC66" i="22"/>
  <c r="AC67" i="22"/>
  <c r="AC68" i="22"/>
  <c r="AC69" i="22"/>
  <c r="AC70" i="22"/>
  <c r="AC71" i="22"/>
  <c r="AC72" i="22"/>
  <c r="AC73" i="22"/>
  <c r="AC74" i="22"/>
  <c r="AC75" i="22"/>
  <c r="AC76" i="22"/>
  <c r="AC77" i="22"/>
  <c r="AC78" i="22"/>
  <c r="AC79" i="22"/>
  <c r="AC80" i="22"/>
  <c r="AC81" i="22"/>
  <c r="AC82" i="22"/>
  <c r="AC83" i="22"/>
  <c r="AC84" i="22"/>
  <c r="AC85" i="22"/>
  <c r="AC86" i="22"/>
  <c r="AC87" i="22"/>
  <c r="AC88" i="22"/>
  <c r="AC89" i="22"/>
  <c r="AC90" i="22"/>
  <c r="AC91" i="22"/>
  <c r="AC92" i="22"/>
  <c r="AC93" i="22"/>
  <c r="AC94" i="22"/>
  <c r="AC95" i="22"/>
  <c r="AC96" i="22"/>
  <c r="AC97" i="22"/>
  <c r="AC98" i="22"/>
  <c r="AC99" i="22"/>
  <c r="AC100" i="22"/>
  <c r="AC101" i="22"/>
  <c r="AC102" i="22"/>
  <c r="AC103" i="22"/>
  <c r="AC104" i="22"/>
  <c r="AC105" i="22"/>
  <c r="AC106" i="22"/>
  <c r="AC107" i="22"/>
  <c r="AC108" i="22"/>
  <c r="AC109" i="22"/>
  <c r="AC110" i="22"/>
  <c r="AC111" i="22"/>
  <c r="AC112" i="22"/>
  <c r="AC113" i="22"/>
  <c r="AC114" i="22"/>
  <c r="AC115" i="22"/>
  <c r="AC116" i="22"/>
  <c r="AC117" i="22"/>
  <c r="AC118" i="22"/>
  <c r="AC119" i="22"/>
  <c r="AC120" i="22"/>
  <c r="AC121" i="22"/>
  <c r="AC122" i="22"/>
  <c r="AC123" i="22"/>
  <c r="AC124" i="22"/>
  <c r="AC125" i="22"/>
  <c r="AC126" i="22"/>
  <c r="AC127" i="22"/>
  <c r="AC128" i="22"/>
  <c r="AC129" i="22"/>
  <c r="AC130" i="22"/>
  <c r="AC131" i="22"/>
  <c r="AC132" i="22"/>
  <c r="AC133" i="22"/>
  <c r="AC134" i="22"/>
  <c r="AC135" i="22"/>
  <c r="AC136" i="22"/>
  <c r="AC137" i="22"/>
  <c r="AC138" i="22"/>
  <c r="AC139" i="22"/>
  <c r="AC140" i="22"/>
  <c r="AC141" i="22"/>
  <c r="AC142" i="22"/>
  <c r="AC143" i="22"/>
  <c r="AC144" i="22"/>
  <c r="AC145" i="22"/>
  <c r="AC146" i="22"/>
  <c r="AC147" i="22"/>
  <c r="AC148" i="22"/>
  <c r="AC149" i="22"/>
  <c r="AC150" i="22"/>
  <c r="AC151" i="22"/>
  <c r="AC152" i="22"/>
  <c r="AC153" i="22"/>
  <c r="AC154" i="22"/>
  <c r="AC155" i="22"/>
  <c r="AC156" i="22"/>
  <c r="AC157" i="22"/>
  <c r="AC158" i="22"/>
  <c r="AC159" i="22"/>
  <c r="AC160" i="22"/>
  <c r="AC161" i="22"/>
  <c r="AC162" i="22"/>
  <c r="AC163" i="22"/>
  <c r="AC164" i="22"/>
  <c r="AC165" i="22"/>
  <c r="AC166" i="22"/>
  <c r="AC167" i="22"/>
  <c r="AC168" i="22"/>
  <c r="AC169" i="22"/>
  <c r="AC170" i="22"/>
  <c r="AC171" i="22"/>
  <c r="AC172" i="22"/>
  <c r="AC173" i="22"/>
  <c r="AC174" i="22"/>
  <c r="AC175" i="22"/>
  <c r="AC176" i="22"/>
  <c r="AC177" i="22"/>
  <c r="AC178" i="22"/>
  <c r="AC179" i="22"/>
  <c r="AC180" i="22"/>
  <c r="AC181" i="22"/>
  <c r="AC182" i="22"/>
  <c r="AC183" i="22"/>
  <c r="AC184" i="22"/>
  <c r="AC185" i="22"/>
  <c r="AC186" i="22"/>
  <c r="AC187" i="22"/>
  <c r="AC188" i="22"/>
  <c r="AC189" i="22"/>
  <c r="AC190" i="22"/>
  <c r="AC191" i="22"/>
  <c r="AC192" i="22"/>
  <c r="AC193" i="22"/>
  <c r="AC194" i="22"/>
  <c r="AC195" i="22"/>
  <c r="AC196" i="22"/>
  <c r="AC197" i="22"/>
  <c r="AC198" i="22"/>
  <c r="AC199" i="22"/>
  <c r="AC200" i="22"/>
  <c r="AC201" i="22"/>
  <c r="AC202" i="22"/>
  <c r="AC203" i="22"/>
  <c r="AC204" i="22"/>
  <c r="AC205" i="22"/>
  <c r="AC206" i="22"/>
  <c r="AC207" i="22"/>
  <c r="AC208" i="22"/>
  <c r="AC209" i="22"/>
  <c r="AC210" i="22"/>
  <c r="AC211" i="22"/>
  <c r="AC212" i="22"/>
  <c r="AC213" i="22"/>
  <c r="AC214" i="22"/>
  <c r="AC215" i="22"/>
  <c r="AC216" i="22"/>
  <c r="AC217" i="22"/>
  <c r="AC218" i="22"/>
  <c r="AC219" i="22"/>
  <c r="AC220" i="22"/>
  <c r="AC221" i="22"/>
  <c r="AC222" i="22"/>
  <c r="AC223" i="22"/>
  <c r="AC224" i="22"/>
  <c r="AC225" i="22"/>
  <c r="AC226" i="22"/>
  <c r="AC227" i="22"/>
  <c r="AC228" i="22"/>
  <c r="AC229" i="22"/>
  <c r="AC230" i="22"/>
  <c r="AC231" i="22"/>
  <c r="AC232" i="22"/>
  <c r="AC233" i="22"/>
  <c r="AC234" i="22"/>
  <c r="AC235" i="22"/>
  <c r="AC236" i="22"/>
  <c r="AC237" i="22"/>
  <c r="AC238" i="22"/>
  <c r="AC239" i="22"/>
  <c r="AC240" i="22"/>
  <c r="AC241" i="22"/>
  <c r="AC242" i="22"/>
  <c r="AC243" i="22"/>
  <c r="AC244" i="22"/>
  <c r="AC245" i="22"/>
  <c r="AC246" i="22"/>
  <c r="AC247" i="22"/>
  <c r="AC248" i="22"/>
  <c r="AC249" i="22"/>
  <c r="AC250" i="22"/>
  <c r="AC251" i="22"/>
  <c r="AC252" i="22"/>
  <c r="AC253" i="22"/>
  <c r="AC254" i="22"/>
  <c r="AC255" i="22"/>
  <c r="AC256" i="22"/>
  <c r="AC257" i="22"/>
  <c r="AC258" i="22"/>
  <c r="AC8" i="22"/>
  <c r="AB9" i="22"/>
  <c r="AB10" i="22"/>
  <c r="AB11" i="22"/>
  <c r="AB12" i="22"/>
  <c r="AB13" i="22"/>
  <c r="AB14" i="22"/>
  <c r="AB15" i="22"/>
  <c r="AB16" i="22"/>
  <c r="AB17" i="22"/>
  <c r="AB18" i="22"/>
  <c r="AB19" i="22"/>
  <c r="AB20" i="22"/>
  <c r="AB21" i="22"/>
  <c r="AB22" i="22"/>
  <c r="AB23" i="22"/>
  <c r="AB24" i="22"/>
  <c r="AB25" i="22"/>
  <c r="AB26" i="22"/>
  <c r="AB27" i="22"/>
  <c r="AB28" i="22"/>
  <c r="AB29" i="22"/>
  <c r="AB30" i="22"/>
  <c r="AB31" i="22"/>
  <c r="AB32" i="22"/>
  <c r="AB33" i="22"/>
  <c r="AB34" i="22"/>
  <c r="AB35" i="22"/>
  <c r="AB36" i="22"/>
  <c r="AB37" i="22"/>
  <c r="AB38" i="22"/>
  <c r="AB39" i="22"/>
  <c r="AB40" i="22"/>
  <c r="AB41" i="22"/>
  <c r="AB42" i="22"/>
  <c r="AB43" i="22"/>
  <c r="AB44" i="22"/>
  <c r="AB45" i="22"/>
  <c r="AB46" i="22"/>
  <c r="AB47" i="22"/>
  <c r="AB48" i="22"/>
  <c r="AB49" i="22"/>
  <c r="AB50" i="22"/>
  <c r="AB51" i="22"/>
  <c r="AB52" i="22"/>
  <c r="AB53" i="22"/>
  <c r="AB54" i="22"/>
  <c r="AB55" i="22"/>
  <c r="AB56" i="22"/>
  <c r="AB57" i="22"/>
  <c r="AB58" i="22"/>
  <c r="AB59" i="22"/>
  <c r="AB60" i="22"/>
  <c r="AB61" i="22"/>
  <c r="AB62" i="22"/>
  <c r="AB63" i="22"/>
  <c r="AB64" i="22"/>
  <c r="AB65" i="22"/>
  <c r="AB66" i="22"/>
  <c r="AB67" i="22"/>
  <c r="AB68" i="22"/>
  <c r="AB69" i="22"/>
  <c r="AB70" i="22"/>
  <c r="AB71" i="22"/>
  <c r="AB72" i="22"/>
  <c r="AB73" i="22"/>
  <c r="AB74" i="22"/>
  <c r="AB75" i="22"/>
  <c r="AB76" i="22"/>
  <c r="AB77" i="22"/>
  <c r="AB78" i="22"/>
  <c r="AB79" i="22"/>
  <c r="AB80" i="22"/>
  <c r="AB81" i="22"/>
  <c r="AB82" i="22"/>
  <c r="AB83" i="22"/>
  <c r="AB84" i="22"/>
  <c r="AB85" i="22"/>
  <c r="AB86" i="22"/>
  <c r="AB87" i="22"/>
  <c r="AB88" i="22"/>
  <c r="AB89" i="22"/>
  <c r="AB90" i="22"/>
  <c r="AB91" i="22"/>
  <c r="AB92" i="22"/>
  <c r="AB93" i="22"/>
  <c r="AB94" i="22"/>
  <c r="AB95" i="22"/>
  <c r="AB96" i="22"/>
  <c r="AB97" i="22"/>
  <c r="AB98" i="22"/>
  <c r="AB99" i="22"/>
  <c r="AB100" i="22"/>
  <c r="AB101" i="22"/>
  <c r="AB102" i="22"/>
  <c r="AB103" i="22"/>
  <c r="AB104" i="22"/>
  <c r="AB105" i="22"/>
  <c r="AB106" i="22"/>
  <c r="AB107" i="22"/>
  <c r="AB108" i="22"/>
  <c r="AB109" i="22"/>
  <c r="AB110" i="22"/>
  <c r="AB111" i="22"/>
  <c r="AB112" i="22"/>
  <c r="AB113" i="22"/>
  <c r="AB114" i="22"/>
  <c r="AB115" i="22"/>
  <c r="AB116" i="22"/>
  <c r="AB117" i="22"/>
  <c r="AB118" i="22"/>
  <c r="AB119" i="22"/>
  <c r="AB120" i="22"/>
  <c r="AB121" i="22"/>
  <c r="AB122" i="22"/>
  <c r="AB123" i="22"/>
  <c r="AB124" i="22"/>
  <c r="AB125" i="22"/>
  <c r="AB126" i="22"/>
  <c r="AB127" i="22"/>
  <c r="AB128" i="22"/>
  <c r="AB129" i="22"/>
  <c r="AB130" i="22"/>
  <c r="AB131" i="22"/>
  <c r="AB132" i="22"/>
  <c r="AB133" i="22"/>
  <c r="AB134" i="22"/>
  <c r="AB135" i="22"/>
  <c r="AB136" i="22"/>
  <c r="AB137" i="22"/>
  <c r="AB138" i="22"/>
  <c r="AB139" i="22"/>
  <c r="AB140" i="22"/>
  <c r="AB141" i="22"/>
  <c r="AB142" i="22"/>
  <c r="AB143" i="22"/>
  <c r="AB144" i="22"/>
  <c r="AB145" i="22"/>
  <c r="AB146" i="22"/>
  <c r="AB147" i="22"/>
  <c r="AB148" i="22"/>
  <c r="AB149" i="22"/>
  <c r="AB150" i="22"/>
  <c r="AB151" i="22"/>
  <c r="AB152" i="22"/>
  <c r="AB153" i="22"/>
  <c r="AB154" i="22"/>
  <c r="AB155" i="22"/>
  <c r="AB156" i="22"/>
  <c r="AB157" i="22"/>
  <c r="AB158" i="22"/>
  <c r="AB159" i="22"/>
  <c r="AB160" i="22"/>
  <c r="AB161" i="22"/>
  <c r="AB162" i="22"/>
  <c r="AB163" i="22"/>
  <c r="AB164" i="22"/>
  <c r="AB165" i="22"/>
  <c r="AB166" i="22"/>
  <c r="AB167" i="22"/>
  <c r="AB168" i="22"/>
  <c r="AB169" i="22"/>
  <c r="AB170" i="22"/>
  <c r="AB171" i="22"/>
  <c r="AB172" i="22"/>
  <c r="AB173" i="22"/>
  <c r="AB174" i="22"/>
  <c r="AB175" i="22"/>
  <c r="AB176" i="22"/>
  <c r="AB177" i="22"/>
  <c r="AB178" i="22"/>
  <c r="AB179" i="22"/>
  <c r="AB180" i="22"/>
  <c r="AB181" i="22"/>
  <c r="AB182" i="22"/>
  <c r="AB183" i="22"/>
  <c r="AB184" i="22"/>
  <c r="AB185" i="22"/>
  <c r="AB186" i="22"/>
  <c r="AB187" i="22"/>
  <c r="AB188" i="22"/>
  <c r="AB189" i="22"/>
  <c r="AB190" i="22"/>
  <c r="AB191" i="22"/>
  <c r="AB192" i="22"/>
  <c r="AB193" i="22"/>
  <c r="AB194" i="22"/>
  <c r="AB195" i="22"/>
  <c r="AB196" i="22"/>
  <c r="AB197" i="22"/>
  <c r="AB198" i="22"/>
  <c r="AB199" i="22"/>
  <c r="AB200" i="22"/>
  <c r="AB201" i="22"/>
  <c r="AB202" i="22"/>
  <c r="AB203" i="22"/>
  <c r="AB204" i="22"/>
  <c r="AB205" i="22"/>
  <c r="AB206" i="22"/>
  <c r="AB207" i="22"/>
  <c r="AB208" i="22"/>
  <c r="AB8" i="22"/>
  <c r="AA9" i="22"/>
  <c r="AA10" i="22"/>
  <c r="AA11" i="22"/>
  <c r="AA12" i="22"/>
  <c r="AA13" i="22"/>
  <c r="AA14" i="22"/>
  <c r="AA15" i="22"/>
  <c r="AA16" i="22"/>
  <c r="AA17" i="22"/>
  <c r="AA18" i="22"/>
  <c r="AA19" i="22"/>
  <c r="AA20" i="22"/>
  <c r="AA21" i="22"/>
  <c r="AA22" i="22"/>
  <c r="AA23" i="22"/>
  <c r="AA24" i="22"/>
  <c r="AA25" i="22"/>
  <c r="AA26" i="22"/>
  <c r="AA27" i="22"/>
  <c r="AA28" i="22"/>
  <c r="AA29" i="22"/>
  <c r="AA30" i="22"/>
  <c r="AA31" i="22"/>
  <c r="AA32" i="22"/>
  <c r="AA33" i="22"/>
  <c r="AA34" i="22"/>
  <c r="AA35" i="22"/>
  <c r="AA36" i="22"/>
  <c r="AA37" i="22"/>
  <c r="AA38" i="22"/>
  <c r="AA39" i="22"/>
  <c r="AA40" i="22"/>
  <c r="AA41" i="22"/>
  <c r="AA42" i="22"/>
  <c r="AA43" i="22"/>
  <c r="AA44" i="22"/>
  <c r="AA45" i="22"/>
  <c r="AA46" i="22"/>
  <c r="AA47" i="22"/>
  <c r="AA48" i="22"/>
  <c r="AA49" i="22"/>
  <c r="AA50" i="22"/>
  <c r="AA51" i="22"/>
  <c r="AA52" i="22"/>
  <c r="AA53" i="22"/>
  <c r="AA54" i="22"/>
  <c r="AA55" i="22"/>
  <c r="AA56" i="22"/>
  <c r="AA57" i="22"/>
  <c r="AA58" i="22"/>
  <c r="AA59" i="22"/>
  <c r="AA60" i="22"/>
  <c r="AA61" i="22"/>
  <c r="AA62" i="22"/>
  <c r="AA63" i="22"/>
  <c r="AA64" i="22"/>
  <c r="AA65" i="22"/>
  <c r="AA66" i="22"/>
  <c r="AA67" i="22"/>
  <c r="AA68" i="22"/>
  <c r="AA69" i="22"/>
  <c r="AA70" i="22"/>
  <c r="AA71" i="22"/>
  <c r="AA72" i="22"/>
  <c r="AA73" i="22"/>
  <c r="AA74" i="22"/>
  <c r="AA75" i="22"/>
  <c r="AA76" i="22"/>
  <c r="AA77" i="22"/>
  <c r="AA78" i="22"/>
  <c r="AA79" i="22"/>
  <c r="AA80" i="22"/>
  <c r="AA81" i="22"/>
  <c r="AA82" i="22"/>
  <c r="AA83" i="22"/>
  <c r="AA84" i="22"/>
  <c r="AA85" i="22"/>
  <c r="AA86" i="22"/>
  <c r="AA87" i="22"/>
  <c r="AA88" i="22"/>
  <c r="AA89" i="22"/>
  <c r="AA90" i="22"/>
  <c r="AA91" i="22"/>
  <c r="AA92" i="22"/>
  <c r="AA93" i="22"/>
  <c r="AA94" i="22"/>
  <c r="AA95" i="22"/>
  <c r="AA96" i="22"/>
  <c r="AA97" i="22"/>
  <c r="AA98" i="22"/>
  <c r="AA99" i="22"/>
  <c r="AA100" i="22"/>
  <c r="AA101" i="22"/>
  <c r="AA102" i="22"/>
  <c r="AA103" i="22"/>
  <c r="AA104" i="22"/>
  <c r="AA105" i="22"/>
  <c r="AA106" i="22"/>
  <c r="AA107" i="22"/>
  <c r="AA108" i="22"/>
  <c r="AA109" i="22"/>
  <c r="AA110" i="22"/>
  <c r="AA111" i="22"/>
  <c r="AA112" i="22"/>
  <c r="AA113" i="22"/>
  <c r="AA114" i="22"/>
  <c r="AA115" i="22"/>
  <c r="AA116" i="22"/>
  <c r="AA117" i="22"/>
  <c r="AA118" i="22"/>
  <c r="AA119" i="22"/>
  <c r="AA120" i="22"/>
  <c r="AA121" i="22"/>
  <c r="AA122" i="22"/>
  <c r="AA123" i="22"/>
  <c r="AA124" i="22"/>
  <c r="AA125" i="22"/>
  <c r="AA126" i="22"/>
  <c r="AA127" i="22"/>
  <c r="AA128" i="22"/>
  <c r="AA129" i="22"/>
  <c r="AA130" i="22"/>
  <c r="AA131" i="22"/>
  <c r="AA132" i="22"/>
  <c r="AA133" i="22"/>
  <c r="AA134" i="22"/>
  <c r="AA135" i="22"/>
  <c r="AA136" i="22"/>
  <c r="AA137" i="22"/>
  <c r="AA138" i="22"/>
  <c r="AA139" i="22"/>
  <c r="AA140" i="22"/>
  <c r="AA141" i="22"/>
  <c r="AA142" i="22"/>
  <c r="AA143" i="22"/>
  <c r="AA144" i="22"/>
  <c r="AA145" i="22"/>
  <c r="AA146" i="22"/>
  <c r="AA147" i="22"/>
  <c r="AA148" i="22"/>
  <c r="AA149" i="22"/>
  <c r="AA150" i="22"/>
  <c r="AA151" i="22"/>
  <c r="AA152" i="22"/>
  <c r="AA153" i="22"/>
  <c r="AA154" i="22"/>
  <c r="AA155" i="22"/>
  <c r="AA156" i="22"/>
  <c r="AA157" i="22"/>
  <c r="AA158" i="22"/>
  <c r="AA8" i="22"/>
  <c r="Z9" i="22"/>
  <c r="Z11" i="22"/>
  <c r="Z12" i="22"/>
  <c r="Z13" i="22"/>
  <c r="Z14" i="22"/>
  <c r="Z15" i="22"/>
  <c r="Z16" i="22"/>
  <c r="Z17" i="22"/>
  <c r="Z18" i="22"/>
  <c r="Z19" i="22"/>
  <c r="Z20" i="22"/>
  <c r="Z21" i="22"/>
  <c r="Z22" i="22"/>
  <c r="Z23" i="22"/>
  <c r="Z24" i="22"/>
  <c r="Z25" i="22"/>
  <c r="Z26" i="22"/>
  <c r="Z27" i="22"/>
  <c r="Z28" i="22"/>
  <c r="Z29" i="22"/>
  <c r="Z30" i="22"/>
  <c r="Z31" i="22"/>
  <c r="Z32" i="22"/>
  <c r="Z33" i="22"/>
  <c r="Z34" i="22"/>
  <c r="Z35" i="22"/>
  <c r="Z36" i="22"/>
  <c r="Z37" i="22"/>
  <c r="Z38" i="22"/>
  <c r="Z39" i="22"/>
  <c r="Z40" i="22"/>
  <c r="Z41" i="22"/>
  <c r="Z42" i="22"/>
  <c r="Z43" i="22"/>
  <c r="Z44" i="22"/>
  <c r="Z45" i="22"/>
  <c r="Z46" i="22"/>
  <c r="Z47" i="22"/>
  <c r="Z48" i="22"/>
  <c r="Z49" i="22"/>
  <c r="Z50" i="22"/>
  <c r="Z51" i="22"/>
  <c r="Z52" i="22"/>
  <c r="Z53" i="22"/>
  <c r="Z54" i="22"/>
  <c r="Z55" i="22"/>
  <c r="Z56" i="22"/>
  <c r="Z57" i="22"/>
  <c r="Z58" i="22"/>
  <c r="Z59" i="22"/>
  <c r="Z60" i="22"/>
  <c r="Z61" i="22"/>
  <c r="Z62" i="22"/>
  <c r="Z63" i="22"/>
  <c r="Z64" i="22"/>
  <c r="Z65" i="22"/>
  <c r="Z66" i="22"/>
  <c r="Z67" i="22"/>
  <c r="Z68" i="22"/>
  <c r="Z69" i="22"/>
  <c r="Z70" i="22"/>
  <c r="Z71" i="22"/>
  <c r="Z72" i="22"/>
  <c r="Z73" i="22"/>
  <c r="Z74" i="22"/>
  <c r="Z75" i="22"/>
  <c r="Z76" i="22"/>
  <c r="Z77" i="22"/>
  <c r="Z78" i="22"/>
  <c r="Z79" i="22"/>
  <c r="Z80" i="22"/>
  <c r="Z81" i="22"/>
  <c r="Z82" i="22"/>
  <c r="Z83" i="22"/>
  <c r="Z84" i="22"/>
  <c r="Z85" i="22"/>
  <c r="Z86" i="22"/>
  <c r="Z87" i="22"/>
  <c r="Z88" i="22"/>
  <c r="Z89" i="22"/>
  <c r="Z90" i="22"/>
  <c r="Z91" i="22"/>
  <c r="Z92" i="22"/>
  <c r="Z93" i="22"/>
  <c r="Z94" i="22"/>
  <c r="Z95" i="22"/>
  <c r="Z96" i="22"/>
  <c r="Z97" i="22"/>
  <c r="Z98" i="22"/>
  <c r="Z99" i="22"/>
  <c r="Z100" i="22"/>
  <c r="Z101" i="22"/>
  <c r="Z102" i="22"/>
  <c r="Z103" i="22"/>
  <c r="Z104" i="22"/>
  <c r="Z105" i="22"/>
  <c r="Z106" i="22"/>
  <c r="Z107" i="22"/>
  <c r="Z108" i="22"/>
  <c r="Z8" i="22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E8" i="23"/>
  <c r="B17" i="23"/>
  <c r="S17" i="23"/>
  <c r="C16" i="23"/>
  <c r="B16" i="23"/>
  <c r="B15" i="23"/>
  <c r="S15" i="23"/>
  <c r="C14" i="23"/>
  <c r="B14" i="23"/>
  <c r="B13" i="23"/>
  <c r="S13" i="23"/>
  <c r="C12" i="23"/>
  <c r="S12" i="23"/>
  <c r="B12" i="23"/>
  <c r="B11" i="23"/>
  <c r="S11" i="23"/>
  <c r="C10" i="23"/>
  <c r="I10" i="23"/>
  <c r="B10" i="23"/>
  <c r="B9" i="23"/>
  <c r="S9" i="23"/>
  <c r="H8" i="23"/>
  <c r="I17" i="23"/>
  <c r="A8" i="23"/>
  <c r="A9" i="23"/>
  <c r="G7" i="23"/>
  <c r="F7" i="23"/>
  <c r="S14" i="23"/>
  <c r="I16" i="23"/>
  <c r="A10" i="23"/>
  <c r="A11" i="23"/>
  <c r="A12" i="23"/>
  <c r="A13" i="23"/>
  <c r="A14" i="23"/>
  <c r="A15" i="23"/>
  <c r="A16" i="23"/>
  <c r="A17" i="23"/>
  <c r="I14" i="23"/>
  <c r="S16" i="23"/>
  <c r="I12" i="23"/>
  <c r="F8" i="23"/>
  <c r="B5" i="21"/>
  <c r="S10" i="23"/>
  <c r="G8" i="23"/>
  <c r="I9" i="23"/>
  <c r="R9" i="23"/>
  <c r="T9" i="23"/>
  <c r="U9" i="23"/>
  <c r="I11" i="23"/>
  <c r="I13" i="23"/>
  <c r="I15" i="23"/>
  <c r="E9" i="23"/>
  <c r="D4" i="25"/>
  <c r="B2" i="22"/>
  <c r="AM9" i="22"/>
  <c r="AQ9" i="22"/>
  <c r="AU9" i="22"/>
  <c r="AP10" i="22"/>
  <c r="AT10" i="22"/>
  <c r="AO11" i="22"/>
  <c r="AS11" i="22"/>
  <c r="AN12" i="22"/>
  <c r="AR12" i="22"/>
  <c r="AM13" i="22"/>
  <c r="AQ13" i="22"/>
  <c r="AU13" i="22"/>
  <c r="AP14" i="22"/>
  <c r="AT14" i="22"/>
  <c r="AO15" i="22"/>
  <c r="AS15" i="22"/>
  <c r="AN16" i="22"/>
  <c r="AR16" i="22"/>
  <c r="AM17" i="22"/>
  <c r="AQ17" i="22"/>
  <c r="AU17" i="22"/>
  <c r="AP18" i="22"/>
  <c r="AT18" i="22"/>
  <c r="AO19" i="22"/>
  <c r="AS19" i="22"/>
  <c r="AN20" i="22"/>
  <c r="AR20" i="22"/>
  <c r="AM21" i="22"/>
  <c r="AQ21" i="22"/>
  <c r="AU21" i="22"/>
  <c r="AP22" i="22"/>
  <c r="AT22" i="22"/>
  <c r="AO23" i="22"/>
  <c r="AS23" i="22"/>
  <c r="AN24" i="22"/>
  <c r="AR24" i="22"/>
  <c r="AM25" i="22"/>
  <c r="AQ25" i="22"/>
  <c r="AU25" i="22"/>
  <c r="AP26" i="22"/>
  <c r="AT26" i="22"/>
  <c r="AO27" i="22"/>
  <c r="AS27" i="22"/>
  <c r="AN28" i="22"/>
  <c r="AR28" i="22"/>
  <c r="AM29" i="22"/>
  <c r="AQ29" i="22"/>
  <c r="AU29" i="22"/>
  <c r="AP30" i="22"/>
  <c r="AT30" i="22"/>
  <c r="AO31" i="22"/>
  <c r="AS31" i="22"/>
  <c r="AN32" i="22"/>
  <c r="AR32" i="22"/>
  <c r="AM33" i="22"/>
  <c r="AQ33" i="22"/>
  <c r="AU33" i="22"/>
  <c r="AP34" i="22"/>
  <c r="AT34" i="22"/>
  <c r="AO35" i="22"/>
  <c r="AS35" i="22"/>
  <c r="AN36" i="22"/>
  <c r="AR36" i="22"/>
  <c r="AM37" i="22"/>
  <c r="AQ37" i="22"/>
  <c r="AU37" i="22"/>
  <c r="AP38" i="22"/>
  <c r="AT38" i="22"/>
  <c r="AO39" i="22"/>
  <c r="AS39" i="22"/>
  <c r="AN40" i="22"/>
  <c r="AR40" i="22"/>
  <c r="AM41" i="22"/>
  <c r="AQ41" i="22"/>
  <c r="AU41" i="22"/>
  <c r="AP42" i="22"/>
  <c r="AT42" i="22"/>
  <c r="AO43" i="22"/>
  <c r="AS43" i="22"/>
  <c r="AN44" i="22"/>
  <c r="AR44" i="22"/>
  <c r="AM45" i="22"/>
  <c r="AQ45" i="22"/>
  <c r="AU45" i="22"/>
  <c r="AP46" i="22"/>
  <c r="AN9" i="22"/>
  <c r="AR9" i="22"/>
  <c r="AM10" i="22"/>
  <c r="AQ10" i="22"/>
  <c r="AU10" i="22"/>
  <c r="AP11" i="22"/>
  <c r="AT11" i="22"/>
  <c r="AO12" i="22"/>
  <c r="AS12" i="22"/>
  <c r="AN13" i="22"/>
  <c r="AR13" i="22"/>
  <c r="AM14" i="22"/>
  <c r="AQ14" i="22"/>
  <c r="AU14" i="22"/>
  <c r="AP15" i="22"/>
  <c r="AT15" i="22"/>
  <c r="AO16" i="22"/>
  <c r="AS16" i="22"/>
  <c r="AN17" i="22"/>
  <c r="AR17" i="22"/>
  <c r="AM18" i="22"/>
  <c r="AQ18" i="22"/>
  <c r="AU18" i="22"/>
  <c r="AP19" i="22"/>
  <c r="AT19" i="22"/>
  <c r="AO20" i="22"/>
  <c r="AS20" i="22"/>
  <c r="AN21" i="22"/>
  <c r="AR21" i="22"/>
  <c r="AM22" i="22"/>
  <c r="AQ22" i="22"/>
  <c r="AU22" i="22"/>
  <c r="AP23" i="22"/>
  <c r="AT23" i="22"/>
  <c r="AO24" i="22"/>
  <c r="AS24" i="22"/>
  <c r="AN25" i="22"/>
  <c r="AR25" i="22"/>
  <c r="AM26" i="22"/>
  <c r="AQ26" i="22"/>
  <c r="AU26" i="22"/>
  <c r="AP27" i="22"/>
  <c r="AT27" i="22"/>
  <c r="AO28" i="22"/>
  <c r="AS28" i="22"/>
  <c r="AN29" i="22"/>
  <c r="AR29" i="22"/>
  <c r="AM30" i="22"/>
  <c r="AQ30" i="22"/>
  <c r="AU30" i="22"/>
  <c r="AP31" i="22"/>
  <c r="AT31" i="22"/>
  <c r="AO32" i="22"/>
  <c r="AS32" i="22"/>
  <c r="AN33" i="22"/>
  <c r="AR33" i="22"/>
  <c r="AM34" i="22"/>
  <c r="AQ34" i="22"/>
  <c r="AU34" i="22"/>
  <c r="AP35" i="22"/>
  <c r="AT35" i="22"/>
  <c r="AO36" i="22"/>
  <c r="AS36" i="22"/>
  <c r="AN37" i="22"/>
  <c r="AR37" i="22"/>
  <c r="AM38" i="22"/>
  <c r="AQ38" i="22"/>
  <c r="AU38" i="22"/>
  <c r="AP39" i="22"/>
  <c r="AT39" i="22"/>
  <c r="AO40" i="22"/>
  <c r="AS40" i="22"/>
  <c r="AN41" i="22"/>
  <c r="AR41" i="22"/>
  <c r="AM42" i="22"/>
  <c r="AQ42" i="22"/>
  <c r="AU42" i="22"/>
  <c r="AP43" i="22"/>
  <c r="AT43" i="22"/>
  <c r="AO44" i="22"/>
  <c r="AS44" i="22"/>
  <c r="AN45" i="22"/>
  <c r="AR45" i="22"/>
  <c r="AM46" i="22"/>
  <c r="AQ46" i="22"/>
  <c r="AO9" i="22"/>
  <c r="AS9" i="22"/>
  <c r="AN10" i="22"/>
  <c r="AR10" i="22"/>
  <c r="AM11" i="22"/>
  <c r="AQ11" i="22"/>
  <c r="AU11" i="22"/>
  <c r="AP12" i="22"/>
  <c r="AT12" i="22"/>
  <c r="AO13" i="22"/>
  <c r="AS13" i="22"/>
  <c r="AN14" i="22"/>
  <c r="AR14" i="22"/>
  <c r="AM15" i="22"/>
  <c r="AQ15" i="22"/>
  <c r="AU15" i="22"/>
  <c r="AP16" i="22"/>
  <c r="AT16" i="22"/>
  <c r="AO17" i="22"/>
  <c r="AS17" i="22"/>
  <c r="AN18" i="22"/>
  <c r="AR18" i="22"/>
  <c r="AM19" i="22"/>
  <c r="AQ19" i="22"/>
  <c r="AU19" i="22"/>
  <c r="AP20" i="22"/>
  <c r="AT20" i="22"/>
  <c r="AO21" i="22"/>
  <c r="AS21" i="22"/>
  <c r="AN22" i="22"/>
  <c r="AR22" i="22"/>
  <c r="AM23" i="22"/>
  <c r="AQ23" i="22"/>
  <c r="AU23" i="22"/>
  <c r="AP24" i="22"/>
  <c r="AT24" i="22"/>
  <c r="AO25" i="22"/>
  <c r="AS25" i="22"/>
  <c r="AN26" i="22"/>
  <c r="AR26" i="22"/>
  <c r="AM27" i="22"/>
  <c r="AQ27" i="22"/>
  <c r="AU27" i="22"/>
  <c r="AP28" i="22"/>
  <c r="AT28" i="22"/>
  <c r="AO29" i="22"/>
  <c r="AS29" i="22"/>
  <c r="AN30" i="22"/>
  <c r="AR30" i="22"/>
  <c r="AM31" i="22"/>
  <c r="AQ31" i="22"/>
  <c r="AU31" i="22"/>
  <c r="AP32" i="22"/>
  <c r="AT32" i="22"/>
  <c r="AO33" i="22"/>
  <c r="AS33" i="22"/>
  <c r="AN34" i="22"/>
  <c r="AR34" i="22"/>
  <c r="AM35" i="22"/>
  <c r="AQ35" i="22"/>
  <c r="AU35" i="22"/>
  <c r="AP36" i="22"/>
  <c r="AT36" i="22"/>
  <c r="AO37" i="22"/>
  <c r="AS37" i="22"/>
  <c r="AN38" i="22"/>
  <c r="AR38" i="22"/>
  <c r="AM39" i="22"/>
  <c r="AQ39" i="22"/>
  <c r="AU39" i="22"/>
  <c r="AP40" i="22"/>
  <c r="AT40" i="22"/>
  <c r="AO41" i="22"/>
  <c r="AS41" i="22"/>
  <c r="AN42" i="22"/>
  <c r="AR42" i="22"/>
  <c r="AM43" i="22"/>
  <c r="AQ43" i="22"/>
  <c r="AU43" i="22"/>
  <c r="AP44" i="22"/>
  <c r="AT44" i="22"/>
  <c r="AO45" i="22"/>
  <c r="AS45" i="22"/>
  <c r="AN46" i="22"/>
  <c r="AR46" i="22"/>
  <c r="AP9" i="22"/>
  <c r="AT9" i="22"/>
  <c r="AO10" i="22"/>
  <c r="AS10" i="22"/>
  <c r="AN11" i="22"/>
  <c r="AR11" i="22"/>
  <c r="AM12" i="22"/>
  <c r="AQ12" i="22"/>
  <c r="AU12" i="22"/>
  <c r="AP13" i="22"/>
  <c r="AT13" i="22"/>
  <c r="AO14" i="22"/>
  <c r="AS14" i="22"/>
  <c r="AN15" i="22"/>
  <c r="AR15" i="22"/>
  <c r="AM16" i="22"/>
  <c r="AQ16" i="22"/>
  <c r="AU16" i="22"/>
  <c r="AP17" i="22"/>
  <c r="AT17" i="22"/>
  <c r="AO18" i="22"/>
  <c r="AS18" i="22"/>
  <c r="AN19" i="22"/>
  <c r="AR19" i="22"/>
  <c r="AM20" i="22"/>
  <c r="AQ20" i="22"/>
  <c r="AU20" i="22"/>
  <c r="AP21" i="22"/>
  <c r="AT21" i="22"/>
  <c r="AO22" i="22"/>
  <c r="AS22" i="22"/>
  <c r="AN23" i="22"/>
  <c r="AR23" i="22"/>
  <c r="AM24" i="22"/>
  <c r="AQ24" i="22"/>
  <c r="AU24" i="22"/>
  <c r="AP25" i="22"/>
  <c r="AT25" i="22"/>
  <c r="AO26" i="22"/>
  <c r="AS26" i="22"/>
  <c r="AN27" i="22"/>
  <c r="AR27" i="22"/>
  <c r="AM28" i="22"/>
  <c r="AQ28" i="22"/>
  <c r="AU28" i="22"/>
  <c r="AP29" i="22"/>
  <c r="AT29" i="22"/>
  <c r="AO30" i="22"/>
  <c r="AS30" i="22"/>
  <c r="AN31" i="22"/>
  <c r="AR31" i="22"/>
  <c r="AM32" i="22"/>
  <c r="AQ32" i="22"/>
  <c r="AU32" i="22"/>
  <c r="AP33" i="22"/>
  <c r="AT33" i="22"/>
  <c r="AO34" i="22"/>
  <c r="AS34" i="22"/>
  <c r="AN35" i="22"/>
  <c r="AR35" i="22"/>
  <c r="AM36" i="22"/>
  <c r="AQ36" i="22"/>
  <c r="AU36" i="22"/>
  <c r="AP37" i="22"/>
  <c r="AT37" i="22"/>
  <c r="AO38" i="22"/>
  <c r="AS38" i="22"/>
  <c r="AN39" i="22"/>
  <c r="AR39" i="22"/>
  <c r="AM40" i="22"/>
  <c r="AQ40" i="22"/>
  <c r="AU40" i="22"/>
  <c r="AP41" i="22"/>
  <c r="AT41" i="22"/>
  <c r="AO42" i="22"/>
  <c r="AS42" i="22"/>
  <c r="AN43" i="22"/>
  <c r="AR43" i="22"/>
  <c r="AM44" i="22"/>
  <c r="AQ44" i="22"/>
  <c r="AU44" i="22"/>
  <c r="AP45" i="22"/>
  <c r="AT45" i="22"/>
  <c r="AO46" i="22"/>
  <c r="AS46" i="22"/>
  <c r="AT46" i="22"/>
  <c r="AO47" i="22"/>
  <c r="AS47" i="22"/>
  <c r="AN48" i="22"/>
  <c r="AR48" i="22"/>
  <c r="AM49" i="22"/>
  <c r="AQ49" i="22"/>
  <c r="AU49" i="22"/>
  <c r="AP50" i="22"/>
  <c r="AT50" i="22"/>
  <c r="AO51" i="22"/>
  <c r="AS51" i="22"/>
  <c r="AN52" i="22"/>
  <c r="AR52" i="22"/>
  <c r="AM53" i="22"/>
  <c r="AQ53" i="22"/>
  <c r="AU53" i="22"/>
  <c r="AP54" i="22"/>
  <c r="AT54" i="22"/>
  <c r="AO55" i="22"/>
  <c r="AS55" i="22"/>
  <c r="AN56" i="22"/>
  <c r="AR56" i="22"/>
  <c r="AM57" i="22"/>
  <c r="AQ57" i="22"/>
  <c r="AU57" i="22"/>
  <c r="AP58" i="22"/>
  <c r="AT58" i="22"/>
  <c r="AO59" i="22"/>
  <c r="AS59" i="22"/>
  <c r="AN60" i="22"/>
  <c r="AR60" i="22"/>
  <c r="AM61" i="22"/>
  <c r="AQ61" i="22"/>
  <c r="AU61" i="22"/>
  <c r="AP62" i="22"/>
  <c r="AT62" i="22"/>
  <c r="AO63" i="22"/>
  <c r="AS63" i="22"/>
  <c r="AN64" i="22"/>
  <c r="AR64" i="22"/>
  <c r="AM65" i="22"/>
  <c r="AQ65" i="22"/>
  <c r="AU65" i="22"/>
  <c r="AP66" i="22"/>
  <c r="AT66" i="22"/>
  <c r="AO67" i="22"/>
  <c r="AS67" i="22"/>
  <c r="AN68" i="22"/>
  <c r="AU46" i="22"/>
  <c r="AP47" i="22"/>
  <c r="AT47" i="22"/>
  <c r="AO48" i="22"/>
  <c r="AS48" i="22"/>
  <c r="AN49" i="22"/>
  <c r="AR49" i="22"/>
  <c r="AM50" i="22"/>
  <c r="AQ50" i="22"/>
  <c r="AU50" i="22"/>
  <c r="AP51" i="22"/>
  <c r="AT51" i="22"/>
  <c r="AO52" i="22"/>
  <c r="AS52" i="22"/>
  <c r="AN53" i="22"/>
  <c r="AR53" i="22"/>
  <c r="AM54" i="22"/>
  <c r="AQ54" i="22"/>
  <c r="AU54" i="22"/>
  <c r="AP55" i="22"/>
  <c r="AT55" i="22"/>
  <c r="AO56" i="22"/>
  <c r="AS56" i="22"/>
  <c r="AN57" i="22"/>
  <c r="AR57" i="22"/>
  <c r="AM58" i="22"/>
  <c r="AQ58" i="22"/>
  <c r="AU58" i="22"/>
  <c r="AP59" i="22"/>
  <c r="AT59" i="22"/>
  <c r="AO60" i="22"/>
  <c r="AS60" i="22"/>
  <c r="AN61" i="22"/>
  <c r="AR61" i="22"/>
  <c r="AM62" i="22"/>
  <c r="AQ62" i="22"/>
  <c r="AU62" i="22"/>
  <c r="AP63" i="22"/>
  <c r="AT63" i="22"/>
  <c r="AO64" i="22"/>
  <c r="AS64" i="22"/>
  <c r="AN65" i="22"/>
  <c r="AR65" i="22"/>
  <c r="AM66" i="22"/>
  <c r="AQ66" i="22"/>
  <c r="AU66" i="22"/>
  <c r="AP67" i="22"/>
  <c r="AT67" i="22"/>
  <c r="AO68" i="22"/>
  <c r="AM47" i="22"/>
  <c r="AQ47" i="22"/>
  <c r="AU47" i="22"/>
  <c r="AP48" i="22"/>
  <c r="AT48" i="22"/>
  <c r="AO49" i="22"/>
  <c r="AS49" i="22"/>
  <c r="AN50" i="22"/>
  <c r="AR50" i="22"/>
  <c r="AM51" i="22"/>
  <c r="AQ51" i="22"/>
  <c r="AU51" i="22"/>
  <c r="AP52" i="22"/>
  <c r="AT52" i="22"/>
  <c r="AO53" i="22"/>
  <c r="AS53" i="22"/>
  <c r="AN54" i="22"/>
  <c r="AR54" i="22"/>
  <c r="AM55" i="22"/>
  <c r="AQ55" i="22"/>
  <c r="AU55" i="22"/>
  <c r="AP56" i="22"/>
  <c r="AT56" i="22"/>
  <c r="AO57" i="22"/>
  <c r="AS57" i="22"/>
  <c r="AN58" i="22"/>
  <c r="AR58" i="22"/>
  <c r="AM59" i="22"/>
  <c r="AQ59" i="22"/>
  <c r="AU59" i="22"/>
  <c r="AP60" i="22"/>
  <c r="AT60" i="22"/>
  <c r="AO61" i="22"/>
  <c r="AS61" i="22"/>
  <c r="AN62" i="22"/>
  <c r="AR62" i="22"/>
  <c r="AM63" i="22"/>
  <c r="AQ63" i="22"/>
  <c r="AU63" i="22"/>
  <c r="AP64" i="22"/>
  <c r="AT64" i="22"/>
  <c r="AO65" i="22"/>
  <c r="AS65" i="22"/>
  <c r="AN66" i="22"/>
  <c r="AR66" i="22"/>
  <c r="AM67" i="22"/>
  <c r="AQ67" i="22"/>
  <c r="AU67" i="22"/>
  <c r="AP68" i="22"/>
  <c r="AT68" i="22"/>
  <c r="AO69" i="22"/>
  <c r="AS69" i="22"/>
  <c r="AN70" i="22"/>
  <c r="AR70" i="22"/>
  <c r="AM71" i="22"/>
  <c r="AQ71" i="22"/>
  <c r="AU71" i="22"/>
  <c r="AP72" i="22"/>
  <c r="AT72" i="22"/>
  <c r="AO73" i="22"/>
  <c r="AS73" i="22"/>
  <c r="AN74" i="22"/>
  <c r="AR74" i="22"/>
  <c r="AM75" i="22"/>
  <c r="AQ75" i="22"/>
  <c r="AU75" i="22"/>
  <c r="AP76" i="22"/>
  <c r="AT76" i="22"/>
  <c r="AO77" i="22"/>
  <c r="AS77" i="22"/>
  <c r="AN78" i="22"/>
  <c r="AR78" i="22"/>
  <c r="AM79" i="22"/>
  <c r="AQ79" i="22"/>
  <c r="AU79" i="22"/>
  <c r="AP80" i="22"/>
  <c r="AT80" i="22"/>
  <c r="AO81" i="22"/>
  <c r="AS81" i="22"/>
  <c r="AN82" i="22"/>
  <c r="AR82" i="22"/>
  <c r="AM83" i="22"/>
  <c r="AQ83" i="22"/>
  <c r="AU83" i="22"/>
  <c r="AP84" i="22"/>
  <c r="AT84" i="22"/>
  <c r="AN47" i="22"/>
  <c r="AR47" i="22"/>
  <c r="AM48" i="22"/>
  <c r="AQ48" i="22"/>
  <c r="AU48" i="22"/>
  <c r="AP49" i="22"/>
  <c r="AT49" i="22"/>
  <c r="AO50" i="22"/>
  <c r="AS50" i="22"/>
  <c r="AN51" i="22"/>
  <c r="AR51" i="22"/>
  <c r="AM52" i="22"/>
  <c r="AQ52" i="22"/>
  <c r="AU52" i="22"/>
  <c r="AP53" i="22"/>
  <c r="AT53" i="22"/>
  <c r="AO54" i="22"/>
  <c r="AS54" i="22"/>
  <c r="AN55" i="22"/>
  <c r="AR55" i="22"/>
  <c r="AM56" i="22"/>
  <c r="AQ56" i="22"/>
  <c r="AU56" i="22"/>
  <c r="AP57" i="22"/>
  <c r="AT57" i="22"/>
  <c r="AO58" i="22"/>
  <c r="AS58" i="22"/>
  <c r="AN59" i="22"/>
  <c r="AR59" i="22"/>
  <c r="AM60" i="22"/>
  <c r="AQ60" i="22"/>
  <c r="AU60" i="22"/>
  <c r="AP61" i="22"/>
  <c r="AT61" i="22"/>
  <c r="AO62" i="22"/>
  <c r="AS62" i="22"/>
  <c r="AN63" i="22"/>
  <c r="AR63" i="22"/>
  <c r="AM64" i="22"/>
  <c r="AQ64" i="22"/>
  <c r="AU64" i="22"/>
  <c r="AP65" i="22"/>
  <c r="AT65" i="22"/>
  <c r="AO66" i="22"/>
  <c r="AS66" i="22"/>
  <c r="AN67" i="22"/>
  <c r="AR67" i="22"/>
  <c r="AM68" i="22"/>
  <c r="AQ68" i="22"/>
  <c r="AU68" i="22"/>
  <c r="AP69" i="22"/>
  <c r="AT69" i="22"/>
  <c r="AO70" i="22"/>
  <c r="AS70" i="22"/>
  <c r="AN71" i="22"/>
  <c r="AR71" i="22"/>
  <c r="AM72" i="22"/>
  <c r="AQ72" i="22"/>
  <c r="AU72" i="22"/>
  <c r="AP73" i="22"/>
  <c r="AT73" i="22"/>
  <c r="AO74" i="22"/>
  <c r="AS74" i="22"/>
  <c r="AN75" i="22"/>
  <c r="AR75" i="22"/>
  <c r="AM76" i="22"/>
  <c r="AQ76" i="22"/>
  <c r="AU76" i="22"/>
  <c r="AP77" i="22"/>
  <c r="AT77" i="22"/>
  <c r="AO78" i="22"/>
  <c r="AS78" i="22"/>
  <c r="AN79" i="22"/>
  <c r="AR79" i="22"/>
  <c r="AM80" i="22"/>
  <c r="AQ80" i="22"/>
  <c r="AU80" i="22"/>
  <c r="AP81" i="22"/>
  <c r="AT81" i="22"/>
  <c r="AO82" i="22"/>
  <c r="AS82" i="22"/>
  <c r="AN83" i="22"/>
  <c r="AR83" i="22"/>
  <c r="AM84" i="22"/>
  <c r="AQ84" i="22"/>
  <c r="AR68" i="22"/>
  <c r="AQ69" i="22"/>
  <c r="AP70" i="22"/>
  <c r="AO71" i="22"/>
  <c r="AN72" i="22"/>
  <c r="AM73" i="22"/>
  <c r="AU73" i="22"/>
  <c r="AT74" i="22"/>
  <c r="AS75" i="22"/>
  <c r="AR76" i="22"/>
  <c r="AQ77" i="22"/>
  <c r="AP78" i="22"/>
  <c r="AO79" i="22"/>
  <c r="AN80" i="22"/>
  <c r="AM81" i="22"/>
  <c r="AU81" i="22"/>
  <c r="AT82" i="22"/>
  <c r="AS83" i="22"/>
  <c r="AR84" i="22"/>
  <c r="AN85" i="22"/>
  <c r="AR85" i="22"/>
  <c r="AM86" i="22"/>
  <c r="AQ86" i="22"/>
  <c r="AU86" i="22"/>
  <c r="AP87" i="22"/>
  <c r="AT87" i="22"/>
  <c r="AO88" i="22"/>
  <c r="AS88" i="22"/>
  <c r="AN89" i="22"/>
  <c r="AR89" i="22"/>
  <c r="AM90" i="22"/>
  <c r="AQ90" i="22"/>
  <c r="AU90" i="22"/>
  <c r="AP91" i="22"/>
  <c r="AT91" i="22"/>
  <c r="AO92" i="22"/>
  <c r="AS92" i="22"/>
  <c r="AN93" i="22"/>
  <c r="AR93" i="22"/>
  <c r="AM94" i="22"/>
  <c r="AQ94" i="22"/>
  <c r="AU94" i="22"/>
  <c r="AP95" i="22"/>
  <c r="AT95" i="22"/>
  <c r="AO96" i="22"/>
  <c r="AS96" i="22"/>
  <c r="AN97" i="22"/>
  <c r="AR97" i="22"/>
  <c r="AM98" i="22"/>
  <c r="AQ98" i="22"/>
  <c r="AU98" i="22"/>
  <c r="AP99" i="22"/>
  <c r="AT99" i="22"/>
  <c r="AO100" i="22"/>
  <c r="AS100" i="22"/>
  <c r="AN101" i="22"/>
  <c r="AR101" i="22"/>
  <c r="AM102" i="22"/>
  <c r="AQ102" i="22"/>
  <c r="AU102" i="22"/>
  <c r="AP103" i="22"/>
  <c r="AT103" i="22"/>
  <c r="AO104" i="22"/>
  <c r="AS104" i="22"/>
  <c r="AN105" i="22"/>
  <c r="AR105" i="22"/>
  <c r="AM106" i="22"/>
  <c r="AQ106" i="22"/>
  <c r="AU106" i="22"/>
  <c r="AP107" i="22"/>
  <c r="AT107" i="22"/>
  <c r="AO108" i="22"/>
  <c r="AS108" i="22"/>
  <c r="AN109" i="22"/>
  <c r="AR109" i="22"/>
  <c r="AM110" i="22"/>
  <c r="AQ110" i="22"/>
  <c r="AU110" i="22"/>
  <c r="AP111" i="22"/>
  <c r="AT111" i="22"/>
  <c r="AO112" i="22"/>
  <c r="AS112" i="22"/>
  <c r="AN113" i="22"/>
  <c r="AR113" i="22"/>
  <c r="AM114" i="22"/>
  <c r="AS68" i="22"/>
  <c r="AR69" i="22"/>
  <c r="AQ70" i="22"/>
  <c r="AP71" i="22"/>
  <c r="AO72" i="22"/>
  <c r="AN73" i="22"/>
  <c r="AM74" i="22"/>
  <c r="AU74" i="22"/>
  <c r="AT75" i="22"/>
  <c r="AS76" i="22"/>
  <c r="AR77" i="22"/>
  <c r="AQ78" i="22"/>
  <c r="AP79" i="22"/>
  <c r="AO80" i="22"/>
  <c r="AN81" i="22"/>
  <c r="AM82" i="22"/>
  <c r="AU82" i="22"/>
  <c r="AT83" i="22"/>
  <c r="AS84" i="22"/>
  <c r="AO85" i="22"/>
  <c r="AS85" i="22"/>
  <c r="AN86" i="22"/>
  <c r="AR86" i="22"/>
  <c r="AM87" i="22"/>
  <c r="AQ87" i="22"/>
  <c r="AU87" i="22"/>
  <c r="AP88" i="22"/>
  <c r="AT88" i="22"/>
  <c r="AO89" i="22"/>
  <c r="AS89" i="22"/>
  <c r="AN90" i="22"/>
  <c r="AR90" i="22"/>
  <c r="AM91" i="22"/>
  <c r="AQ91" i="22"/>
  <c r="AU91" i="22"/>
  <c r="AP92" i="22"/>
  <c r="AT92" i="22"/>
  <c r="AO93" i="22"/>
  <c r="AS93" i="22"/>
  <c r="AN94" i="22"/>
  <c r="AR94" i="22"/>
  <c r="AM95" i="22"/>
  <c r="AQ95" i="22"/>
  <c r="AU95" i="22"/>
  <c r="AP96" i="22"/>
  <c r="AT96" i="22"/>
  <c r="AO97" i="22"/>
  <c r="AS97" i="22"/>
  <c r="AN98" i="22"/>
  <c r="AR98" i="22"/>
  <c r="AM99" i="22"/>
  <c r="AQ99" i="22"/>
  <c r="AU99" i="22"/>
  <c r="AP100" i="22"/>
  <c r="AT100" i="22"/>
  <c r="AO101" i="22"/>
  <c r="AS101" i="22"/>
  <c r="AN102" i="22"/>
  <c r="AR102" i="22"/>
  <c r="AM103" i="22"/>
  <c r="AQ103" i="22"/>
  <c r="AU103" i="22"/>
  <c r="AP104" i="22"/>
  <c r="AT104" i="22"/>
  <c r="AO105" i="22"/>
  <c r="AS105" i="22"/>
  <c r="AN106" i="22"/>
  <c r="AR106" i="22"/>
  <c r="AM107" i="22"/>
  <c r="AQ107" i="22"/>
  <c r="AU107" i="22"/>
  <c r="AP108" i="22"/>
  <c r="AT108" i="22"/>
  <c r="AO109" i="22"/>
  <c r="AS109" i="22"/>
  <c r="AN110" i="22"/>
  <c r="AR110" i="22"/>
  <c r="AM111" i="22"/>
  <c r="AQ111" i="22"/>
  <c r="AU111" i="22"/>
  <c r="AP112" i="22"/>
  <c r="AT112" i="22"/>
  <c r="AO113" i="22"/>
  <c r="AS113" i="22"/>
  <c r="AN114" i="22"/>
  <c r="AM69" i="22"/>
  <c r="AU69" i="22"/>
  <c r="AT70" i="22"/>
  <c r="AS71" i="22"/>
  <c r="AR72" i="22"/>
  <c r="AQ73" i="22"/>
  <c r="AP74" i="22"/>
  <c r="AO75" i="22"/>
  <c r="AN76" i="22"/>
  <c r="AM77" i="22"/>
  <c r="AU77" i="22"/>
  <c r="AT78" i="22"/>
  <c r="AS79" i="22"/>
  <c r="AR80" i="22"/>
  <c r="AQ81" i="22"/>
  <c r="AP82" i="22"/>
  <c r="AO83" i="22"/>
  <c r="AN84" i="22"/>
  <c r="AU84" i="22"/>
  <c r="AP85" i="22"/>
  <c r="AT85" i="22"/>
  <c r="AO86" i="22"/>
  <c r="AS86" i="22"/>
  <c r="AN87" i="22"/>
  <c r="AR87" i="22"/>
  <c r="AM88" i="22"/>
  <c r="AQ88" i="22"/>
  <c r="AU88" i="22"/>
  <c r="AP89" i="22"/>
  <c r="AT89" i="22"/>
  <c r="AO90" i="22"/>
  <c r="AS90" i="22"/>
  <c r="AN91" i="22"/>
  <c r="AR91" i="22"/>
  <c r="AM92" i="22"/>
  <c r="AQ92" i="22"/>
  <c r="AU92" i="22"/>
  <c r="AP93" i="22"/>
  <c r="AT93" i="22"/>
  <c r="AO94" i="22"/>
  <c r="AS94" i="22"/>
  <c r="AN95" i="22"/>
  <c r="AR95" i="22"/>
  <c r="AM96" i="22"/>
  <c r="AQ96" i="22"/>
  <c r="AU96" i="22"/>
  <c r="AP97" i="22"/>
  <c r="AT97" i="22"/>
  <c r="AO98" i="22"/>
  <c r="AS98" i="22"/>
  <c r="AN99" i="22"/>
  <c r="AR99" i="22"/>
  <c r="AM100" i="22"/>
  <c r="AQ100" i="22"/>
  <c r="AU100" i="22"/>
  <c r="AP101" i="22"/>
  <c r="AT101" i="22"/>
  <c r="AO102" i="22"/>
  <c r="AS102" i="22"/>
  <c r="AN103" i="22"/>
  <c r="AR103" i="22"/>
  <c r="AM104" i="22"/>
  <c r="AQ104" i="22"/>
  <c r="AU104" i="22"/>
  <c r="AP105" i="22"/>
  <c r="AT105" i="22"/>
  <c r="AO106" i="22"/>
  <c r="AS106" i="22"/>
  <c r="AN107" i="22"/>
  <c r="AR107" i="22"/>
  <c r="AM108" i="22"/>
  <c r="AQ108" i="22"/>
  <c r="AU108" i="22"/>
  <c r="AP109" i="22"/>
  <c r="AT109" i="22"/>
  <c r="AO110" i="22"/>
  <c r="AS110" i="22"/>
  <c r="AN111" i="22"/>
  <c r="AR111" i="22"/>
  <c r="AM112" i="22"/>
  <c r="AQ112" i="22"/>
  <c r="AU112" i="22"/>
  <c r="AP113" i="22"/>
  <c r="AT113" i="22"/>
  <c r="AO114" i="22"/>
  <c r="AS114" i="22"/>
  <c r="AN115" i="22"/>
  <c r="AR115" i="22"/>
  <c r="AM116" i="22"/>
  <c r="AQ116" i="22"/>
  <c r="AU116" i="22"/>
  <c r="AP117" i="22"/>
  <c r="AT117" i="22"/>
  <c r="AO118" i="22"/>
  <c r="AS118" i="22"/>
  <c r="AN119" i="22"/>
  <c r="AR119" i="22"/>
  <c r="AM120" i="22"/>
  <c r="AQ120" i="22"/>
  <c r="AU120" i="22"/>
  <c r="AP121" i="22"/>
  <c r="AT121" i="22"/>
  <c r="AO122" i="22"/>
  <c r="AS122" i="22"/>
  <c r="AN123" i="22"/>
  <c r="AR123" i="22"/>
  <c r="AM124" i="22"/>
  <c r="AQ124" i="22"/>
  <c r="AU124" i="22"/>
  <c r="AP125" i="22"/>
  <c r="AT125" i="22"/>
  <c r="AO126" i="22"/>
  <c r="AN69" i="22"/>
  <c r="AM70" i="22"/>
  <c r="AU70" i="22"/>
  <c r="AT71" i="22"/>
  <c r="AS72" i="22"/>
  <c r="AR73" i="22"/>
  <c r="AQ74" i="22"/>
  <c r="AP75" i="22"/>
  <c r="AO76" i="22"/>
  <c r="AN77" i="22"/>
  <c r="AM78" i="22"/>
  <c r="AU78" i="22"/>
  <c r="AT79" i="22"/>
  <c r="AS80" i="22"/>
  <c r="AR81" i="22"/>
  <c r="AQ82" i="22"/>
  <c r="AP83" i="22"/>
  <c r="AO84" i="22"/>
  <c r="AM85" i="22"/>
  <c r="AQ85" i="22"/>
  <c r="AU85" i="22"/>
  <c r="AP86" i="22"/>
  <c r="AT86" i="22"/>
  <c r="AO87" i="22"/>
  <c r="AS87" i="22"/>
  <c r="AN88" i="22"/>
  <c r="AR88" i="22"/>
  <c r="AM89" i="22"/>
  <c r="AQ89" i="22"/>
  <c r="AU89" i="22"/>
  <c r="AP90" i="22"/>
  <c r="AT90" i="22"/>
  <c r="AO91" i="22"/>
  <c r="AS91" i="22"/>
  <c r="AN92" i="22"/>
  <c r="AR92" i="22"/>
  <c r="AM93" i="22"/>
  <c r="AQ93" i="22"/>
  <c r="AU93" i="22"/>
  <c r="AP94" i="22"/>
  <c r="AT94" i="22"/>
  <c r="AO95" i="22"/>
  <c r="AS95" i="22"/>
  <c r="AN96" i="22"/>
  <c r="AR96" i="22"/>
  <c r="AM97" i="22"/>
  <c r="AQ97" i="22"/>
  <c r="AU97" i="22"/>
  <c r="AP98" i="22"/>
  <c r="AT98" i="22"/>
  <c r="AO99" i="22"/>
  <c r="AS99" i="22"/>
  <c r="AN100" i="22"/>
  <c r="AR100" i="22"/>
  <c r="AM101" i="22"/>
  <c r="AQ101" i="22"/>
  <c r="AU101" i="22"/>
  <c r="AP102" i="22"/>
  <c r="AT102" i="22"/>
  <c r="AO103" i="22"/>
  <c r="AS103" i="22"/>
  <c r="AN104" i="22"/>
  <c r="AR104" i="22"/>
  <c r="AM105" i="22"/>
  <c r="AQ105" i="22"/>
  <c r="AU105" i="22"/>
  <c r="AP106" i="22"/>
  <c r="AT106" i="22"/>
  <c r="AO107" i="22"/>
  <c r="AS107" i="22"/>
  <c r="AN108" i="22"/>
  <c r="AR108" i="22"/>
  <c r="AM109" i="22"/>
  <c r="AQ109" i="22"/>
  <c r="AU109" i="22"/>
  <c r="AP110" i="22"/>
  <c r="AT110" i="22"/>
  <c r="AO111" i="22"/>
  <c r="AS111" i="22"/>
  <c r="AN112" i="22"/>
  <c r="AR112" i="22"/>
  <c r="AM113" i="22"/>
  <c r="AQ113" i="22"/>
  <c r="AU113" i="22"/>
  <c r="AP114" i="22"/>
  <c r="AT114" i="22"/>
  <c r="AO115" i="22"/>
  <c r="AS115" i="22"/>
  <c r="AN116" i="22"/>
  <c r="AR116" i="22"/>
  <c r="AM117" i="22"/>
  <c r="AQ117" i="22"/>
  <c r="AU117" i="22"/>
  <c r="AP118" i="22"/>
  <c r="AT118" i="22"/>
  <c r="AO119" i="22"/>
  <c r="AS119" i="22"/>
  <c r="AN120" i="22"/>
  <c r="AR120" i="22"/>
  <c r="AM121" i="22"/>
  <c r="AQ121" i="22"/>
  <c r="AU121" i="22"/>
  <c r="AP122" i="22"/>
  <c r="AT122" i="22"/>
  <c r="AO123" i="22"/>
  <c r="AS123" i="22"/>
  <c r="AN124" i="22"/>
  <c r="AR124" i="22"/>
  <c r="AM125" i="22"/>
  <c r="AQ125" i="22"/>
  <c r="AU125" i="22"/>
  <c r="AP126" i="22"/>
  <c r="AQ114" i="22"/>
  <c r="AP115" i="22"/>
  <c r="AO116" i="22"/>
  <c r="AN117" i="22"/>
  <c r="AM118" i="22"/>
  <c r="AU118" i="22"/>
  <c r="AT119" i="22"/>
  <c r="AS120" i="22"/>
  <c r="AR121" i="22"/>
  <c r="AQ122" i="22"/>
  <c r="AP123" i="22"/>
  <c r="AO124" i="22"/>
  <c r="AN125" i="22"/>
  <c r="AM126" i="22"/>
  <c r="AS126" i="22"/>
  <c r="AN127" i="22"/>
  <c r="AR127" i="22"/>
  <c r="AM128" i="22"/>
  <c r="AQ128" i="22"/>
  <c r="AU128" i="22"/>
  <c r="AP129" i="22"/>
  <c r="AT129" i="22"/>
  <c r="AO130" i="22"/>
  <c r="AS130" i="22"/>
  <c r="AN131" i="22"/>
  <c r="AR131" i="22"/>
  <c r="AM132" i="22"/>
  <c r="AQ132" i="22"/>
  <c r="AU132" i="22"/>
  <c r="AP133" i="22"/>
  <c r="AT133" i="22"/>
  <c r="AO134" i="22"/>
  <c r="AS134" i="22"/>
  <c r="AN135" i="22"/>
  <c r="AR135" i="22"/>
  <c r="AM136" i="22"/>
  <c r="AQ136" i="22"/>
  <c r="AU136" i="22"/>
  <c r="AP137" i="22"/>
  <c r="AT137" i="22"/>
  <c r="AO138" i="22"/>
  <c r="AS138" i="22"/>
  <c r="AN139" i="22"/>
  <c r="AR139" i="22"/>
  <c r="AM140" i="22"/>
  <c r="AQ140" i="22"/>
  <c r="AU140" i="22"/>
  <c r="AP141" i="22"/>
  <c r="AT141" i="22"/>
  <c r="AO142" i="22"/>
  <c r="AS142" i="22"/>
  <c r="AN143" i="22"/>
  <c r="AR143" i="22"/>
  <c r="AM144" i="22"/>
  <c r="AQ144" i="22"/>
  <c r="AU144" i="22"/>
  <c r="AP145" i="22"/>
  <c r="AT145" i="22"/>
  <c r="AO146" i="22"/>
  <c r="AS146" i="22"/>
  <c r="AN147" i="22"/>
  <c r="AR147" i="22"/>
  <c r="AM148" i="22"/>
  <c r="AQ148" i="22"/>
  <c r="AU148" i="22"/>
  <c r="AP149" i="22"/>
  <c r="AT149" i="22"/>
  <c r="AO150" i="22"/>
  <c r="AS150" i="22"/>
  <c r="AN151" i="22"/>
  <c r="AR151" i="22"/>
  <c r="AM152" i="22"/>
  <c r="AQ152" i="22"/>
  <c r="AU152" i="22"/>
  <c r="AP153" i="22"/>
  <c r="AT153" i="22"/>
  <c r="AO154" i="22"/>
  <c r="AS154" i="22"/>
  <c r="AN155" i="22"/>
  <c r="AR155" i="22"/>
  <c r="AM156" i="22"/>
  <c r="AQ156" i="22"/>
  <c r="AU156" i="22"/>
  <c r="AP157" i="22"/>
  <c r="AT157" i="22"/>
  <c r="AR114" i="22"/>
  <c r="AQ115" i="22"/>
  <c r="AP116" i="22"/>
  <c r="AO117" i="22"/>
  <c r="AN118" i="22"/>
  <c r="AM119" i="22"/>
  <c r="AU119" i="22"/>
  <c r="AT120" i="22"/>
  <c r="AS121" i="22"/>
  <c r="AR122" i="22"/>
  <c r="AQ123" i="22"/>
  <c r="AP124" i="22"/>
  <c r="AO125" i="22"/>
  <c r="AN126" i="22"/>
  <c r="AT126" i="22"/>
  <c r="AO127" i="22"/>
  <c r="AS127" i="22"/>
  <c r="AN128" i="22"/>
  <c r="AR128" i="22"/>
  <c r="AM129" i="22"/>
  <c r="AQ129" i="22"/>
  <c r="AU129" i="22"/>
  <c r="AP130" i="22"/>
  <c r="AT130" i="22"/>
  <c r="AO131" i="22"/>
  <c r="AS131" i="22"/>
  <c r="AN132" i="22"/>
  <c r="AR132" i="22"/>
  <c r="AM133" i="22"/>
  <c r="AQ133" i="22"/>
  <c r="AU133" i="22"/>
  <c r="AP134" i="22"/>
  <c r="AT134" i="22"/>
  <c r="AO135" i="22"/>
  <c r="AS135" i="22"/>
  <c r="AN136" i="22"/>
  <c r="AR136" i="22"/>
  <c r="AM137" i="22"/>
  <c r="AQ137" i="22"/>
  <c r="AU137" i="22"/>
  <c r="AP138" i="22"/>
  <c r="AT138" i="22"/>
  <c r="AO139" i="22"/>
  <c r="AS139" i="22"/>
  <c r="AN140" i="22"/>
  <c r="AR140" i="22"/>
  <c r="AM141" i="22"/>
  <c r="AQ141" i="22"/>
  <c r="AU141" i="22"/>
  <c r="AP142" i="22"/>
  <c r="AT142" i="22"/>
  <c r="AO143" i="22"/>
  <c r="AS143" i="22"/>
  <c r="AN144" i="22"/>
  <c r="AR144" i="22"/>
  <c r="AM145" i="22"/>
  <c r="AQ145" i="22"/>
  <c r="AU145" i="22"/>
  <c r="AP146" i="22"/>
  <c r="AT146" i="22"/>
  <c r="AO147" i="22"/>
  <c r="AS147" i="22"/>
  <c r="AN148" i="22"/>
  <c r="AR148" i="22"/>
  <c r="AM149" i="22"/>
  <c r="AQ149" i="22"/>
  <c r="AU149" i="22"/>
  <c r="AP150" i="22"/>
  <c r="AT150" i="22"/>
  <c r="AO151" i="22"/>
  <c r="AS151" i="22"/>
  <c r="AN152" i="22"/>
  <c r="AR152" i="22"/>
  <c r="AM153" i="22"/>
  <c r="AQ153" i="22"/>
  <c r="AU153" i="22"/>
  <c r="AP154" i="22"/>
  <c r="AT154" i="22"/>
  <c r="AO155" i="22"/>
  <c r="AS155" i="22"/>
  <c r="AN156" i="22"/>
  <c r="AR156" i="22"/>
  <c r="AM157" i="22"/>
  <c r="AQ157" i="22"/>
  <c r="AU157" i="22"/>
  <c r="AP158" i="22"/>
  <c r="AU114" i="22"/>
  <c r="AT115" i="22"/>
  <c r="AS116" i="22"/>
  <c r="AR117" i="22"/>
  <c r="AQ118" i="22"/>
  <c r="AP119" i="22"/>
  <c r="AO120" i="22"/>
  <c r="AN121" i="22"/>
  <c r="AM122" i="22"/>
  <c r="AU122" i="22"/>
  <c r="AT123" i="22"/>
  <c r="AS124" i="22"/>
  <c r="AR125" i="22"/>
  <c r="AQ126" i="22"/>
  <c r="AU126" i="22"/>
  <c r="AP127" i="22"/>
  <c r="AT127" i="22"/>
  <c r="AO128" i="22"/>
  <c r="AS128" i="22"/>
  <c r="AN129" i="22"/>
  <c r="AR129" i="22"/>
  <c r="AM130" i="22"/>
  <c r="AQ130" i="22"/>
  <c r="AU130" i="22"/>
  <c r="AP131" i="22"/>
  <c r="AT131" i="22"/>
  <c r="AO132" i="22"/>
  <c r="AS132" i="22"/>
  <c r="AN133" i="22"/>
  <c r="AR133" i="22"/>
  <c r="AM134" i="22"/>
  <c r="AQ134" i="22"/>
  <c r="AU134" i="22"/>
  <c r="AP135" i="22"/>
  <c r="AT135" i="22"/>
  <c r="AO136" i="22"/>
  <c r="AS136" i="22"/>
  <c r="AN137" i="22"/>
  <c r="AR137" i="22"/>
  <c r="AM138" i="22"/>
  <c r="AQ138" i="22"/>
  <c r="AU138" i="22"/>
  <c r="AP139" i="22"/>
  <c r="AT139" i="22"/>
  <c r="AO140" i="22"/>
  <c r="AS140" i="22"/>
  <c r="AN141" i="22"/>
  <c r="AR141" i="22"/>
  <c r="AM142" i="22"/>
  <c r="AQ142" i="22"/>
  <c r="AU142" i="22"/>
  <c r="AP143" i="22"/>
  <c r="AT143" i="22"/>
  <c r="AO144" i="22"/>
  <c r="AS144" i="22"/>
  <c r="AN145" i="22"/>
  <c r="AR145" i="22"/>
  <c r="AM146" i="22"/>
  <c r="AQ146" i="22"/>
  <c r="AU146" i="22"/>
  <c r="AP147" i="22"/>
  <c r="AT147" i="22"/>
  <c r="AO148" i="22"/>
  <c r="AS148" i="22"/>
  <c r="AN149" i="22"/>
  <c r="AR149" i="22"/>
  <c r="AM150" i="22"/>
  <c r="AQ150" i="22"/>
  <c r="AU150" i="22"/>
  <c r="AP151" i="22"/>
  <c r="AT151" i="22"/>
  <c r="AO152" i="22"/>
  <c r="AS152" i="22"/>
  <c r="AN153" i="22"/>
  <c r="AR153" i="22"/>
  <c r="AM154" i="22"/>
  <c r="AQ154" i="22"/>
  <c r="AU154" i="22"/>
  <c r="AP155" i="22"/>
  <c r="AT155" i="22"/>
  <c r="AO156" i="22"/>
  <c r="AS156" i="22"/>
  <c r="AN157" i="22"/>
  <c r="AR157" i="22"/>
  <c r="AM158" i="22"/>
  <c r="AQ158" i="22"/>
  <c r="AU158" i="22"/>
  <c r="AP159" i="22"/>
  <c r="AT159" i="22"/>
  <c r="AO160" i="22"/>
  <c r="AS160" i="22"/>
  <c r="AN161" i="22"/>
  <c r="AR161" i="22"/>
  <c r="AM162" i="22"/>
  <c r="AQ162" i="22"/>
  <c r="AU162" i="22"/>
  <c r="AP163" i="22"/>
  <c r="AT163" i="22"/>
  <c r="AO164" i="22"/>
  <c r="AS164" i="22"/>
  <c r="AN165" i="22"/>
  <c r="AR165" i="22"/>
  <c r="AM166" i="22"/>
  <c r="AQ166" i="22"/>
  <c r="AU166" i="22"/>
  <c r="AP167" i="22"/>
  <c r="AT167" i="22"/>
  <c r="AO168" i="22"/>
  <c r="AS168" i="22"/>
  <c r="AN169" i="22"/>
  <c r="AR169" i="22"/>
  <c r="AM170" i="22"/>
  <c r="AQ170" i="22"/>
  <c r="AU170" i="22"/>
  <c r="AP171" i="22"/>
  <c r="AT171" i="22"/>
  <c r="AO172" i="22"/>
  <c r="AS172" i="22"/>
  <c r="AN173" i="22"/>
  <c r="AR173" i="22"/>
  <c r="AM174" i="22"/>
  <c r="AQ174" i="22"/>
  <c r="AU174" i="22"/>
  <c r="AP175" i="22"/>
  <c r="AT175" i="22"/>
  <c r="AO176" i="22"/>
  <c r="AS176" i="22"/>
  <c r="AN177" i="22"/>
  <c r="AR177" i="22"/>
  <c r="AM178" i="22"/>
  <c r="AQ178" i="22"/>
  <c r="AU178" i="22"/>
  <c r="AP179" i="22"/>
  <c r="AT179" i="22"/>
  <c r="AO180" i="22"/>
  <c r="AS180" i="22"/>
  <c r="AN181" i="22"/>
  <c r="AR181" i="22"/>
  <c r="AM182" i="22"/>
  <c r="AQ182" i="22"/>
  <c r="AU182" i="22"/>
  <c r="AP183" i="22"/>
  <c r="AT183" i="22"/>
  <c r="AO184" i="22"/>
  <c r="AS184" i="22"/>
  <c r="AN185" i="22"/>
  <c r="AR185" i="22"/>
  <c r="AM186" i="22"/>
  <c r="AQ186" i="22"/>
  <c r="AU186" i="22"/>
  <c r="AP187" i="22"/>
  <c r="AT187" i="22"/>
  <c r="AO188" i="22"/>
  <c r="AS188" i="22"/>
  <c r="AN189" i="22"/>
  <c r="AR189" i="22"/>
  <c r="AM190" i="22"/>
  <c r="AQ190" i="22"/>
  <c r="AU190" i="22"/>
  <c r="AP191" i="22"/>
  <c r="AT191" i="22"/>
  <c r="AO192" i="22"/>
  <c r="AS192" i="22"/>
  <c r="AN193" i="22"/>
  <c r="AR193" i="22"/>
  <c r="AM194" i="22"/>
  <c r="AQ194" i="22"/>
  <c r="AU194" i="22"/>
  <c r="AP195" i="22"/>
  <c r="AT195" i="22"/>
  <c r="AM115" i="22"/>
  <c r="AU115" i="22"/>
  <c r="AT116" i="22"/>
  <c r="AS117" i="22"/>
  <c r="AR118" i="22"/>
  <c r="AQ119" i="22"/>
  <c r="AP120" i="22"/>
  <c r="AO121" i="22"/>
  <c r="AN122" i="22"/>
  <c r="AM123" i="22"/>
  <c r="AU123" i="22"/>
  <c r="AT124" i="22"/>
  <c r="AS125" i="22"/>
  <c r="AR126" i="22"/>
  <c r="AM127" i="22"/>
  <c r="AQ127" i="22"/>
  <c r="AU127" i="22"/>
  <c r="AP128" i="22"/>
  <c r="AT128" i="22"/>
  <c r="AO129" i="22"/>
  <c r="AS129" i="22"/>
  <c r="AN130" i="22"/>
  <c r="AR130" i="22"/>
  <c r="AM131" i="22"/>
  <c r="AQ131" i="22"/>
  <c r="AU131" i="22"/>
  <c r="AP132" i="22"/>
  <c r="AT132" i="22"/>
  <c r="AO133" i="22"/>
  <c r="AS133" i="22"/>
  <c r="AN134" i="22"/>
  <c r="AR134" i="22"/>
  <c r="AM135" i="22"/>
  <c r="AQ135" i="22"/>
  <c r="AU135" i="22"/>
  <c r="AP136" i="22"/>
  <c r="AT136" i="22"/>
  <c r="AO137" i="22"/>
  <c r="AS137" i="22"/>
  <c r="AN138" i="22"/>
  <c r="AR138" i="22"/>
  <c r="AM139" i="22"/>
  <c r="AQ139" i="22"/>
  <c r="AU139" i="22"/>
  <c r="AP140" i="22"/>
  <c r="AT140" i="22"/>
  <c r="AO141" i="22"/>
  <c r="AS141" i="22"/>
  <c r="AN142" i="22"/>
  <c r="AR142" i="22"/>
  <c r="AM143" i="22"/>
  <c r="AQ143" i="22"/>
  <c r="AU143" i="22"/>
  <c r="AP144" i="22"/>
  <c r="AT144" i="22"/>
  <c r="AO145" i="22"/>
  <c r="AS145" i="22"/>
  <c r="AN146" i="22"/>
  <c r="AR146" i="22"/>
  <c r="AM147" i="22"/>
  <c r="AQ147" i="22"/>
  <c r="AU147" i="22"/>
  <c r="AP148" i="22"/>
  <c r="AT148" i="22"/>
  <c r="AO149" i="22"/>
  <c r="AS149" i="22"/>
  <c r="AN150" i="22"/>
  <c r="AR150" i="22"/>
  <c r="AM151" i="22"/>
  <c r="AQ151" i="22"/>
  <c r="AU151" i="22"/>
  <c r="AP152" i="22"/>
  <c r="AT152" i="22"/>
  <c r="AO153" i="22"/>
  <c r="AS153" i="22"/>
  <c r="AN154" i="22"/>
  <c r="AR154" i="22"/>
  <c r="AM155" i="22"/>
  <c r="AQ155" i="22"/>
  <c r="AU155" i="22"/>
  <c r="AP156" i="22"/>
  <c r="AT156" i="22"/>
  <c r="AO157" i="22"/>
  <c r="AS157" i="22"/>
  <c r="AN158" i="22"/>
  <c r="AR158" i="22"/>
  <c r="AM159" i="22"/>
  <c r="AQ159" i="22"/>
  <c r="AU159" i="22"/>
  <c r="AP160" i="22"/>
  <c r="AT160" i="22"/>
  <c r="AO161" i="22"/>
  <c r="AS161" i="22"/>
  <c r="AN162" i="22"/>
  <c r="AR162" i="22"/>
  <c r="AM163" i="22"/>
  <c r="AQ163" i="22"/>
  <c r="AU163" i="22"/>
  <c r="AP164" i="22"/>
  <c r="AT164" i="22"/>
  <c r="AO165" i="22"/>
  <c r="AS165" i="22"/>
  <c r="AN166" i="22"/>
  <c r="AR166" i="22"/>
  <c r="AM167" i="22"/>
  <c r="AQ167" i="22"/>
  <c r="AU167" i="22"/>
  <c r="AP168" i="22"/>
  <c r="AT168" i="22"/>
  <c r="AO169" i="22"/>
  <c r="AS169" i="22"/>
  <c r="AN170" i="22"/>
  <c r="AR170" i="22"/>
  <c r="AM171" i="22"/>
  <c r="AQ171" i="22"/>
  <c r="AU171" i="22"/>
  <c r="AP172" i="22"/>
  <c r="AT172" i="22"/>
  <c r="AO173" i="22"/>
  <c r="AS173" i="22"/>
  <c r="AN174" i="22"/>
  <c r="AR174" i="22"/>
  <c r="AM175" i="22"/>
  <c r="AQ175" i="22"/>
  <c r="AU175" i="22"/>
  <c r="AP176" i="22"/>
  <c r="AT176" i="22"/>
  <c r="AO177" i="22"/>
  <c r="AS177" i="22"/>
  <c r="AN178" i="22"/>
  <c r="AR178" i="22"/>
  <c r="AM179" i="22"/>
  <c r="AQ179" i="22"/>
  <c r="AU179" i="22"/>
  <c r="AP180" i="22"/>
  <c r="AT180" i="22"/>
  <c r="AO181" i="22"/>
  <c r="AS181" i="22"/>
  <c r="AN182" i="22"/>
  <c r="AR182" i="22"/>
  <c r="AM183" i="22"/>
  <c r="AQ183" i="22"/>
  <c r="AU183" i="22"/>
  <c r="AP184" i="22"/>
  <c r="AT184" i="22"/>
  <c r="AO185" i="22"/>
  <c r="AS185" i="22"/>
  <c r="AN186" i="22"/>
  <c r="AR186" i="22"/>
  <c r="AM187" i="22"/>
  <c r="AQ187" i="22"/>
  <c r="AU187" i="22"/>
  <c r="AP188" i="22"/>
  <c r="AT188" i="22"/>
  <c r="AO189" i="22"/>
  <c r="AS189" i="22"/>
  <c r="AN190" i="22"/>
  <c r="AR190" i="22"/>
  <c r="AM191" i="22"/>
  <c r="AQ191" i="22"/>
  <c r="AU191" i="22"/>
  <c r="AP192" i="22"/>
  <c r="AT192" i="22"/>
  <c r="AO193" i="22"/>
  <c r="AS193" i="22"/>
  <c r="AN194" i="22"/>
  <c r="AR194" i="22"/>
  <c r="AM195" i="22"/>
  <c r="AQ195" i="22"/>
  <c r="AU195" i="22"/>
  <c r="AO158" i="22"/>
  <c r="AO159" i="22"/>
  <c r="AN160" i="22"/>
  <c r="AM161" i="22"/>
  <c r="AU161" i="22"/>
  <c r="AT162" i="22"/>
  <c r="AS163" i="22"/>
  <c r="AR164" i="22"/>
  <c r="AQ165" i="22"/>
  <c r="AP166" i="22"/>
  <c r="AO167" i="22"/>
  <c r="AN168" i="22"/>
  <c r="AM169" i="22"/>
  <c r="AU169" i="22"/>
  <c r="AT170" i="22"/>
  <c r="AS171" i="22"/>
  <c r="AR172" i="22"/>
  <c r="AQ173" i="22"/>
  <c r="AP174" i="22"/>
  <c r="AO175" i="22"/>
  <c r="AN176" i="22"/>
  <c r="AM177" i="22"/>
  <c r="AU177" i="22"/>
  <c r="AT178" i="22"/>
  <c r="AS179" i="22"/>
  <c r="AR180" i="22"/>
  <c r="AQ181" i="22"/>
  <c r="AP182" i="22"/>
  <c r="AO183" i="22"/>
  <c r="AN184" i="22"/>
  <c r="AM185" i="22"/>
  <c r="AU185" i="22"/>
  <c r="AT186" i="22"/>
  <c r="AS187" i="22"/>
  <c r="AR188" i="22"/>
  <c r="AQ189" i="22"/>
  <c r="AP190" i="22"/>
  <c r="AO191" i="22"/>
  <c r="AN192" i="22"/>
  <c r="AM193" i="22"/>
  <c r="AU193" i="22"/>
  <c r="AT194" i="22"/>
  <c r="AS195" i="22"/>
  <c r="AP196" i="22"/>
  <c r="AT196" i="22"/>
  <c r="AO197" i="22"/>
  <c r="AS197" i="22"/>
  <c r="AN198" i="22"/>
  <c r="AR198" i="22"/>
  <c r="AM199" i="22"/>
  <c r="AQ199" i="22"/>
  <c r="AU199" i="22"/>
  <c r="AP200" i="22"/>
  <c r="AT200" i="22"/>
  <c r="AO201" i="22"/>
  <c r="AS201" i="22"/>
  <c r="AN202" i="22"/>
  <c r="AR202" i="22"/>
  <c r="AM203" i="22"/>
  <c r="AQ203" i="22"/>
  <c r="AU203" i="22"/>
  <c r="AP204" i="22"/>
  <c r="AT204" i="22"/>
  <c r="AO205" i="22"/>
  <c r="AS205" i="22"/>
  <c r="AN206" i="22"/>
  <c r="AR206" i="22"/>
  <c r="AM207" i="22"/>
  <c r="AQ207" i="22"/>
  <c r="AU207" i="22"/>
  <c r="AP208" i="22"/>
  <c r="AT208" i="22"/>
  <c r="AO209" i="22"/>
  <c r="AS209" i="22"/>
  <c r="AN210" i="22"/>
  <c r="AR210" i="22"/>
  <c r="AM211" i="22"/>
  <c r="AQ211" i="22"/>
  <c r="AU211" i="22"/>
  <c r="AP212" i="22"/>
  <c r="AT212" i="22"/>
  <c r="AO213" i="22"/>
  <c r="AS213" i="22"/>
  <c r="AN214" i="22"/>
  <c r="AR214" i="22"/>
  <c r="AM215" i="22"/>
  <c r="AQ215" i="22"/>
  <c r="AU215" i="22"/>
  <c r="AP216" i="22"/>
  <c r="AT216" i="22"/>
  <c r="AO217" i="22"/>
  <c r="AS217" i="22"/>
  <c r="AN218" i="22"/>
  <c r="AR218" i="22"/>
  <c r="AM219" i="22"/>
  <c r="AQ219" i="22"/>
  <c r="AU219" i="22"/>
  <c r="AP220" i="22"/>
  <c r="AT220" i="22"/>
  <c r="AO221" i="22"/>
  <c r="AS221" i="22"/>
  <c r="AN222" i="22"/>
  <c r="AR222" i="22"/>
  <c r="AM223" i="22"/>
  <c r="AQ223" i="22"/>
  <c r="AU223" i="22"/>
  <c r="AP224" i="22"/>
  <c r="AS158" i="22"/>
  <c r="AR159" i="22"/>
  <c r="AQ160" i="22"/>
  <c r="AP161" i="22"/>
  <c r="AO162" i="22"/>
  <c r="AN163" i="22"/>
  <c r="AM164" i="22"/>
  <c r="AU164" i="22"/>
  <c r="AT165" i="22"/>
  <c r="AS166" i="22"/>
  <c r="AR167" i="22"/>
  <c r="AQ168" i="22"/>
  <c r="AP169" i="22"/>
  <c r="AO170" i="22"/>
  <c r="AN171" i="22"/>
  <c r="AM172" i="22"/>
  <c r="AU172" i="22"/>
  <c r="AT173" i="22"/>
  <c r="AS174" i="22"/>
  <c r="AR175" i="22"/>
  <c r="AQ176" i="22"/>
  <c r="AP177" i="22"/>
  <c r="AO178" i="22"/>
  <c r="AN179" i="22"/>
  <c r="AM180" i="22"/>
  <c r="AU180" i="22"/>
  <c r="AT181" i="22"/>
  <c r="AS182" i="22"/>
  <c r="AR183" i="22"/>
  <c r="AQ184" i="22"/>
  <c r="AP185" i="22"/>
  <c r="AO186" i="22"/>
  <c r="AN187" i="22"/>
  <c r="AM188" i="22"/>
  <c r="AU188" i="22"/>
  <c r="AT189" i="22"/>
  <c r="AS190" i="22"/>
  <c r="AR191" i="22"/>
  <c r="AQ192" i="22"/>
  <c r="AP193" i="22"/>
  <c r="AO194" i="22"/>
  <c r="AN195" i="22"/>
  <c r="AM196" i="22"/>
  <c r="AQ196" i="22"/>
  <c r="AU196" i="22"/>
  <c r="AP197" i="22"/>
  <c r="AT197" i="22"/>
  <c r="AO198" i="22"/>
  <c r="AS198" i="22"/>
  <c r="AN199" i="22"/>
  <c r="AR199" i="22"/>
  <c r="AM200" i="22"/>
  <c r="AQ200" i="22"/>
  <c r="AU200" i="22"/>
  <c r="AP201" i="22"/>
  <c r="AT201" i="22"/>
  <c r="AO202" i="22"/>
  <c r="AS202" i="22"/>
  <c r="AN203" i="22"/>
  <c r="AR203" i="22"/>
  <c r="AM204" i="22"/>
  <c r="AQ204" i="22"/>
  <c r="AU204" i="22"/>
  <c r="AP205" i="22"/>
  <c r="AT205" i="22"/>
  <c r="AO206" i="22"/>
  <c r="AS206" i="22"/>
  <c r="AN207" i="22"/>
  <c r="AR207" i="22"/>
  <c r="AM208" i="22"/>
  <c r="AQ208" i="22"/>
  <c r="AU208" i="22"/>
  <c r="AP209" i="22"/>
  <c r="AT209" i="22"/>
  <c r="AO210" i="22"/>
  <c r="AS210" i="22"/>
  <c r="AN211" i="22"/>
  <c r="AR211" i="22"/>
  <c r="AM212" i="22"/>
  <c r="AQ212" i="22"/>
  <c r="AU212" i="22"/>
  <c r="AP213" i="22"/>
  <c r="AT213" i="22"/>
  <c r="AO214" i="22"/>
  <c r="AS214" i="22"/>
  <c r="AN215" i="22"/>
  <c r="AR215" i="22"/>
  <c r="AM216" i="22"/>
  <c r="AQ216" i="22"/>
  <c r="AU216" i="22"/>
  <c r="AP217" i="22"/>
  <c r="AT217" i="22"/>
  <c r="AO218" i="22"/>
  <c r="AS218" i="22"/>
  <c r="AN219" i="22"/>
  <c r="AR219" i="22"/>
  <c r="AM220" i="22"/>
  <c r="AQ220" i="22"/>
  <c r="AU220" i="22"/>
  <c r="AP221" i="22"/>
  <c r="AT221" i="22"/>
  <c r="AO222" i="22"/>
  <c r="AS222" i="22"/>
  <c r="AN223" i="22"/>
  <c r="AR223" i="22"/>
  <c r="AM224" i="22"/>
  <c r="AQ224" i="22"/>
  <c r="AT158" i="22"/>
  <c r="AS159" i="22"/>
  <c r="AR160" i="22"/>
  <c r="AQ161" i="22"/>
  <c r="AP162" i="22"/>
  <c r="AO163" i="22"/>
  <c r="AN164" i="22"/>
  <c r="AM165" i="22"/>
  <c r="AU165" i="22"/>
  <c r="AT166" i="22"/>
  <c r="AS167" i="22"/>
  <c r="AR168" i="22"/>
  <c r="AQ169" i="22"/>
  <c r="AP170" i="22"/>
  <c r="AO171" i="22"/>
  <c r="AN172" i="22"/>
  <c r="AM173" i="22"/>
  <c r="AU173" i="22"/>
  <c r="AT174" i="22"/>
  <c r="AS175" i="22"/>
  <c r="AR176" i="22"/>
  <c r="AQ177" i="22"/>
  <c r="AP178" i="22"/>
  <c r="AO179" i="22"/>
  <c r="AN180" i="22"/>
  <c r="AM181" i="22"/>
  <c r="AU181" i="22"/>
  <c r="AT182" i="22"/>
  <c r="AS183" i="22"/>
  <c r="AR184" i="22"/>
  <c r="AQ185" i="22"/>
  <c r="AP186" i="22"/>
  <c r="AO187" i="22"/>
  <c r="AN188" i="22"/>
  <c r="AM189" i="22"/>
  <c r="AU189" i="22"/>
  <c r="AT190" i="22"/>
  <c r="AS191" i="22"/>
  <c r="AR192" i="22"/>
  <c r="AQ193" i="22"/>
  <c r="AP194" i="22"/>
  <c r="AO195" i="22"/>
  <c r="AN196" i="22"/>
  <c r="AR196" i="22"/>
  <c r="AM197" i="22"/>
  <c r="AQ197" i="22"/>
  <c r="AU197" i="22"/>
  <c r="AP198" i="22"/>
  <c r="AT198" i="22"/>
  <c r="AO199" i="22"/>
  <c r="AS199" i="22"/>
  <c r="AN200" i="22"/>
  <c r="AR200" i="22"/>
  <c r="AM201" i="22"/>
  <c r="AQ201" i="22"/>
  <c r="AU201" i="22"/>
  <c r="AP202" i="22"/>
  <c r="AT202" i="22"/>
  <c r="AO203" i="22"/>
  <c r="AS203" i="22"/>
  <c r="AN204" i="22"/>
  <c r="AR204" i="22"/>
  <c r="AM205" i="22"/>
  <c r="AQ205" i="22"/>
  <c r="AU205" i="22"/>
  <c r="AP206" i="22"/>
  <c r="AT206" i="22"/>
  <c r="AO207" i="22"/>
  <c r="AS207" i="22"/>
  <c r="AN208" i="22"/>
  <c r="AR208" i="22"/>
  <c r="AM209" i="22"/>
  <c r="AQ209" i="22"/>
  <c r="AU209" i="22"/>
  <c r="AP210" i="22"/>
  <c r="AT210" i="22"/>
  <c r="AO211" i="22"/>
  <c r="AS211" i="22"/>
  <c r="AN212" i="22"/>
  <c r="AR212" i="22"/>
  <c r="AM213" i="22"/>
  <c r="AQ213" i="22"/>
  <c r="AU213" i="22"/>
  <c r="AP214" i="22"/>
  <c r="AT214" i="22"/>
  <c r="AO215" i="22"/>
  <c r="AS215" i="22"/>
  <c r="AN216" i="22"/>
  <c r="AR216" i="22"/>
  <c r="AM217" i="22"/>
  <c r="AQ217" i="22"/>
  <c r="AU217" i="22"/>
  <c r="AP218" i="22"/>
  <c r="AT218" i="22"/>
  <c r="AO219" i="22"/>
  <c r="AS219" i="22"/>
  <c r="AN220" i="22"/>
  <c r="AR220" i="22"/>
  <c r="AM221" i="22"/>
  <c r="AQ221" i="22"/>
  <c r="AU221" i="22"/>
  <c r="AP222" i="22"/>
  <c r="AT222" i="22"/>
  <c r="AO223" i="22"/>
  <c r="AS223" i="22"/>
  <c r="AN224" i="22"/>
  <c r="AR224" i="22"/>
  <c r="AM225" i="22"/>
  <c r="AQ225" i="22"/>
  <c r="AU225" i="22"/>
  <c r="AP226" i="22"/>
  <c r="AT226" i="22"/>
  <c r="AO227" i="22"/>
  <c r="AS227" i="22"/>
  <c r="AN228" i="22"/>
  <c r="AR228" i="22"/>
  <c r="AM229" i="22"/>
  <c r="AQ229" i="22"/>
  <c r="AU229" i="22"/>
  <c r="AP230" i="22"/>
  <c r="AT230" i="22"/>
  <c r="AO231" i="22"/>
  <c r="AS231" i="22"/>
  <c r="AN232" i="22"/>
  <c r="AR232" i="22"/>
  <c r="AM233" i="22"/>
  <c r="AQ233" i="22"/>
  <c r="AU233" i="22"/>
  <c r="AP234" i="22"/>
  <c r="AT234" i="22"/>
  <c r="AO235" i="22"/>
  <c r="AS235" i="22"/>
  <c r="AN236" i="22"/>
  <c r="AR236" i="22"/>
  <c r="AM237" i="22"/>
  <c r="AQ237" i="22"/>
  <c r="AU237" i="22"/>
  <c r="AP238" i="22"/>
  <c r="AT238" i="22"/>
  <c r="AO239" i="22"/>
  <c r="AS239" i="22"/>
  <c r="AN240" i="22"/>
  <c r="AR240" i="22"/>
  <c r="AM241" i="22"/>
  <c r="AQ241" i="22"/>
  <c r="AU241" i="22"/>
  <c r="AP242" i="22"/>
  <c r="AT242" i="22"/>
  <c r="AO243" i="22"/>
  <c r="AS243" i="22"/>
  <c r="AN244" i="22"/>
  <c r="AR244" i="22"/>
  <c r="AM245" i="22"/>
  <c r="AQ245" i="22"/>
  <c r="AU245" i="22"/>
  <c r="AP246" i="22"/>
  <c r="AT246" i="22"/>
  <c r="AO247" i="22"/>
  <c r="AS247" i="22"/>
  <c r="AN248" i="22"/>
  <c r="AR248" i="22"/>
  <c r="AM249" i="22"/>
  <c r="AQ249" i="22"/>
  <c r="AU249" i="22"/>
  <c r="AP250" i="22"/>
  <c r="AT250" i="22"/>
  <c r="AO251" i="22"/>
  <c r="AS251" i="22"/>
  <c r="AN252" i="22"/>
  <c r="AR252" i="22"/>
  <c r="AN159" i="22"/>
  <c r="AM160" i="22"/>
  <c r="AU160" i="22"/>
  <c r="AT161" i="22"/>
  <c r="AS162" i="22"/>
  <c r="AR163" i="22"/>
  <c r="AQ164" i="22"/>
  <c r="AP165" i="22"/>
  <c r="AO166" i="22"/>
  <c r="AN167" i="22"/>
  <c r="AM168" i="22"/>
  <c r="AU168" i="22"/>
  <c r="AT169" i="22"/>
  <c r="AS170" i="22"/>
  <c r="AR171" i="22"/>
  <c r="AQ172" i="22"/>
  <c r="AP173" i="22"/>
  <c r="AO174" i="22"/>
  <c r="AN175" i="22"/>
  <c r="AM176" i="22"/>
  <c r="AU176" i="22"/>
  <c r="AT177" i="22"/>
  <c r="AS178" i="22"/>
  <c r="AR179" i="22"/>
  <c r="AQ180" i="22"/>
  <c r="AP181" i="22"/>
  <c r="AO182" i="22"/>
  <c r="AN183" i="22"/>
  <c r="AM184" i="22"/>
  <c r="AU184" i="22"/>
  <c r="AT185" i="22"/>
  <c r="AS186" i="22"/>
  <c r="AR187" i="22"/>
  <c r="AQ188" i="22"/>
  <c r="AP189" i="22"/>
  <c r="AO190" i="22"/>
  <c r="AN191" i="22"/>
  <c r="AM192" i="22"/>
  <c r="AU192" i="22"/>
  <c r="AT193" i="22"/>
  <c r="AS194" i="22"/>
  <c r="AR195" i="22"/>
  <c r="AO196" i="22"/>
  <c r="AS196" i="22"/>
  <c r="AN197" i="22"/>
  <c r="AR197" i="22"/>
  <c r="AM198" i="22"/>
  <c r="AQ198" i="22"/>
  <c r="AU198" i="22"/>
  <c r="AP199" i="22"/>
  <c r="AT199" i="22"/>
  <c r="AO200" i="22"/>
  <c r="AS200" i="22"/>
  <c r="AN201" i="22"/>
  <c r="AR201" i="22"/>
  <c r="AM202" i="22"/>
  <c r="AQ202" i="22"/>
  <c r="AU202" i="22"/>
  <c r="AP203" i="22"/>
  <c r="AT203" i="22"/>
  <c r="AO204" i="22"/>
  <c r="AS204" i="22"/>
  <c r="AN205" i="22"/>
  <c r="AR205" i="22"/>
  <c r="AM206" i="22"/>
  <c r="AQ206" i="22"/>
  <c r="AU206" i="22"/>
  <c r="AP207" i="22"/>
  <c r="AT207" i="22"/>
  <c r="AO208" i="22"/>
  <c r="AS208" i="22"/>
  <c r="AN209" i="22"/>
  <c r="AR209" i="22"/>
  <c r="AM210" i="22"/>
  <c r="AQ210" i="22"/>
  <c r="AU210" i="22"/>
  <c r="AP211" i="22"/>
  <c r="AT211" i="22"/>
  <c r="AO212" i="22"/>
  <c r="AS212" i="22"/>
  <c r="AN213" i="22"/>
  <c r="AR213" i="22"/>
  <c r="AM214" i="22"/>
  <c r="AQ214" i="22"/>
  <c r="AU214" i="22"/>
  <c r="AP215" i="22"/>
  <c r="AT215" i="22"/>
  <c r="AO216" i="22"/>
  <c r="AS216" i="22"/>
  <c r="AN217" i="22"/>
  <c r="AR217" i="22"/>
  <c r="AM218" i="22"/>
  <c r="AQ218" i="22"/>
  <c r="AU218" i="22"/>
  <c r="AP219" i="22"/>
  <c r="AT219" i="22"/>
  <c r="AO220" i="22"/>
  <c r="AS220" i="22"/>
  <c r="AN221" i="22"/>
  <c r="AR221" i="22"/>
  <c r="AM222" i="22"/>
  <c r="AQ222" i="22"/>
  <c r="AU222" i="22"/>
  <c r="AP223" i="22"/>
  <c r="AT223" i="22"/>
  <c r="AO224" i="22"/>
  <c r="AS224" i="22"/>
  <c r="AN225" i="22"/>
  <c r="AR225" i="22"/>
  <c r="AM226" i="22"/>
  <c r="AQ226" i="22"/>
  <c r="AU226" i="22"/>
  <c r="AP227" i="22"/>
  <c r="AT227" i="22"/>
  <c r="AO228" i="22"/>
  <c r="AS228" i="22"/>
  <c r="AN229" i="22"/>
  <c r="AR229" i="22"/>
  <c r="AM230" i="22"/>
  <c r="AQ230" i="22"/>
  <c r="AU230" i="22"/>
  <c r="AP231" i="22"/>
  <c r="AT231" i="22"/>
  <c r="AO232" i="22"/>
  <c r="AS232" i="22"/>
  <c r="AN233" i="22"/>
  <c r="AR233" i="22"/>
  <c r="AM234" i="22"/>
  <c r="AQ234" i="22"/>
  <c r="AU234" i="22"/>
  <c r="AP235" i="22"/>
  <c r="AT235" i="22"/>
  <c r="AO236" i="22"/>
  <c r="AS236" i="22"/>
  <c r="AN237" i="22"/>
  <c r="AR237" i="22"/>
  <c r="AM238" i="22"/>
  <c r="AQ238" i="22"/>
  <c r="AU238" i="22"/>
  <c r="AP239" i="22"/>
  <c r="AT239" i="22"/>
  <c r="AO240" i="22"/>
  <c r="AS240" i="22"/>
  <c r="AN241" i="22"/>
  <c r="AR241" i="22"/>
  <c r="AM242" i="22"/>
  <c r="AQ242" i="22"/>
  <c r="AU242" i="22"/>
  <c r="AP243" i="22"/>
  <c r="AT243" i="22"/>
  <c r="AO244" i="22"/>
  <c r="AS244" i="22"/>
  <c r="AN245" i="22"/>
  <c r="AR245" i="22"/>
  <c r="AM246" i="22"/>
  <c r="AQ246" i="22"/>
  <c r="AU246" i="22"/>
  <c r="AP247" i="22"/>
  <c r="AT247" i="22"/>
  <c r="AO248" i="22"/>
  <c r="AS248" i="22"/>
  <c r="AN249" i="22"/>
  <c r="AR249" i="22"/>
  <c r="AM250" i="22"/>
  <c r="AQ250" i="22"/>
  <c r="AU250" i="22"/>
  <c r="AP251" i="22"/>
  <c r="AT251" i="22"/>
  <c r="AO252" i="22"/>
  <c r="AS252" i="22"/>
  <c r="AT224" i="22"/>
  <c r="AS225" i="22"/>
  <c r="AR226" i="22"/>
  <c r="AQ227" i="22"/>
  <c r="AP228" i="22"/>
  <c r="AO229" i="22"/>
  <c r="AN230" i="22"/>
  <c r="AM231" i="22"/>
  <c r="AU231" i="22"/>
  <c r="AT232" i="22"/>
  <c r="AS233" i="22"/>
  <c r="AR234" i="22"/>
  <c r="AQ235" i="22"/>
  <c r="AP236" i="22"/>
  <c r="AO237" i="22"/>
  <c r="AN238" i="22"/>
  <c r="AM239" i="22"/>
  <c r="AU239" i="22"/>
  <c r="AT240" i="22"/>
  <c r="AS241" i="22"/>
  <c r="AR242" i="22"/>
  <c r="AQ243" i="22"/>
  <c r="AP244" i="22"/>
  <c r="AO245" i="22"/>
  <c r="AN246" i="22"/>
  <c r="AM247" i="22"/>
  <c r="AU247" i="22"/>
  <c r="AT248" i="22"/>
  <c r="AS249" i="22"/>
  <c r="AR250" i="22"/>
  <c r="AQ251" i="22"/>
  <c r="AP252" i="22"/>
  <c r="AM253" i="22"/>
  <c r="AQ253" i="22"/>
  <c r="AU253" i="22"/>
  <c r="AP254" i="22"/>
  <c r="AT254" i="22"/>
  <c r="AO255" i="22"/>
  <c r="AS255" i="22"/>
  <c r="AN256" i="22"/>
  <c r="AR256" i="22"/>
  <c r="AM257" i="22"/>
  <c r="AQ257" i="22"/>
  <c r="AU257" i="22"/>
  <c r="AP258" i="22"/>
  <c r="AT258" i="22"/>
  <c r="AO259" i="22"/>
  <c r="AS259" i="22"/>
  <c r="AN260" i="22"/>
  <c r="AR260" i="22"/>
  <c r="AM261" i="22"/>
  <c r="AQ261" i="22"/>
  <c r="AU261" i="22"/>
  <c r="AP262" i="22"/>
  <c r="AT262" i="22"/>
  <c r="AO263" i="22"/>
  <c r="AS263" i="22"/>
  <c r="AN264" i="22"/>
  <c r="AR264" i="22"/>
  <c r="AM265" i="22"/>
  <c r="AQ265" i="22"/>
  <c r="AU265" i="22"/>
  <c r="AP266" i="22"/>
  <c r="AT266" i="22"/>
  <c r="AO267" i="22"/>
  <c r="AS267" i="22"/>
  <c r="AN268" i="22"/>
  <c r="AR268" i="22"/>
  <c r="AM269" i="22"/>
  <c r="AQ269" i="22"/>
  <c r="AU269" i="22"/>
  <c r="AP270" i="22"/>
  <c r="AT270" i="22"/>
  <c r="AO271" i="22"/>
  <c r="AS271" i="22"/>
  <c r="AN272" i="22"/>
  <c r="AR272" i="22"/>
  <c r="AM273" i="22"/>
  <c r="AQ273" i="22"/>
  <c r="AU273" i="22"/>
  <c r="AP274" i="22"/>
  <c r="AT274" i="22"/>
  <c r="AO275" i="22"/>
  <c r="AS275" i="22"/>
  <c r="AN276" i="22"/>
  <c r="AR276" i="22"/>
  <c r="AM277" i="22"/>
  <c r="AQ277" i="22"/>
  <c r="AU277" i="22"/>
  <c r="AP278" i="22"/>
  <c r="AT278" i="22"/>
  <c r="AO279" i="22"/>
  <c r="AS279" i="22"/>
  <c r="AN280" i="22"/>
  <c r="AR280" i="22"/>
  <c r="AM281" i="22"/>
  <c r="AQ281" i="22"/>
  <c r="AU281" i="22"/>
  <c r="AP282" i="22"/>
  <c r="AT282" i="22"/>
  <c r="AO283" i="22"/>
  <c r="AS283" i="22"/>
  <c r="AN284" i="22"/>
  <c r="AR284" i="22"/>
  <c r="AM285" i="22"/>
  <c r="AQ285" i="22"/>
  <c r="AU285" i="22"/>
  <c r="AP286" i="22"/>
  <c r="AT286" i="22"/>
  <c r="AO287" i="22"/>
  <c r="AS287" i="22"/>
  <c r="AN288" i="22"/>
  <c r="AR288" i="22"/>
  <c r="AM289" i="22"/>
  <c r="AQ289" i="22"/>
  <c r="AU289" i="22"/>
  <c r="AP290" i="22"/>
  <c r="AT290" i="22"/>
  <c r="AO291" i="22"/>
  <c r="AS291" i="22"/>
  <c r="AN292" i="22"/>
  <c r="AR292" i="22"/>
  <c r="AM293" i="22"/>
  <c r="AQ293" i="22"/>
  <c r="AU293" i="22"/>
  <c r="AP294" i="22"/>
  <c r="AT294" i="22"/>
  <c r="AO295" i="22"/>
  <c r="AS295" i="22"/>
  <c r="AN296" i="22"/>
  <c r="AR296" i="22"/>
  <c r="AM297" i="22"/>
  <c r="AQ297" i="22"/>
  <c r="AU297" i="22"/>
  <c r="AP298" i="22"/>
  <c r="AT298" i="22"/>
  <c r="AO299" i="22"/>
  <c r="AS299" i="22"/>
  <c r="AN300" i="22"/>
  <c r="AR300" i="22"/>
  <c r="AM301" i="22"/>
  <c r="AQ301" i="22"/>
  <c r="AU301" i="22"/>
  <c r="AP302" i="22"/>
  <c r="AT302" i="22"/>
  <c r="AO303" i="22"/>
  <c r="AS303" i="22"/>
  <c r="AN304" i="22"/>
  <c r="AR304" i="22"/>
  <c r="AM305" i="22"/>
  <c r="AQ305" i="22"/>
  <c r="AU305" i="22"/>
  <c r="AP306" i="22"/>
  <c r="AT306" i="22"/>
  <c r="AO307" i="22"/>
  <c r="AS307" i="22"/>
  <c r="AN308" i="22"/>
  <c r="AR308" i="22"/>
  <c r="AM309" i="22"/>
  <c r="AQ309" i="22"/>
  <c r="AU309" i="22"/>
  <c r="AP310" i="22"/>
  <c r="AT310" i="22"/>
  <c r="AO311" i="22"/>
  <c r="AS311" i="22"/>
  <c r="AN312" i="22"/>
  <c r="AR312" i="22"/>
  <c r="AM313" i="22"/>
  <c r="AQ313" i="22"/>
  <c r="AU313" i="22"/>
  <c r="AU224" i="22"/>
  <c r="AT225" i="22"/>
  <c r="AS226" i="22"/>
  <c r="AR227" i="22"/>
  <c r="AQ228" i="22"/>
  <c r="AP229" i="22"/>
  <c r="AO230" i="22"/>
  <c r="AN231" i="22"/>
  <c r="AM232" i="22"/>
  <c r="AU232" i="22"/>
  <c r="AT233" i="22"/>
  <c r="AS234" i="22"/>
  <c r="AR235" i="22"/>
  <c r="AQ236" i="22"/>
  <c r="AP237" i="22"/>
  <c r="AO238" i="22"/>
  <c r="AN239" i="22"/>
  <c r="AM240" i="22"/>
  <c r="AU240" i="22"/>
  <c r="AT241" i="22"/>
  <c r="AS242" i="22"/>
  <c r="AR243" i="22"/>
  <c r="AQ244" i="22"/>
  <c r="AP245" i="22"/>
  <c r="AO246" i="22"/>
  <c r="AN247" i="22"/>
  <c r="AM248" i="22"/>
  <c r="AU248" i="22"/>
  <c r="AT249" i="22"/>
  <c r="AS250" i="22"/>
  <c r="AR251" i="22"/>
  <c r="AQ252" i="22"/>
  <c r="AN253" i="22"/>
  <c r="AR253" i="22"/>
  <c r="AM254" i="22"/>
  <c r="AQ254" i="22"/>
  <c r="AU254" i="22"/>
  <c r="AP255" i="22"/>
  <c r="AT255" i="22"/>
  <c r="AO256" i="22"/>
  <c r="AS256" i="22"/>
  <c r="AN257" i="22"/>
  <c r="AR257" i="22"/>
  <c r="AM258" i="22"/>
  <c r="AQ258" i="22"/>
  <c r="AU258" i="22"/>
  <c r="AP259" i="22"/>
  <c r="AT259" i="22"/>
  <c r="AO260" i="22"/>
  <c r="AS260" i="22"/>
  <c r="AN261" i="22"/>
  <c r="AR261" i="22"/>
  <c r="AM262" i="22"/>
  <c r="AQ262" i="22"/>
  <c r="AU262" i="22"/>
  <c r="AP263" i="22"/>
  <c r="AT263" i="22"/>
  <c r="AO264" i="22"/>
  <c r="AS264" i="22"/>
  <c r="AN265" i="22"/>
  <c r="AR265" i="22"/>
  <c r="AM266" i="22"/>
  <c r="AQ266" i="22"/>
  <c r="AU266" i="22"/>
  <c r="AP267" i="22"/>
  <c r="AT267" i="22"/>
  <c r="AO268" i="22"/>
  <c r="AS268" i="22"/>
  <c r="AN269" i="22"/>
  <c r="AR269" i="22"/>
  <c r="AM270" i="22"/>
  <c r="AQ270" i="22"/>
  <c r="AU270" i="22"/>
  <c r="AP271" i="22"/>
  <c r="AT271" i="22"/>
  <c r="AO272" i="22"/>
  <c r="AS272" i="22"/>
  <c r="AN273" i="22"/>
  <c r="AR273" i="22"/>
  <c r="AM274" i="22"/>
  <c r="AQ274" i="22"/>
  <c r="AU274" i="22"/>
  <c r="AP275" i="22"/>
  <c r="AT275" i="22"/>
  <c r="AO276" i="22"/>
  <c r="AS276" i="22"/>
  <c r="AN277" i="22"/>
  <c r="AR277" i="22"/>
  <c r="AM278" i="22"/>
  <c r="AQ278" i="22"/>
  <c r="AU278" i="22"/>
  <c r="AP279" i="22"/>
  <c r="AT279" i="22"/>
  <c r="AO280" i="22"/>
  <c r="AS280" i="22"/>
  <c r="AN281" i="22"/>
  <c r="AR281" i="22"/>
  <c r="AM282" i="22"/>
  <c r="AQ282" i="22"/>
  <c r="AU282" i="22"/>
  <c r="AP283" i="22"/>
  <c r="AT283" i="22"/>
  <c r="AO284" i="22"/>
  <c r="AS284" i="22"/>
  <c r="AN285" i="22"/>
  <c r="AR285" i="22"/>
  <c r="AM286" i="22"/>
  <c r="AQ286" i="22"/>
  <c r="AU286" i="22"/>
  <c r="AP287" i="22"/>
  <c r="AT287" i="22"/>
  <c r="AO288" i="22"/>
  <c r="AS288" i="22"/>
  <c r="AN289" i="22"/>
  <c r="AR289" i="22"/>
  <c r="AM290" i="22"/>
  <c r="AQ290" i="22"/>
  <c r="AU290" i="22"/>
  <c r="AP291" i="22"/>
  <c r="AT291" i="22"/>
  <c r="AO292" i="22"/>
  <c r="AS292" i="22"/>
  <c r="AN293" i="22"/>
  <c r="AR293" i="22"/>
  <c r="AM294" i="22"/>
  <c r="AQ294" i="22"/>
  <c r="AU294" i="22"/>
  <c r="AP295" i="22"/>
  <c r="AT295" i="22"/>
  <c r="AO296" i="22"/>
  <c r="AS296" i="22"/>
  <c r="AN297" i="22"/>
  <c r="AR297" i="22"/>
  <c r="AM298" i="22"/>
  <c r="AQ298" i="22"/>
  <c r="AU298" i="22"/>
  <c r="AP299" i="22"/>
  <c r="AT299" i="22"/>
  <c r="AO300" i="22"/>
  <c r="AS300" i="22"/>
  <c r="AN301" i="22"/>
  <c r="AR301" i="22"/>
  <c r="AM302" i="22"/>
  <c r="AQ302" i="22"/>
  <c r="AU302" i="22"/>
  <c r="AP303" i="22"/>
  <c r="AT303" i="22"/>
  <c r="AO304" i="22"/>
  <c r="AS304" i="22"/>
  <c r="AN305" i="22"/>
  <c r="AR305" i="22"/>
  <c r="AM306" i="22"/>
  <c r="AQ306" i="22"/>
  <c r="AU306" i="22"/>
  <c r="AP307" i="22"/>
  <c r="AT307" i="22"/>
  <c r="AO308" i="22"/>
  <c r="AS308" i="22"/>
  <c r="AN309" i="22"/>
  <c r="AR309" i="22"/>
  <c r="AM310" i="22"/>
  <c r="AQ310" i="22"/>
  <c r="AU310" i="22"/>
  <c r="AP311" i="22"/>
  <c r="AT311" i="22"/>
  <c r="AO312" i="22"/>
  <c r="AS312" i="22"/>
  <c r="AN313" i="22"/>
  <c r="AR313" i="22"/>
  <c r="AM314" i="22"/>
  <c r="AO225" i="22"/>
  <c r="AN226" i="22"/>
  <c r="AM227" i="22"/>
  <c r="AU227" i="22"/>
  <c r="AT228" i="22"/>
  <c r="AS229" i="22"/>
  <c r="AR230" i="22"/>
  <c r="AQ231" i="22"/>
  <c r="AP232" i="22"/>
  <c r="AO233" i="22"/>
  <c r="AN234" i="22"/>
  <c r="AM235" i="22"/>
  <c r="AU235" i="22"/>
  <c r="AT236" i="22"/>
  <c r="AS237" i="22"/>
  <c r="AR238" i="22"/>
  <c r="AQ239" i="22"/>
  <c r="AP240" i="22"/>
  <c r="AO241" i="22"/>
  <c r="AN242" i="22"/>
  <c r="AM243" i="22"/>
  <c r="AU243" i="22"/>
  <c r="AT244" i="22"/>
  <c r="AS245" i="22"/>
  <c r="AR246" i="22"/>
  <c r="AQ247" i="22"/>
  <c r="AP248" i="22"/>
  <c r="AO249" i="22"/>
  <c r="AN250" i="22"/>
  <c r="AM251" i="22"/>
  <c r="AU251" i="22"/>
  <c r="AT252" i="22"/>
  <c r="AO253" i="22"/>
  <c r="AS253" i="22"/>
  <c r="AN254" i="22"/>
  <c r="AR254" i="22"/>
  <c r="AM255" i="22"/>
  <c r="AQ255" i="22"/>
  <c r="AU255" i="22"/>
  <c r="AP256" i="22"/>
  <c r="AT256" i="22"/>
  <c r="AO257" i="22"/>
  <c r="AS257" i="22"/>
  <c r="AN258" i="22"/>
  <c r="AR258" i="22"/>
  <c r="AM259" i="22"/>
  <c r="AQ259" i="22"/>
  <c r="AU259" i="22"/>
  <c r="AP260" i="22"/>
  <c r="AT260" i="22"/>
  <c r="AO261" i="22"/>
  <c r="AS261" i="22"/>
  <c r="AN262" i="22"/>
  <c r="AR262" i="22"/>
  <c r="AM263" i="22"/>
  <c r="AQ263" i="22"/>
  <c r="AU263" i="22"/>
  <c r="AP264" i="22"/>
  <c r="AT264" i="22"/>
  <c r="AO265" i="22"/>
  <c r="AS265" i="22"/>
  <c r="AN266" i="22"/>
  <c r="AR266" i="22"/>
  <c r="AM267" i="22"/>
  <c r="AQ267" i="22"/>
  <c r="AU267" i="22"/>
  <c r="AP268" i="22"/>
  <c r="AT268" i="22"/>
  <c r="AO269" i="22"/>
  <c r="AP225" i="22"/>
  <c r="AO226" i="22"/>
  <c r="AN227" i="22"/>
  <c r="AM228" i="22"/>
  <c r="AU228" i="22"/>
  <c r="AT229" i="22"/>
  <c r="AS230" i="22"/>
  <c r="AR231" i="22"/>
  <c r="AQ232" i="22"/>
  <c r="AP233" i="22"/>
  <c r="AO234" i="22"/>
  <c r="AN235" i="22"/>
  <c r="AM236" i="22"/>
  <c r="AU236" i="22"/>
  <c r="AT237" i="22"/>
  <c r="AS238" i="22"/>
  <c r="AR239" i="22"/>
  <c r="AQ240" i="22"/>
  <c r="AP241" i="22"/>
  <c r="AO242" i="22"/>
  <c r="AN243" i="22"/>
  <c r="AM244" i="22"/>
  <c r="AU244" i="22"/>
  <c r="AT245" i="22"/>
  <c r="AS246" i="22"/>
  <c r="AR247" i="22"/>
  <c r="AQ248" i="22"/>
  <c r="AP249" i="22"/>
  <c r="AO250" i="22"/>
  <c r="AN251" i="22"/>
  <c r="AM252" i="22"/>
  <c r="AU252" i="22"/>
  <c r="AP253" i="22"/>
  <c r="AT253" i="22"/>
  <c r="AO254" i="22"/>
  <c r="AS254" i="22"/>
  <c r="AN255" i="22"/>
  <c r="AR255" i="22"/>
  <c r="AM256" i="22"/>
  <c r="AQ256" i="22"/>
  <c r="AU256" i="22"/>
  <c r="AP257" i="22"/>
  <c r="AT257" i="22"/>
  <c r="AO258" i="22"/>
  <c r="AS258" i="22"/>
  <c r="AN259" i="22"/>
  <c r="AR259" i="22"/>
  <c r="AM260" i="22"/>
  <c r="AQ260" i="22"/>
  <c r="AU260" i="22"/>
  <c r="AP261" i="22"/>
  <c r="AT261" i="22"/>
  <c r="AO262" i="22"/>
  <c r="AS262" i="22"/>
  <c r="AN263" i="22"/>
  <c r="AR263" i="22"/>
  <c r="AM264" i="22"/>
  <c r="AQ264" i="22"/>
  <c r="AU264" i="22"/>
  <c r="AP265" i="22"/>
  <c r="AT265" i="22"/>
  <c r="AO266" i="22"/>
  <c r="AS266" i="22"/>
  <c r="AN267" i="22"/>
  <c r="AR267" i="22"/>
  <c r="AM268" i="22"/>
  <c r="AQ268" i="22"/>
  <c r="AU268" i="22"/>
  <c r="AP269" i="22"/>
  <c r="AT269" i="22"/>
  <c r="AO270" i="22"/>
  <c r="AS270" i="22"/>
  <c r="AN271" i="22"/>
  <c r="AR271" i="22"/>
  <c r="AM272" i="22"/>
  <c r="AQ272" i="22"/>
  <c r="AU272" i="22"/>
  <c r="AP273" i="22"/>
  <c r="AT273" i="22"/>
  <c r="AO274" i="22"/>
  <c r="AS274" i="22"/>
  <c r="AN275" i="22"/>
  <c r="AR275" i="22"/>
  <c r="AM276" i="22"/>
  <c r="AQ276" i="22"/>
  <c r="AU276" i="22"/>
  <c r="AP277" i="22"/>
  <c r="AT277" i="22"/>
  <c r="AO278" i="22"/>
  <c r="AS278" i="22"/>
  <c r="AN279" i="22"/>
  <c r="AR279" i="22"/>
  <c r="AM280" i="22"/>
  <c r="AQ280" i="22"/>
  <c r="AU280" i="22"/>
  <c r="AP281" i="22"/>
  <c r="AT281" i="22"/>
  <c r="AO282" i="22"/>
  <c r="AS282" i="22"/>
  <c r="AN283" i="22"/>
  <c r="AR283" i="22"/>
  <c r="AM284" i="22"/>
  <c r="AQ284" i="22"/>
  <c r="AU284" i="22"/>
  <c r="AP285" i="22"/>
  <c r="AT285" i="22"/>
  <c r="AO286" i="22"/>
  <c r="AS286" i="22"/>
  <c r="AN287" i="22"/>
  <c r="AR287" i="22"/>
  <c r="AM288" i="22"/>
  <c r="AQ288" i="22"/>
  <c r="AU288" i="22"/>
  <c r="AP289" i="22"/>
  <c r="AT289" i="22"/>
  <c r="AO290" i="22"/>
  <c r="AS290" i="22"/>
  <c r="AN291" i="22"/>
  <c r="AR291" i="22"/>
  <c r="AM292" i="22"/>
  <c r="AQ292" i="22"/>
  <c r="AU292" i="22"/>
  <c r="AP293" i="22"/>
  <c r="AT293" i="22"/>
  <c r="AO294" i="22"/>
  <c r="AS294" i="22"/>
  <c r="AN295" i="22"/>
  <c r="AR295" i="22"/>
  <c r="AM296" i="22"/>
  <c r="AQ296" i="22"/>
  <c r="AU296" i="22"/>
  <c r="AP297" i="22"/>
  <c r="AT297" i="22"/>
  <c r="AO298" i="22"/>
  <c r="AS298" i="22"/>
  <c r="AN299" i="22"/>
  <c r="AR299" i="22"/>
  <c r="AM300" i="22"/>
  <c r="AQ300" i="22"/>
  <c r="AU300" i="22"/>
  <c r="AP301" i="22"/>
  <c r="AT301" i="22"/>
  <c r="AO302" i="22"/>
  <c r="AS302" i="22"/>
  <c r="AN303" i="22"/>
  <c r="AR303" i="22"/>
  <c r="AM304" i="22"/>
  <c r="AQ304" i="22"/>
  <c r="AU304" i="22"/>
  <c r="AP305" i="22"/>
  <c r="AT305" i="22"/>
  <c r="AO306" i="22"/>
  <c r="AS306" i="22"/>
  <c r="AN307" i="22"/>
  <c r="AR307" i="22"/>
  <c r="AM308" i="22"/>
  <c r="AQ308" i="22"/>
  <c r="AU308" i="22"/>
  <c r="AP309" i="22"/>
  <c r="AT309" i="22"/>
  <c r="AO310" i="22"/>
  <c r="AS310" i="22"/>
  <c r="AN311" i="22"/>
  <c r="AR311" i="22"/>
  <c r="AM312" i="22"/>
  <c r="AQ312" i="22"/>
  <c r="AU312" i="22"/>
  <c r="AP313" i="22"/>
  <c r="AT313" i="22"/>
  <c r="AS269" i="22"/>
  <c r="AQ271" i="22"/>
  <c r="AO273" i="22"/>
  <c r="AM275" i="22"/>
  <c r="AT276" i="22"/>
  <c r="AR278" i="22"/>
  <c r="AP280" i="22"/>
  <c r="AN282" i="22"/>
  <c r="AU283" i="22"/>
  <c r="AS285" i="22"/>
  <c r="AQ287" i="22"/>
  <c r="AO289" i="22"/>
  <c r="AM291" i="22"/>
  <c r="AT292" i="22"/>
  <c r="AR294" i="22"/>
  <c r="AP296" i="22"/>
  <c r="AN298" i="22"/>
  <c r="AU299" i="22"/>
  <c r="AS301" i="22"/>
  <c r="AQ303" i="22"/>
  <c r="AO305" i="22"/>
  <c r="AM307" i="22"/>
  <c r="AT308" i="22"/>
  <c r="AR310" i="22"/>
  <c r="AP312" i="22"/>
  <c r="AN314" i="22"/>
  <c r="AR314" i="22"/>
  <c r="AM315" i="22"/>
  <c r="AQ315" i="22"/>
  <c r="AU315" i="22"/>
  <c r="AP316" i="22"/>
  <c r="AT316" i="22"/>
  <c r="AO317" i="22"/>
  <c r="AS317" i="22"/>
  <c r="AN318" i="22"/>
  <c r="AR318" i="22"/>
  <c r="AM319" i="22"/>
  <c r="AQ319" i="22"/>
  <c r="AU319" i="22"/>
  <c r="AP320" i="22"/>
  <c r="AT320" i="22"/>
  <c r="AO321" i="22"/>
  <c r="AS321" i="22"/>
  <c r="AN322" i="22"/>
  <c r="AR322" i="22"/>
  <c r="AM323" i="22"/>
  <c r="AQ323" i="22"/>
  <c r="AU323" i="22"/>
  <c r="AP324" i="22"/>
  <c r="AT324" i="22"/>
  <c r="AO325" i="22"/>
  <c r="AS325" i="22"/>
  <c r="AN326" i="22"/>
  <c r="AR326" i="22"/>
  <c r="AM327" i="22"/>
  <c r="AQ327" i="22"/>
  <c r="AU327" i="22"/>
  <c r="AP328" i="22"/>
  <c r="AT328" i="22"/>
  <c r="AO329" i="22"/>
  <c r="AS329" i="22"/>
  <c r="AN330" i="22"/>
  <c r="AR330" i="22"/>
  <c r="AM331" i="22"/>
  <c r="AQ331" i="22"/>
  <c r="AU331" i="22"/>
  <c r="AP332" i="22"/>
  <c r="AT332" i="22"/>
  <c r="AO333" i="22"/>
  <c r="AS333" i="22"/>
  <c r="AN334" i="22"/>
  <c r="AR334" i="22"/>
  <c r="AM335" i="22"/>
  <c r="AQ335" i="22"/>
  <c r="AU335" i="22"/>
  <c r="AP336" i="22"/>
  <c r="AT336" i="22"/>
  <c r="AO337" i="22"/>
  <c r="AS337" i="22"/>
  <c r="AN338" i="22"/>
  <c r="AR338" i="22"/>
  <c r="AM339" i="22"/>
  <c r="AQ339" i="22"/>
  <c r="AU339" i="22"/>
  <c r="AP340" i="22"/>
  <c r="AT340" i="22"/>
  <c r="AO341" i="22"/>
  <c r="AS341" i="22"/>
  <c r="AN342" i="22"/>
  <c r="AR342" i="22"/>
  <c r="AM343" i="22"/>
  <c r="AQ343" i="22"/>
  <c r="AU343" i="22"/>
  <c r="AP344" i="22"/>
  <c r="AT344" i="22"/>
  <c r="AO345" i="22"/>
  <c r="AS345" i="22"/>
  <c r="AN346" i="22"/>
  <c r="AR346" i="22"/>
  <c r="AM347" i="22"/>
  <c r="AQ347" i="22"/>
  <c r="AU347" i="22"/>
  <c r="AP348" i="22"/>
  <c r="AT348" i="22"/>
  <c r="AO349" i="22"/>
  <c r="AS349" i="22"/>
  <c r="AN350" i="22"/>
  <c r="AR350" i="22"/>
  <c r="AM351" i="22"/>
  <c r="AQ351" i="22"/>
  <c r="AU351" i="22"/>
  <c r="AP352" i="22"/>
  <c r="AT352" i="22"/>
  <c r="AO353" i="22"/>
  <c r="AS353" i="22"/>
  <c r="AN354" i="22"/>
  <c r="AR354" i="22"/>
  <c r="AM355" i="22"/>
  <c r="AQ355" i="22"/>
  <c r="AU355" i="22"/>
  <c r="AP356" i="22"/>
  <c r="AT356" i="22"/>
  <c r="AO357" i="22"/>
  <c r="AS357" i="22"/>
  <c r="AN358" i="22"/>
  <c r="AR358" i="22"/>
  <c r="AM359" i="22"/>
  <c r="AQ359" i="22"/>
  <c r="AU359" i="22"/>
  <c r="AP360" i="22"/>
  <c r="AT360" i="22"/>
  <c r="AO361" i="22"/>
  <c r="AS361" i="22"/>
  <c r="AN362" i="22"/>
  <c r="AR362" i="22"/>
  <c r="AM363" i="22"/>
  <c r="AQ363" i="22"/>
  <c r="AU363" i="22"/>
  <c r="AP364" i="22"/>
  <c r="AT364" i="22"/>
  <c r="AO365" i="22"/>
  <c r="AS365" i="22"/>
  <c r="AN366" i="22"/>
  <c r="AR366" i="22"/>
  <c r="AM367" i="22"/>
  <c r="AQ367" i="22"/>
  <c r="AU367" i="22"/>
  <c r="AP368" i="22"/>
  <c r="AT368" i="22"/>
  <c r="AO369" i="22"/>
  <c r="AS369" i="22"/>
  <c r="AN370" i="22"/>
  <c r="AR370" i="22"/>
  <c r="AM371" i="22"/>
  <c r="AQ371" i="22"/>
  <c r="AU371" i="22"/>
  <c r="AP372" i="22"/>
  <c r="AT372" i="22"/>
  <c r="AO373" i="22"/>
  <c r="AS373" i="22"/>
  <c r="AN374" i="22"/>
  <c r="AR374" i="22"/>
  <c r="AM375" i="22"/>
  <c r="AQ375" i="22"/>
  <c r="AU375" i="22"/>
  <c r="AP376" i="22"/>
  <c r="AT376" i="22"/>
  <c r="AO377" i="22"/>
  <c r="AS377" i="22"/>
  <c r="AN378" i="22"/>
  <c r="AR378" i="22"/>
  <c r="AN270" i="22"/>
  <c r="AU271" i="22"/>
  <c r="AS273" i="22"/>
  <c r="AQ275" i="22"/>
  <c r="AO277" i="22"/>
  <c r="AM279" i="22"/>
  <c r="AT280" i="22"/>
  <c r="AR282" i="22"/>
  <c r="AP284" i="22"/>
  <c r="AN286" i="22"/>
  <c r="AU287" i="22"/>
  <c r="AS289" i="22"/>
  <c r="AQ291" i="22"/>
  <c r="AO293" i="22"/>
  <c r="AM295" i="22"/>
  <c r="AT296" i="22"/>
  <c r="AR298" i="22"/>
  <c r="AP300" i="22"/>
  <c r="AN302" i="22"/>
  <c r="AU303" i="22"/>
  <c r="AS305" i="22"/>
  <c r="AQ307" i="22"/>
  <c r="AO309" i="22"/>
  <c r="AM311" i="22"/>
  <c r="AT312" i="22"/>
  <c r="AO314" i="22"/>
  <c r="AS314" i="22"/>
  <c r="AN315" i="22"/>
  <c r="AR315" i="22"/>
  <c r="AM316" i="22"/>
  <c r="AQ316" i="22"/>
  <c r="AU316" i="22"/>
  <c r="AP317" i="22"/>
  <c r="AT317" i="22"/>
  <c r="AO318" i="22"/>
  <c r="AS318" i="22"/>
  <c r="AN319" i="22"/>
  <c r="AR319" i="22"/>
  <c r="AM320" i="22"/>
  <c r="AQ320" i="22"/>
  <c r="AU320" i="22"/>
  <c r="AP321" i="22"/>
  <c r="AT321" i="22"/>
  <c r="AO322" i="22"/>
  <c r="AS322" i="22"/>
  <c r="AN323" i="22"/>
  <c r="AR323" i="22"/>
  <c r="AM324" i="22"/>
  <c r="AQ324" i="22"/>
  <c r="AU324" i="22"/>
  <c r="AP325" i="22"/>
  <c r="AT325" i="22"/>
  <c r="AO326" i="22"/>
  <c r="AS326" i="22"/>
  <c r="AN327" i="22"/>
  <c r="AR327" i="22"/>
  <c r="AM328" i="22"/>
  <c r="AQ328" i="22"/>
  <c r="AU328" i="22"/>
  <c r="AP329" i="22"/>
  <c r="AT329" i="22"/>
  <c r="AO330" i="22"/>
  <c r="AS330" i="22"/>
  <c r="AN331" i="22"/>
  <c r="AR331" i="22"/>
  <c r="AM332" i="22"/>
  <c r="AQ332" i="22"/>
  <c r="AU332" i="22"/>
  <c r="AP333" i="22"/>
  <c r="AT333" i="22"/>
  <c r="AO334" i="22"/>
  <c r="AS334" i="22"/>
  <c r="AN335" i="22"/>
  <c r="AR335" i="22"/>
  <c r="AM336" i="22"/>
  <c r="AQ336" i="22"/>
  <c r="AU336" i="22"/>
  <c r="AP337" i="22"/>
  <c r="AT337" i="22"/>
  <c r="AO338" i="22"/>
  <c r="AS338" i="22"/>
  <c r="AN339" i="22"/>
  <c r="AR339" i="22"/>
  <c r="AM340" i="22"/>
  <c r="AQ340" i="22"/>
  <c r="AU340" i="22"/>
  <c r="AP341" i="22"/>
  <c r="AT341" i="22"/>
  <c r="AO342" i="22"/>
  <c r="AS342" i="22"/>
  <c r="AN343" i="22"/>
  <c r="AR343" i="22"/>
  <c r="AM344" i="22"/>
  <c r="AQ344" i="22"/>
  <c r="AU344" i="22"/>
  <c r="AP345" i="22"/>
  <c r="AT345" i="22"/>
  <c r="AO346" i="22"/>
  <c r="AS346" i="22"/>
  <c r="AN347" i="22"/>
  <c r="AR347" i="22"/>
  <c r="AM348" i="22"/>
  <c r="AQ348" i="22"/>
  <c r="AU348" i="22"/>
  <c r="AP349" i="22"/>
  <c r="AT349" i="22"/>
  <c r="AO350" i="22"/>
  <c r="AS350" i="22"/>
  <c r="AN351" i="22"/>
  <c r="AR351" i="22"/>
  <c r="AM352" i="22"/>
  <c r="AQ352" i="22"/>
  <c r="AU352" i="22"/>
  <c r="AP353" i="22"/>
  <c r="AT353" i="22"/>
  <c r="AO354" i="22"/>
  <c r="AS354" i="22"/>
  <c r="AN355" i="22"/>
  <c r="AR355" i="22"/>
  <c r="AM356" i="22"/>
  <c r="AQ356" i="22"/>
  <c r="AU356" i="22"/>
  <c r="AP357" i="22"/>
  <c r="AT357" i="22"/>
  <c r="AO358" i="22"/>
  <c r="AS358" i="22"/>
  <c r="AN359" i="22"/>
  <c r="AR359" i="22"/>
  <c r="AM360" i="22"/>
  <c r="AQ360" i="22"/>
  <c r="AU360" i="22"/>
  <c r="AP361" i="22"/>
  <c r="AT361" i="22"/>
  <c r="AO362" i="22"/>
  <c r="AS362" i="22"/>
  <c r="AN363" i="22"/>
  <c r="AR363" i="22"/>
  <c r="AM364" i="22"/>
  <c r="AQ364" i="22"/>
  <c r="AU364" i="22"/>
  <c r="AP365" i="22"/>
  <c r="AT365" i="22"/>
  <c r="AO366" i="22"/>
  <c r="AS366" i="22"/>
  <c r="AN367" i="22"/>
  <c r="AR367" i="22"/>
  <c r="AM368" i="22"/>
  <c r="AQ368" i="22"/>
  <c r="AU368" i="22"/>
  <c r="AP369" i="22"/>
  <c r="AT369" i="22"/>
  <c r="AO370" i="22"/>
  <c r="AS370" i="22"/>
  <c r="AN371" i="22"/>
  <c r="AR371" i="22"/>
  <c r="AM372" i="22"/>
  <c r="AQ372" i="22"/>
  <c r="AU372" i="22"/>
  <c r="AP373" i="22"/>
  <c r="AT373" i="22"/>
  <c r="AO374" i="22"/>
  <c r="AS374" i="22"/>
  <c r="AN375" i="22"/>
  <c r="AR375" i="22"/>
  <c r="AM376" i="22"/>
  <c r="AQ376" i="22"/>
  <c r="AU376" i="22"/>
  <c r="AP377" i="22"/>
  <c r="AT377" i="22"/>
  <c r="AO378" i="22"/>
  <c r="AR270" i="22"/>
  <c r="AP272" i="22"/>
  <c r="AN274" i="22"/>
  <c r="AU275" i="22"/>
  <c r="AS277" i="22"/>
  <c r="AQ279" i="22"/>
  <c r="AO281" i="22"/>
  <c r="AM283" i="22"/>
  <c r="AT284" i="22"/>
  <c r="AR286" i="22"/>
  <c r="AP288" i="22"/>
  <c r="AN290" i="22"/>
  <c r="AU291" i="22"/>
  <c r="AS293" i="22"/>
  <c r="AQ295" i="22"/>
  <c r="AO297" i="22"/>
  <c r="AM299" i="22"/>
  <c r="AT300" i="22"/>
  <c r="AR302" i="22"/>
  <c r="AP304" i="22"/>
  <c r="AN306" i="22"/>
  <c r="AU307" i="22"/>
  <c r="AS309" i="22"/>
  <c r="AQ311" i="22"/>
  <c r="AO313" i="22"/>
  <c r="AP314" i="22"/>
  <c r="AT314" i="22"/>
  <c r="AO315" i="22"/>
  <c r="AS315" i="22"/>
  <c r="AN316" i="22"/>
  <c r="AR316" i="22"/>
  <c r="AM317" i="22"/>
  <c r="AQ317" i="22"/>
  <c r="AU317" i="22"/>
  <c r="AP318" i="22"/>
  <c r="AT318" i="22"/>
  <c r="AO319" i="22"/>
  <c r="AS319" i="22"/>
  <c r="AN320" i="22"/>
  <c r="AR320" i="22"/>
  <c r="AM321" i="22"/>
  <c r="AQ321" i="22"/>
  <c r="AU321" i="22"/>
  <c r="AP322" i="22"/>
  <c r="AT322" i="22"/>
  <c r="AO323" i="22"/>
  <c r="AS323" i="22"/>
  <c r="AN324" i="22"/>
  <c r="AR324" i="22"/>
  <c r="AM325" i="22"/>
  <c r="AQ325" i="22"/>
  <c r="AU325" i="22"/>
  <c r="AP326" i="22"/>
  <c r="AT326" i="22"/>
  <c r="AO327" i="22"/>
  <c r="AS327" i="22"/>
  <c r="AN328" i="22"/>
  <c r="AR328" i="22"/>
  <c r="AM329" i="22"/>
  <c r="AQ329" i="22"/>
  <c r="AU329" i="22"/>
  <c r="AP330" i="22"/>
  <c r="AT330" i="22"/>
  <c r="AO331" i="22"/>
  <c r="AS331" i="22"/>
  <c r="AN332" i="22"/>
  <c r="AR332" i="22"/>
  <c r="AM333" i="22"/>
  <c r="AQ333" i="22"/>
  <c r="AU333" i="22"/>
  <c r="AP334" i="22"/>
  <c r="AT334" i="22"/>
  <c r="AO335" i="22"/>
  <c r="AS335" i="22"/>
  <c r="AN336" i="22"/>
  <c r="AR336" i="22"/>
  <c r="AM337" i="22"/>
  <c r="AQ337" i="22"/>
  <c r="AU337" i="22"/>
  <c r="AP338" i="22"/>
  <c r="AT338" i="22"/>
  <c r="AO339" i="22"/>
  <c r="AS339" i="22"/>
  <c r="AN340" i="22"/>
  <c r="AR340" i="22"/>
  <c r="AM341" i="22"/>
  <c r="AQ341" i="22"/>
  <c r="AU341" i="22"/>
  <c r="AP342" i="22"/>
  <c r="AT342" i="22"/>
  <c r="AO343" i="22"/>
  <c r="AS343" i="22"/>
  <c r="AN344" i="22"/>
  <c r="AR344" i="22"/>
  <c r="AM345" i="22"/>
  <c r="AQ345" i="22"/>
  <c r="AU345" i="22"/>
  <c r="AP346" i="22"/>
  <c r="AT346" i="22"/>
  <c r="AO347" i="22"/>
  <c r="AS347" i="22"/>
  <c r="AN348" i="22"/>
  <c r="AR348" i="22"/>
  <c r="AM349" i="22"/>
  <c r="AQ349" i="22"/>
  <c r="AU349" i="22"/>
  <c r="AP350" i="22"/>
  <c r="AT350" i="22"/>
  <c r="AO351" i="22"/>
  <c r="AS351" i="22"/>
  <c r="AN352" i="22"/>
  <c r="AR352" i="22"/>
  <c r="AM353" i="22"/>
  <c r="AQ353" i="22"/>
  <c r="AU353" i="22"/>
  <c r="AP354" i="22"/>
  <c r="AT354" i="22"/>
  <c r="AO355" i="22"/>
  <c r="AS355" i="22"/>
  <c r="AN356" i="22"/>
  <c r="AR356" i="22"/>
  <c r="AM357" i="22"/>
  <c r="AQ357" i="22"/>
  <c r="AU357" i="22"/>
  <c r="AP358" i="22"/>
  <c r="AT358" i="22"/>
  <c r="AO359" i="22"/>
  <c r="AS359" i="22"/>
  <c r="AN360" i="22"/>
  <c r="AR360" i="22"/>
  <c r="AM361" i="22"/>
  <c r="AQ361" i="22"/>
  <c r="AU361" i="22"/>
  <c r="AP362" i="22"/>
  <c r="AT362" i="22"/>
  <c r="AO363" i="22"/>
  <c r="AS363" i="22"/>
  <c r="AN364" i="22"/>
  <c r="AR364" i="22"/>
  <c r="AM365" i="22"/>
  <c r="AQ365" i="22"/>
  <c r="AU365" i="22"/>
  <c r="AP366" i="22"/>
  <c r="AT366" i="22"/>
  <c r="AO367" i="22"/>
  <c r="AS367" i="22"/>
  <c r="AN368" i="22"/>
  <c r="AR368" i="22"/>
  <c r="AM369" i="22"/>
  <c r="AQ369" i="22"/>
  <c r="AU369" i="22"/>
  <c r="AP370" i="22"/>
  <c r="AT370" i="22"/>
  <c r="AO371" i="22"/>
  <c r="AS371" i="22"/>
  <c r="AN372" i="22"/>
  <c r="AR372" i="22"/>
  <c r="AM373" i="22"/>
  <c r="AQ373" i="22"/>
  <c r="AU373" i="22"/>
  <c r="AP374" i="22"/>
  <c r="AT374" i="22"/>
  <c r="AO375" i="22"/>
  <c r="AS375" i="22"/>
  <c r="AN376" i="22"/>
  <c r="AR376" i="22"/>
  <c r="AM377" i="22"/>
  <c r="AQ377" i="22"/>
  <c r="AU377" i="22"/>
  <c r="AM271" i="22"/>
  <c r="AN278" i="22"/>
  <c r="AO285" i="22"/>
  <c r="AP292" i="22"/>
  <c r="AQ299" i="22"/>
  <c r="AR306" i="22"/>
  <c r="AS313" i="22"/>
  <c r="AT315" i="22"/>
  <c r="AR317" i="22"/>
  <c r="AP319" i="22"/>
  <c r="AN321" i="22"/>
  <c r="AU322" i="22"/>
  <c r="AS324" i="22"/>
  <c r="AQ326" i="22"/>
  <c r="AO328" i="22"/>
  <c r="AM330" i="22"/>
  <c r="AT331" i="22"/>
  <c r="AR333" i="22"/>
  <c r="AP335" i="22"/>
  <c r="AN337" i="22"/>
  <c r="AU338" i="22"/>
  <c r="AS340" i="22"/>
  <c r="AQ342" i="22"/>
  <c r="AO344" i="22"/>
  <c r="AM346" i="22"/>
  <c r="AT347" i="22"/>
  <c r="AR349" i="22"/>
  <c r="AP351" i="22"/>
  <c r="AN353" i="22"/>
  <c r="AU354" i="22"/>
  <c r="AS356" i="22"/>
  <c r="AQ358" i="22"/>
  <c r="AO360" i="22"/>
  <c r="AM362" i="22"/>
  <c r="AT363" i="22"/>
  <c r="AR365" i="22"/>
  <c r="AP367" i="22"/>
  <c r="AN369" i="22"/>
  <c r="AU370" i="22"/>
  <c r="AS372" i="22"/>
  <c r="AQ374" i="22"/>
  <c r="AO376" i="22"/>
  <c r="AM378" i="22"/>
  <c r="AT378" i="22"/>
  <c r="AO379" i="22"/>
  <c r="AS379" i="22"/>
  <c r="AN380" i="22"/>
  <c r="AR380" i="22"/>
  <c r="AM381" i="22"/>
  <c r="AQ381" i="22"/>
  <c r="AU381" i="22"/>
  <c r="AP382" i="22"/>
  <c r="AT382" i="22"/>
  <c r="AO383" i="22"/>
  <c r="AS383" i="22"/>
  <c r="AN384" i="22"/>
  <c r="AR384" i="22"/>
  <c r="AM385" i="22"/>
  <c r="AQ385" i="22"/>
  <c r="AU385" i="22"/>
  <c r="AP386" i="22"/>
  <c r="AT386" i="22"/>
  <c r="AO387" i="22"/>
  <c r="AS387" i="22"/>
  <c r="AN388" i="22"/>
  <c r="AR388" i="22"/>
  <c r="AM389" i="22"/>
  <c r="AQ389" i="22"/>
  <c r="AU389" i="22"/>
  <c r="AP390" i="22"/>
  <c r="AT390" i="22"/>
  <c r="AO391" i="22"/>
  <c r="AS391" i="22"/>
  <c r="AN392" i="22"/>
  <c r="AR392" i="22"/>
  <c r="AM393" i="22"/>
  <c r="AQ393" i="22"/>
  <c r="AU393" i="22"/>
  <c r="AP394" i="22"/>
  <c r="AT394" i="22"/>
  <c r="AO395" i="22"/>
  <c r="AS395" i="22"/>
  <c r="AN396" i="22"/>
  <c r="AR396" i="22"/>
  <c r="AM397" i="22"/>
  <c r="AQ397" i="22"/>
  <c r="AU397" i="22"/>
  <c r="AP398" i="22"/>
  <c r="AT398" i="22"/>
  <c r="AO399" i="22"/>
  <c r="AS399" i="22"/>
  <c r="AN400" i="22"/>
  <c r="AR400" i="22"/>
  <c r="AM401" i="22"/>
  <c r="AQ401" i="22"/>
  <c r="AU401" i="22"/>
  <c r="AP402" i="22"/>
  <c r="AT402" i="22"/>
  <c r="AO403" i="22"/>
  <c r="AS403" i="22"/>
  <c r="AN404" i="22"/>
  <c r="AR404" i="22"/>
  <c r="AM405" i="22"/>
  <c r="AQ405" i="22"/>
  <c r="AU405" i="22"/>
  <c r="AP406" i="22"/>
  <c r="AT406" i="22"/>
  <c r="AO407" i="22"/>
  <c r="AS407" i="22"/>
  <c r="AN408" i="22"/>
  <c r="AR408" i="22"/>
  <c r="AM409" i="22"/>
  <c r="AQ409" i="22"/>
  <c r="AU409" i="22"/>
  <c r="AP410" i="22"/>
  <c r="AT410" i="22"/>
  <c r="AO411" i="22"/>
  <c r="AS411" i="22"/>
  <c r="AN412" i="22"/>
  <c r="AR412" i="22"/>
  <c r="AM413" i="22"/>
  <c r="AQ413" i="22"/>
  <c r="AU413" i="22"/>
  <c r="AP414" i="22"/>
  <c r="AT414" i="22"/>
  <c r="AO415" i="22"/>
  <c r="AS415" i="22"/>
  <c r="AN416" i="22"/>
  <c r="AR416" i="22"/>
  <c r="AM417" i="22"/>
  <c r="AQ417" i="22"/>
  <c r="AU417" i="22"/>
  <c r="AP418" i="22"/>
  <c r="AT418" i="22"/>
  <c r="AO419" i="22"/>
  <c r="AS419" i="22"/>
  <c r="AN420" i="22"/>
  <c r="AR420" i="22"/>
  <c r="AM421" i="22"/>
  <c r="AQ421" i="22"/>
  <c r="AU421" i="22"/>
  <c r="AP422" i="22"/>
  <c r="AT422" i="22"/>
  <c r="AO423" i="22"/>
  <c r="AS423" i="22"/>
  <c r="AN424" i="22"/>
  <c r="AR424" i="22"/>
  <c r="AM425" i="22"/>
  <c r="AQ425" i="22"/>
  <c r="AU425" i="22"/>
  <c r="AP426" i="22"/>
  <c r="AT426" i="22"/>
  <c r="AO427" i="22"/>
  <c r="AS427" i="22"/>
  <c r="AN428" i="22"/>
  <c r="AR428" i="22"/>
  <c r="AM429" i="22"/>
  <c r="AQ429" i="22"/>
  <c r="AU429" i="22"/>
  <c r="AP430" i="22"/>
  <c r="AT430" i="22"/>
  <c r="AO431" i="22"/>
  <c r="AS431" i="22"/>
  <c r="AN432" i="22"/>
  <c r="AR432" i="22"/>
  <c r="AM433" i="22"/>
  <c r="AQ433" i="22"/>
  <c r="AU433" i="22"/>
  <c r="AP434" i="22"/>
  <c r="AT434" i="22"/>
  <c r="AO435" i="22"/>
  <c r="AS435" i="22"/>
  <c r="AN436" i="22"/>
  <c r="AR436" i="22"/>
  <c r="AM437" i="22"/>
  <c r="AQ437" i="22"/>
  <c r="AU437" i="22"/>
  <c r="AP438" i="22"/>
  <c r="AT438" i="22"/>
  <c r="AO439" i="22"/>
  <c r="AS439" i="22"/>
  <c r="AN440" i="22"/>
  <c r="AR440" i="22"/>
  <c r="AM441" i="22"/>
  <c r="AQ441" i="22"/>
  <c r="AU441" i="22"/>
  <c r="AP442" i="22"/>
  <c r="AT442" i="22"/>
  <c r="AO443" i="22"/>
  <c r="AS443" i="22"/>
  <c r="AN444" i="22"/>
  <c r="AR444" i="22"/>
  <c r="AM445" i="22"/>
  <c r="AQ445" i="22"/>
  <c r="AU445" i="22"/>
  <c r="AP446" i="22"/>
  <c r="AT446" i="22"/>
  <c r="AO447" i="22"/>
  <c r="AS447" i="22"/>
  <c r="AN448" i="22"/>
  <c r="AR448" i="22"/>
  <c r="AM449" i="22"/>
  <c r="AQ449" i="22"/>
  <c r="AU449" i="22"/>
  <c r="AP450" i="22"/>
  <c r="AT450" i="22"/>
  <c r="AO451" i="22"/>
  <c r="AS451" i="22"/>
  <c r="AN452" i="22"/>
  <c r="AR452" i="22"/>
  <c r="AM453" i="22"/>
  <c r="AQ453" i="22"/>
  <c r="AU453" i="22"/>
  <c r="AP454" i="22"/>
  <c r="AT454" i="22"/>
  <c r="AO455" i="22"/>
  <c r="AS455" i="22"/>
  <c r="AN456" i="22"/>
  <c r="AR456" i="22"/>
  <c r="AM457" i="22"/>
  <c r="AQ457" i="22"/>
  <c r="AU457" i="22"/>
  <c r="AP458" i="22"/>
  <c r="AT458" i="22"/>
  <c r="AO459" i="22"/>
  <c r="AS459" i="22"/>
  <c r="AN460" i="22"/>
  <c r="AR460" i="22"/>
  <c r="AM461" i="22"/>
  <c r="AQ461" i="22"/>
  <c r="AU461" i="22"/>
  <c r="AP462" i="22"/>
  <c r="AT462" i="22"/>
  <c r="AO463" i="22"/>
  <c r="AS463" i="22"/>
  <c r="AN464" i="22"/>
  <c r="AR464" i="22"/>
  <c r="AM465" i="22"/>
  <c r="AQ465" i="22"/>
  <c r="AU465" i="22"/>
  <c r="AP466" i="22"/>
  <c r="AT466" i="22"/>
  <c r="AO467" i="22"/>
  <c r="AS467" i="22"/>
  <c r="AN468" i="22"/>
  <c r="AR468" i="22"/>
  <c r="AM469" i="22"/>
  <c r="AQ469" i="22"/>
  <c r="AU469" i="22"/>
  <c r="AP470" i="22"/>
  <c r="AT470" i="22"/>
  <c r="AO471" i="22"/>
  <c r="AS471" i="22"/>
  <c r="AN472" i="22"/>
  <c r="AR472" i="22"/>
  <c r="AM473" i="22"/>
  <c r="AQ473" i="22"/>
  <c r="AU473" i="22"/>
  <c r="AP474" i="22"/>
  <c r="AT474" i="22"/>
  <c r="AO475" i="22"/>
  <c r="AS475" i="22"/>
  <c r="AN476" i="22"/>
  <c r="AR476" i="22"/>
  <c r="AM477" i="22"/>
  <c r="AQ477" i="22"/>
  <c r="AU477" i="22"/>
  <c r="AP478" i="22"/>
  <c r="AT478" i="22"/>
  <c r="AO479" i="22"/>
  <c r="AS479" i="22"/>
  <c r="AN480" i="22"/>
  <c r="AR480" i="22"/>
  <c r="AM481" i="22"/>
  <c r="AQ481" i="22"/>
  <c r="AU481" i="22"/>
  <c r="AP482" i="22"/>
  <c r="AT482" i="22"/>
  <c r="AO483" i="22"/>
  <c r="AS483" i="22"/>
  <c r="AN484" i="22"/>
  <c r="AR484" i="22"/>
  <c r="AM485" i="22"/>
  <c r="AQ485" i="22"/>
  <c r="AU485" i="22"/>
  <c r="AP486" i="22"/>
  <c r="AT486" i="22"/>
  <c r="AO487" i="22"/>
  <c r="AS487" i="22"/>
  <c r="AN488" i="22"/>
  <c r="AR488" i="22"/>
  <c r="AM489" i="22"/>
  <c r="AQ489" i="22"/>
  <c r="AU489" i="22"/>
  <c r="AP490" i="22"/>
  <c r="AT490" i="22"/>
  <c r="AO491" i="22"/>
  <c r="AS491" i="22"/>
  <c r="AN492" i="22"/>
  <c r="AR492" i="22"/>
  <c r="AM493" i="22"/>
  <c r="AQ493" i="22"/>
  <c r="AU493" i="22"/>
  <c r="AP494" i="22"/>
  <c r="AT494" i="22"/>
  <c r="AO495" i="22"/>
  <c r="AS495" i="22"/>
  <c r="AN496" i="22"/>
  <c r="AR496" i="22"/>
  <c r="AM497" i="22"/>
  <c r="AQ497" i="22"/>
  <c r="AU497" i="22"/>
  <c r="AP498" i="22"/>
  <c r="AT498" i="22"/>
  <c r="AO499" i="22"/>
  <c r="AS499" i="22"/>
  <c r="AN500" i="22"/>
  <c r="AR500" i="22"/>
  <c r="AM501" i="22"/>
  <c r="AQ501" i="22"/>
  <c r="AU501" i="22"/>
  <c r="AP502" i="22"/>
  <c r="AT502" i="22"/>
  <c r="AO503" i="22"/>
  <c r="AS503" i="22"/>
  <c r="AN504" i="22"/>
  <c r="AR504" i="22"/>
  <c r="AM505" i="22"/>
  <c r="AQ505" i="22"/>
  <c r="AU505" i="22"/>
  <c r="AP506" i="22"/>
  <c r="AT506" i="22"/>
  <c r="AO507" i="22"/>
  <c r="AS507" i="22"/>
  <c r="AN508" i="22"/>
  <c r="AR508" i="22"/>
  <c r="AN8" i="22"/>
  <c r="AR8" i="22"/>
  <c r="AM8" i="22"/>
  <c r="AL12" i="22"/>
  <c r="AL16" i="22"/>
  <c r="AT272" i="22"/>
  <c r="AU279" i="22"/>
  <c r="AM287" i="22"/>
  <c r="AN294" i="22"/>
  <c r="AO301" i="22"/>
  <c r="AP308" i="22"/>
  <c r="AQ314" i="22"/>
  <c r="AO316" i="22"/>
  <c r="AM318" i="22"/>
  <c r="AT319" i="22"/>
  <c r="AR321" i="22"/>
  <c r="AP323" i="22"/>
  <c r="AN325" i="22"/>
  <c r="AU326" i="22"/>
  <c r="AS328" i="22"/>
  <c r="AQ330" i="22"/>
  <c r="AO332" i="22"/>
  <c r="AM334" i="22"/>
  <c r="AT335" i="22"/>
  <c r="AR337" i="22"/>
  <c r="AP339" i="22"/>
  <c r="AN341" i="22"/>
  <c r="AU342" i="22"/>
  <c r="AS344" i="22"/>
  <c r="AQ346" i="22"/>
  <c r="AO348" i="22"/>
  <c r="AM350" i="22"/>
  <c r="AT351" i="22"/>
  <c r="AR353" i="22"/>
  <c r="AP355" i="22"/>
  <c r="AN357" i="22"/>
  <c r="AU358" i="22"/>
  <c r="AS360" i="22"/>
  <c r="AQ362" i="22"/>
  <c r="AO364" i="22"/>
  <c r="AM366" i="22"/>
  <c r="AT367" i="22"/>
  <c r="AR369" i="22"/>
  <c r="AP371" i="22"/>
  <c r="AN373" i="22"/>
  <c r="AU374" i="22"/>
  <c r="AS376" i="22"/>
  <c r="AP378" i="22"/>
  <c r="AU378" i="22"/>
  <c r="AP379" i="22"/>
  <c r="AT379" i="22"/>
  <c r="AO380" i="22"/>
  <c r="AS380" i="22"/>
  <c r="AN381" i="22"/>
  <c r="AR381" i="22"/>
  <c r="AM382" i="22"/>
  <c r="AQ382" i="22"/>
  <c r="AU382" i="22"/>
  <c r="AP383" i="22"/>
  <c r="AT383" i="22"/>
  <c r="AO384" i="22"/>
  <c r="AS384" i="22"/>
  <c r="AN385" i="22"/>
  <c r="AR385" i="22"/>
  <c r="AM386" i="22"/>
  <c r="AQ386" i="22"/>
  <c r="AU386" i="22"/>
  <c r="AP387" i="22"/>
  <c r="AT387" i="22"/>
  <c r="AO388" i="22"/>
  <c r="AS388" i="22"/>
  <c r="AN389" i="22"/>
  <c r="AR389" i="22"/>
  <c r="AM390" i="22"/>
  <c r="AQ390" i="22"/>
  <c r="AU390" i="22"/>
  <c r="AP391" i="22"/>
  <c r="AT391" i="22"/>
  <c r="AO392" i="22"/>
  <c r="AS392" i="22"/>
  <c r="AN393" i="22"/>
  <c r="AR393" i="22"/>
  <c r="AM394" i="22"/>
  <c r="AQ394" i="22"/>
  <c r="AU394" i="22"/>
  <c r="AP395" i="22"/>
  <c r="AT395" i="22"/>
  <c r="AO396" i="22"/>
  <c r="AS396" i="22"/>
  <c r="AN397" i="22"/>
  <c r="AR397" i="22"/>
  <c r="AM398" i="22"/>
  <c r="AQ398" i="22"/>
  <c r="AU398" i="22"/>
  <c r="AP399" i="22"/>
  <c r="AT399" i="22"/>
  <c r="AO400" i="22"/>
  <c r="AS400" i="22"/>
  <c r="AN401" i="22"/>
  <c r="AR401" i="22"/>
  <c r="AM402" i="22"/>
  <c r="AQ402" i="22"/>
  <c r="AU402" i="22"/>
  <c r="AP403" i="22"/>
  <c r="AT403" i="22"/>
  <c r="AO404" i="22"/>
  <c r="AS404" i="22"/>
  <c r="AN405" i="22"/>
  <c r="AR405" i="22"/>
  <c r="AM406" i="22"/>
  <c r="AQ406" i="22"/>
  <c r="AU406" i="22"/>
  <c r="AP407" i="22"/>
  <c r="AT407" i="22"/>
  <c r="AO408" i="22"/>
  <c r="AS408" i="22"/>
  <c r="AN409" i="22"/>
  <c r="AR409" i="22"/>
  <c r="AM410" i="22"/>
  <c r="AQ410" i="22"/>
  <c r="AU410" i="22"/>
  <c r="AP411" i="22"/>
  <c r="AT411" i="22"/>
  <c r="AO412" i="22"/>
  <c r="AS412" i="22"/>
  <c r="AN413" i="22"/>
  <c r="AR413" i="22"/>
  <c r="AM414" i="22"/>
  <c r="AQ414" i="22"/>
  <c r="AU414" i="22"/>
  <c r="AP415" i="22"/>
  <c r="AT415" i="22"/>
  <c r="AO416" i="22"/>
  <c r="AS416" i="22"/>
  <c r="AN417" i="22"/>
  <c r="AR417" i="22"/>
  <c r="AM418" i="22"/>
  <c r="AQ418" i="22"/>
  <c r="AU418" i="22"/>
  <c r="AP419" i="22"/>
  <c r="AT419" i="22"/>
  <c r="AO420" i="22"/>
  <c r="AS420" i="22"/>
  <c r="AN421" i="22"/>
  <c r="AR421" i="22"/>
  <c r="AM422" i="22"/>
  <c r="AQ422" i="22"/>
  <c r="AU422" i="22"/>
  <c r="AP423" i="22"/>
  <c r="AT423" i="22"/>
  <c r="AO424" i="22"/>
  <c r="AS424" i="22"/>
  <c r="AN425" i="22"/>
  <c r="AR425" i="22"/>
  <c r="AM426" i="22"/>
  <c r="AQ426" i="22"/>
  <c r="AU426" i="22"/>
  <c r="AP427" i="22"/>
  <c r="AT427" i="22"/>
  <c r="AO428" i="22"/>
  <c r="AS428" i="22"/>
  <c r="AN429" i="22"/>
  <c r="AR429" i="22"/>
  <c r="AM430" i="22"/>
  <c r="AQ430" i="22"/>
  <c r="AU430" i="22"/>
  <c r="AP431" i="22"/>
  <c r="AT431" i="22"/>
  <c r="AO432" i="22"/>
  <c r="AS432" i="22"/>
  <c r="AN433" i="22"/>
  <c r="AR433" i="22"/>
  <c r="AM434" i="22"/>
  <c r="AQ434" i="22"/>
  <c r="AU434" i="22"/>
  <c r="AP435" i="22"/>
  <c r="AT435" i="22"/>
  <c r="AO436" i="22"/>
  <c r="AS436" i="22"/>
  <c r="AN437" i="22"/>
  <c r="AR437" i="22"/>
  <c r="AM438" i="22"/>
  <c r="AQ438" i="22"/>
  <c r="AU438" i="22"/>
  <c r="AP439" i="22"/>
  <c r="AT439" i="22"/>
  <c r="AO440" i="22"/>
  <c r="AS440" i="22"/>
  <c r="AN441" i="22"/>
  <c r="AR441" i="22"/>
  <c r="AM442" i="22"/>
  <c r="AQ442" i="22"/>
  <c r="AU442" i="22"/>
  <c r="AP443" i="22"/>
  <c r="AT443" i="22"/>
  <c r="AO444" i="22"/>
  <c r="AS444" i="22"/>
  <c r="AN445" i="22"/>
  <c r="AR445" i="22"/>
  <c r="AM446" i="22"/>
  <c r="AQ446" i="22"/>
  <c r="AU446" i="22"/>
  <c r="AP447" i="22"/>
  <c r="AT447" i="22"/>
  <c r="AO448" i="22"/>
  <c r="AS448" i="22"/>
  <c r="AN449" i="22"/>
  <c r="AR449" i="22"/>
  <c r="AM450" i="22"/>
  <c r="AQ450" i="22"/>
  <c r="AU450" i="22"/>
  <c r="AP451" i="22"/>
  <c r="AT451" i="22"/>
  <c r="AO452" i="22"/>
  <c r="AS452" i="22"/>
  <c r="AN453" i="22"/>
  <c r="AR453" i="22"/>
  <c r="AM454" i="22"/>
  <c r="AQ454" i="22"/>
  <c r="AU454" i="22"/>
  <c r="AP455" i="22"/>
  <c r="AT455" i="22"/>
  <c r="AO456" i="22"/>
  <c r="AS456" i="22"/>
  <c r="AN457" i="22"/>
  <c r="AR457" i="22"/>
  <c r="AM458" i="22"/>
  <c r="AQ458" i="22"/>
  <c r="AU458" i="22"/>
  <c r="AP459" i="22"/>
  <c r="AT459" i="22"/>
  <c r="AO460" i="22"/>
  <c r="AS460" i="22"/>
  <c r="AN461" i="22"/>
  <c r="AR461" i="22"/>
  <c r="AM462" i="22"/>
  <c r="AQ462" i="22"/>
  <c r="AU462" i="22"/>
  <c r="AP463" i="22"/>
  <c r="AT463" i="22"/>
  <c r="AO464" i="22"/>
  <c r="AS464" i="22"/>
  <c r="AN465" i="22"/>
  <c r="AR465" i="22"/>
  <c r="AM466" i="22"/>
  <c r="AQ466" i="22"/>
  <c r="AU466" i="22"/>
  <c r="AP467" i="22"/>
  <c r="AT467" i="22"/>
  <c r="AO468" i="22"/>
  <c r="AS468" i="22"/>
  <c r="AN469" i="22"/>
  <c r="AR469" i="22"/>
  <c r="AM470" i="22"/>
  <c r="AQ470" i="22"/>
  <c r="AU470" i="22"/>
  <c r="AP471" i="22"/>
  <c r="AT471" i="22"/>
  <c r="AO472" i="22"/>
  <c r="AS472" i="22"/>
  <c r="AN473" i="22"/>
  <c r="AR473" i="22"/>
  <c r="AM474" i="22"/>
  <c r="AQ474" i="22"/>
  <c r="AU474" i="22"/>
  <c r="AP475" i="22"/>
  <c r="AT475" i="22"/>
  <c r="AO476" i="22"/>
  <c r="AS476" i="22"/>
  <c r="AN477" i="22"/>
  <c r="AR477" i="22"/>
  <c r="AM478" i="22"/>
  <c r="AQ478" i="22"/>
  <c r="AU478" i="22"/>
  <c r="AP479" i="22"/>
  <c r="AT479" i="22"/>
  <c r="AO480" i="22"/>
  <c r="AS480" i="22"/>
  <c r="AN481" i="22"/>
  <c r="AR481" i="22"/>
  <c r="AM482" i="22"/>
  <c r="AQ482" i="22"/>
  <c r="AU482" i="22"/>
  <c r="AP483" i="22"/>
  <c r="AT483" i="22"/>
  <c r="AO484" i="22"/>
  <c r="AS484" i="22"/>
  <c r="AN485" i="22"/>
  <c r="AR485" i="22"/>
  <c r="AM486" i="22"/>
  <c r="AQ486" i="22"/>
  <c r="AU486" i="22"/>
  <c r="AP487" i="22"/>
  <c r="AT487" i="22"/>
  <c r="AO488" i="22"/>
  <c r="AS488" i="22"/>
  <c r="AN489" i="22"/>
  <c r="AR489" i="22"/>
  <c r="AM490" i="22"/>
  <c r="AQ490" i="22"/>
  <c r="AU490" i="22"/>
  <c r="AP491" i="22"/>
  <c r="AT491" i="22"/>
  <c r="AO492" i="22"/>
  <c r="AS492" i="22"/>
  <c r="AN493" i="22"/>
  <c r="AR493" i="22"/>
  <c r="AM494" i="22"/>
  <c r="AQ494" i="22"/>
  <c r="AU494" i="22"/>
  <c r="AP495" i="22"/>
  <c r="AT495" i="22"/>
  <c r="AO496" i="22"/>
  <c r="AS496" i="22"/>
  <c r="AN497" i="22"/>
  <c r="AR497" i="22"/>
  <c r="AM498" i="22"/>
  <c r="AQ498" i="22"/>
  <c r="AU498" i="22"/>
  <c r="AP499" i="22"/>
  <c r="AT499" i="22"/>
  <c r="AO500" i="22"/>
  <c r="AS500" i="22"/>
  <c r="AN501" i="22"/>
  <c r="AR501" i="22"/>
  <c r="AM502" i="22"/>
  <c r="AQ502" i="22"/>
  <c r="AU502" i="22"/>
  <c r="AP503" i="22"/>
  <c r="AT503" i="22"/>
  <c r="AO504" i="22"/>
  <c r="AS504" i="22"/>
  <c r="AN505" i="22"/>
  <c r="AR505" i="22"/>
  <c r="AM506" i="22"/>
  <c r="AQ506" i="22"/>
  <c r="AU506" i="22"/>
  <c r="AP507" i="22"/>
  <c r="AT507" i="22"/>
  <c r="AO508" i="22"/>
  <c r="AS508" i="22"/>
  <c r="AO8" i="22"/>
  <c r="AS8" i="22"/>
  <c r="AL9" i="22"/>
  <c r="AL13" i="22"/>
  <c r="AL17" i="22"/>
  <c r="AR274" i="22"/>
  <c r="AS281" i="22"/>
  <c r="AT288" i="22"/>
  <c r="AU295" i="22"/>
  <c r="AM303" i="22"/>
  <c r="AN310" i="22"/>
  <c r="AU314" i="22"/>
  <c r="AS316" i="22"/>
  <c r="AQ318" i="22"/>
  <c r="AO320" i="22"/>
  <c r="AM322" i="22"/>
  <c r="AT323" i="22"/>
  <c r="AR325" i="22"/>
  <c r="AP327" i="22"/>
  <c r="AN329" i="22"/>
  <c r="AU330" i="22"/>
  <c r="AS332" i="22"/>
  <c r="AQ334" i="22"/>
  <c r="AO336" i="22"/>
  <c r="AM338" i="22"/>
  <c r="AT339" i="22"/>
  <c r="AR341" i="22"/>
  <c r="AP343" i="22"/>
  <c r="AN345" i="22"/>
  <c r="AU346" i="22"/>
  <c r="AS348" i="22"/>
  <c r="AQ350" i="22"/>
  <c r="AO352" i="22"/>
  <c r="AM354" i="22"/>
  <c r="AT355" i="22"/>
  <c r="AR357" i="22"/>
  <c r="AP359" i="22"/>
  <c r="AN361" i="22"/>
  <c r="AU362" i="22"/>
  <c r="AS364" i="22"/>
  <c r="AQ366" i="22"/>
  <c r="AO368" i="22"/>
  <c r="AM370" i="22"/>
  <c r="AT371" i="22"/>
  <c r="AR373" i="22"/>
  <c r="AP375" i="22"/>
  <c r="AN377" i="22"/>
  <c r="AQ378" i="22"/>
  <c r="AM379" i="22"/>
  <c r="AQ379" i="22"/>
  <c r="AU379" i="22"/>
  <c r="AP380" i="22"/>
  <c r="AT380" i="22"/>
  <c r="AO381" i="22"/>
  <c r="AS381" i="22"/>
  <c r="AN382" i="22"/>
  <c r="AR382" i="22"/>
  <c r="AM383" i="22"/>
  <c r="AQ383" i="22"/>
  <c r="AU383" i="22"/>
  <c r="AP384" i="22"/>
  <c r="AT384" i="22"/>
  <c r="AO385" i="22"/>
  <c r="AS385" i="22"/>
  <c r="AN386" i="22"/>
  <c r="AR386" i="22"/>
  <c r="AM387" i="22"/>
  <c r="AQ387" i="22"/>
  <c r="AU387" i="22"/>
  <c r="AP388" i="22"/>
  <c r="AT388" i="22"/>
  <c r="AO389" i="22"/>
  <c r="AS389" i="22"/>
  <c r="AN390" i="22"/>
  <c r="AR390" i="22"/>
  <c r="AM391" i="22"/>
  <c r="AQ391" i="22"/>
  <c r="AU391" i="22"/>
  <c r="AP392" i="22"/>
  <c r="AT392" i="22"/>
  <c r="AO393" i="22"/>
  <c r="AS393" i="22"/>
  <c r="AN394" i="22"/>
  <c r="AR394" i="22"/>
  <c r="AM395" i="22"/>
  <c r="AQ395" i="22"/>
  <c r="AU395" i="22"/>
  <c r="AP396" i="22"/>
  <c r="AT396" i="22"/>
  <c r="AO397" i="22"/>
  <c r="AS397" i="22"/>
  <c r="AN398" i="22"/>
  <c r="AR398" i="22"/>
  <c r="AM399" i="22"/>
  <c r="AQ399" i="22"/>
  <c r="AU399" i="22"/>
  <c r="AP400" i="22"/>
  <c r="AT400" i="22"/>
  <c r="AO401" i="22"/>
  <c r="AS401" i="22"/>
  <c r="AN402" i="22"/>
  <c r="AR402" i="22"/>
  <c r="AM403" i="22"/>
  <c r="AQ403" i="22"/>
  <c r="AU403" i="22"/>
  <c r="AP404" i="22"/>
  <c r="AT404" i="22"/>
  <c r="AO405" i="22"/>
  <c r="AS405" i="22"/>
  <c r="AN406" i="22"/>
  <c r="AR406" i="22"/>
  <c r="AM407" i="22"/>
  <c r="AQ407" i="22"/>
  <c r="AU407" i="22"/>
  <c r="AP408" i="22"/>
  <c r="AT408" i="22"/>
  <c r="AO409" i="22"/>
  <c r="AS409" i="22"/>
  <c r="AN410" i="22"/>
  <c r="AR410" i="22"/>
  <c r="AM411" i="22"/>
  <c r="AQ411" i="22"/>
  <c r="AU411" i="22"/>
  <c r="AP412" i="22"/>
  <c r="AT412" i="22"/>
  <c r="AO413" i="22"/>
  <c r="AS413" i="22"/>
  <c r="AN414" i="22"/>
  <c r="AR414" i="22"/>
  <c r="AM415" i="22"/>
  <c r="AQ415" i="22"/>
  <c r="AU415" i="22"/>
  <c r="AP416" i="22"/>
  <c r="AT416" i="22"/>
  <c r="AO417" i="22"/>
  <c r="AS417" i="22"/>
  <c r="AN418" i="22"/>
  <c r="AR418" i="22"/>
  <c r="AM419" i="22"/>
  <c r="AQ419" i="22"/>
  <c r="AU419" i="22"/>
  <c r="AP420" i="22"/>
  <c r="AT420" i="22"/>
  <c r="AO421" i="22"/>
  <c r="AS421" i="22"/>
  <c r="AN422" i="22"/>
  <c r="AR422" i="22"/>
  <c r="AM423" i="22"/>
  <c r="AQ423" i="22"/>
  <c r="AU423" i="22"/>
  <c r="AP424" i="22"/>
  <c r="AT424" i="22"/>
  <c r="AO425" i="22"/>
  <c r="AS425" i="22"/>
  <c r="AN426" i="22"/>
  <c r="AR426" i="22"/>
  <c r="AM427" i="22"/>
  <c r="AQ427" i="22"/>
  <c r="AU427" i="22"/>
  <c r="AP428" i="22"/>
  <c r="AT428" i="22"/>
  <c r="AO429" i="22"/>
  <c r="AS429" i="22"/>
  <c r="AN430" i="22"/>
  <c r="AR430" i="22"/>
  <c r="AM431" i="22"/>
  <c r="AQ431" i="22"/>
  <c r="AU431" i="22"/>
  <c r="AP432" i="22"/>
  <c r="AT432" i="22"/>
  <c r="AO433" i="22"/>
  <c r="AS433" i="22"/>
  <c r="AN434" i="22"/>
  <c r="AR434" i="22"/>
  <c r="AM435" i="22"/>
  <c r="AQ435" i="22"/>
  <c r="AU435" i="22"/>
  <c r="AP436" i="22"/>
  <c r="AT436" i="22"/>
  <c r="AO437" i="22"/>
  <c r="AS437" i="22"/>
  <c r="AN438" i="22"/>
  <c r="AR438" i="22"/>
  <c r="AM439" i="22"/>
  <c r="AQ439" i="22"/>
  <c r="AU439" i="22"/>
  <c r="AP440" i="22"/>
  <c r="AT440" i="22"/>
  <c r="AO441" i="22"/>
  <c r="AS441" i="22"/>
  <c r="AN442" i="22"/>
  <c r="AR442" i="22"/>
  <c r="AM443" i="22"/>
  <c r="AQ443" i="22"/>
  <c r="AU443" i="22"/>
  <c r="AP444" i="22"/>
  <c r="AT444" i="22"/>
  <c r="AO445" i="22"/>
  <c r="AS445" i="22"/>
  <c r="AN446" i="22"/>
  <c r="AR446" i="22"/>
  <c r="AM447" i="22"/>
  <c r="AQ447" i="22"/>
  <c r="AU447" i="22"/>
  <c r="AP448" i="22"/>
  <c r="AT448" i="22"/>
  <c r="AO449" i="22"/>
  <c r="AS449" i="22"/>
  <c r="AN450" i="22"/>
  <c r="AR450" i="22"/>
  <c r="AM451" i="22"/>
  <c r="AQ451" i="22"/>
  <c r="AU451" i="22"/>
  <c r="AP452" i="22"/>
  <c r="AT452" i="22"/>
  <c r="AO453" i="22"/>
  <c r="AS453" i="22"/>
  <c r="AN454" i="22"/>
  <c r="AR454" i="22"/>
  <c r="AM455" i="22"/>
  <c r="AQ455" i="22"/>
  <c r="AU455" i="22"/>
  <c r="AP456" i="22"/>
  <c r="AT456" i="22"/>
  <c r="AO457" i="22"/>
  <c r="AS457" i="22"/>
  <c r="AN458" i="22"/>
  <c r="AR458" i="22"/>
  <c r="AM459" i="22"/>
  <c r="AQ459" i="22"/>
  <c r="AU459" i="22"/>
  <c r="AP460" i="22"/>
  <c r="AT460" i="22"/>
  <c r="AO461" i="22"/>
  <c r="AS461" i="22"/>
  <c r="AN462" i="22"/>
  <c r="AR462" i="22"/>
  <c r="AM463" i="22"/>
  <c r="AQ463" i="22"/>
  <c r="AU463" i="22"/>
  <c r="AP464" i="22"/>
  <c r="AT464" i="22"/>
  <c r="AO465" i="22"/>
  <c r="AS465" i="22"/>
  <c r="AN466" i="22"/>
  <c r="AR466" i="22"/>
  <c r="AM467" i="22"/>
  <c r="AQ467" i="22"/>
  <c r="AU467" i="22"/>
  <c r="AP468" i="22"/>
  <c r="AT468" i="22"/>
  <c r="AO469" i="22"/>
  <c r="AS469" i="22"/>
  <c r="AN470" i="22"/>
  <c r="AR470" i="22"/>
  <c r="AM471" i="22"/>
  <c r="AQ471" i="22"/>
  <c r="AU471" i="22"/>
  <c r="AP472" i="22"/>
  <c r="AT472" i="22"/>
  <c r="AO473" i="22"/>
  <c r="AS473" i="22"/>
  <c r="AN474" i="22"/>
  <c r="AR474" i="22"/>
  <c r="AM475" i="22"/>
  <c r="AQ475" i="22"/>
  <c r="AU475" i="22"/>
  <c r="AP476" i="22"/>
  <c r="AT476" i="22"/>
  <c r="AO477" i="22"/>
  <c r="AS477" i="22"/>
  <c r="AN478" i="22"/>
  <c r="AR478" i="22"/>
  <c r="AM479" i="22"/>
  <c r="AQ479" i="22"/>
  <c r="AU479" i="22"/>
  <c r="AP480" i="22"/>
  <c r="AT480" i="22"/>
  <c r="AO481" i="22"/>
  <c r="AS481" i="22"/>
  <c r="AN482" i="22"/>
  <c r="AR482" i="22"/>
  <c r="AM483" i="22"/>
  <c r="AQ483" i="22"/>
  <c r="AU483" i="22"/>
  <c r="AP484" i="22"/>
  <c r="AT484" i="22"/>
  <c r="AO485" i="22"/>
  <c r="AS485" i="22"/>
  <c r="AN486" i="22"/>
  <c r="AR486" i="22"/>
  <c r="AM487" i="22"/>
  <c r="AQ487" i="22"/>
  <c r="AU487" i="22"/>
  <c r="AP488" i="22"/>
  <c r="AT488" i="22"/>
  <c r="AO489" i="22"/>
  <c r="AS489" i="22"/>
  <c r="AN490" i="22"/>
  <c r="AR490" i="22"/>
  <c r="AM491" i="22"/>
  <c r="AQ491" i="22"/>
  <c r="AU491" i="22"/>
  <c r="AP492" i="22"/>
  <c r="AT492" i="22"/>
  <c r="AO493" i="22"/>
  <c r="AS493" i="22"/>
  <c r="AN494" i="22"/>
  <c r="AR494" i="22"/>
  <c r="AM495" i="22"/>
  <c r="AQ495" i="22"/>
  <c r="AU495" i="22"/>
  <c r="AP496" i="22"/>
  <c r="AT496" i="22"/>
  <c r="AO497" i="22"/>
  <c r="AS497" i="22"/>
  <c r="AN498" i="22"/>
  <c r="AR498" i="22"/>
  <c r="AM499" i="22"/>
  <c r="AQ499" i="22"/>
  <c r="AU499" i="22"/>
  <c r="AP500" i="22"/>
  <c r="AT500" i="22"/>
  <c r="AO501" i="22"/>
  <c r="AS501" i="22"/>
  <c r="AN502" i="22"/>
  <c r="AR502" i="22"/>
  <c r="AM503" i="22"/>
  <c r="AQ503" i="22"/>
  <c r="AU503" i="22"/>
  <c r="AP504" i="22"/>
  <c r="AT504" i="22"/>
  <c r="AO505" i="22"/>
  <c r="AS505" i="22"/>
  <c r="AN506" i="22"/>
  <c r="AR506" i="22"/>
  <c r="AM507" i="22"/>
  <c r="AQ507" i="22"/>
  <c r="AU507" i="22"/>
  <c r="AP508" i="22"/>
  <c r="AT508" i="22"/>
  <c r="AP8" i="22"/>
  <c r="AT8" i="22"/>
  <c r="AL10" i="22"/>
  <c r="AL14" i="22"/>
  <c r="AL18" i="22"/>
  <c r="AP276" i="22"/>
  <c r="AT304" i="22"/>
  <c r="AU318" i="22"/>
  <c r="AM326" i="22"/>
  <c r="AN333" i="22"/>
  <c r="AO340" i="22"/>
  <c r="AP347" i="22"/>
  <c r="AQ354" i="22"/>
  <c r="AR361" i="22"/>
  <c r="AS368" i="22"/>
  <c r="AT375" i="22"/>
  <c r="AR379" i="22"/>
  <c r="AP381" i="22"/>
  <c r="AN383" i="22"/>
  <c r="AU384" i="22"/>
  <c r="AS386" i="22"/>
  <c r="AQ388" i="22"/>
  <c r="AO390" i="22"/>
  <c r="AM392" i="22"/>
  <c r="AT393" i="22"/>
  <c r="AR395" i="22"/>
  <c r="AP397" i="22"/>
  <c r="AN399" i="22"/>
  <c r="AU400" i="22"/>
  <c r="AS402" i="22"/>
  <c r="AQ404" i="22"/>
  <c r="AO406" i="22"/>
  <c r="AM408" i="22"/>
  <c r="AT409" i="22"/>
  <c r="AR411" i="22"/>
  <c r="AP413" i="22"/>
  <c r="AN415" i="22"/>
  <c r="AU416" i="22"/>
  <c r="AS418" i="22"/>
  <c r="AQ420" i="22"/>
  <c r="AO422" i="22"/>
  <c r="AM424" i="22"/>
  <c r="AT425" i="22"/>
  <c r="AR427" i="22"/>
  <c r="AP429" i="22"/>
  <c r="AN431" i="22"/>
  <c r="AU432" i="22"/>
  <c r="AS434" i="22"/>
  <c r="AQ436" i="22"/>
  <c r="AO438" i="22"/>
  <c r="AM440" i="22"/>
  <c r="AT441" i="22"/>
  <c r="AR443" i="22"/>
  <c r="AP445" i="22"/>
  <c r="AN447" i="22"/>
  <c r="AU448" i="22"/>
  <c r="AS450" i="22"/>
  <c r="AQ452" i="22"/>
  <c r="AO454" i="22"/>
  <c r="AM456" i="22"/>
  <c r="AT457" i="22"/>
  <c r="AR459" i="22"/>
  <c r="AP461" i="22"/>
  <c r="AN463" i="22"/>
  <c r="AU464" i="22"/>
  <c r="AS466" i="22"/>
  <c r="AQ468" i="22"/>
  <c r="AO470" i="22"/>
  <c r="AM472" i="22"/>
  <c r="AT473" i="22"/>
  <c r="AR475" i="22"/>
  <c r="AP477" i="22"/>
  <c r="AN479" i="22"/>
  <c r="AU480" i="22"/>
  <c r="AS482" i="22"/>
  <c r="AQ484" i="22"/>
  <c r="AO486" i="22"/>
  <c r="AM488" i="22"/>
  <c r="AT489" i="22"/>
  <c r="AR491" i="22"/>
  <c r="AP493" i="22"/>
  <c r="AN495" i="22"/>
  <c r="AU496" i="22"/>
  <c r="AS498" i="22"/>
  <c r="AQ500" i="22"/>
  <c r="AO502" i="22"/>
  <c r="AM504" i="22"/>
  <c r="AT505" i="22"/>
  <c r="AR507" i="22"/>
  <c r="AQ8" i="22"/>
  <c r="AL19" i="22"/>
  <c r="AL23" i="22"/>
  <c r="AL27" i="22"/>
  <c r="AL31" i="22"/>
  <c r="AL35" i="22"/>
  <c r="AL39" i="22"/>
  <c r="AL43" i="22"/>
  <c r="AL47" i="22"/>
  <c r="AL51" i="22"/>
  <c r="AL55" i="22"/>
  <c r="AL59" i="22"/>
  <c r="AL63" i="22"/>
  <c r="AL67" i="22"/>
  <c r="AL71" i="22"/>
  <c r="AL75" i="22"/>
  <c r="AL79" i="22"/>
  <c r="AL83" i="22"/>
  <c r="AL87" i="22"/>
  <c r="AL91" i="22"/>
  <c r="AL95" i="22"/>
  <c r="AL99" i="22"/>
  <c r="AL103" i="22"/>
  <c r="AL107" i="22"/>
  <c r="AL111" i="22"/>
  <c r="AL115" i="22"/>
  <c r="AL119" i="22"/>
  <c r="AL123" i="22"/>
  <c r="AL127" i="22"/>
  <c r="AL131" i="22"/>
  <c r="AL135" i="22"/>
  <c r="AL139" i="22"/>
  <c r="AL143" i="22"/>
  <c r="AL147" i="22"/>
  <c r="AL151" i="22"/>
  <c r="AL155" i="22"/>
  <c r="AL159" i="22"/>
  <c r="AL163" i="22"/>
  <c r="AL167" i="22"/>
  <c r="AL171" i="22"/>
  <c r="AL175" i="22"/>
  <c r="AL179" i="22"/>
  <c r="AL183" i="22"/>
  <c r="AL187" i="22"/>
  <c r="AL191" i="22"/>
  <c r="AL195" i="22"/>
  <c r="AL199" i="22"/>
  <c r="AL203" i="22"/>
  <c r="AL207" i="22"/>
  <c r="AL211" i="22"/>
  <c r="AL215" i="22"/>
  <c r="AL219" i="22"/>
  <c r="AL223" i="22"/>
  <c r="AL227" i="22"/>
  <c r="AL231" i="22"/>
  <c r="AL235" i="22"/>
  <c r="AL239" i="22"/>
  <c r="AL243" i="22"/>
  <c r="AL247" i="22"/>
  <c r="AL251" i="22"/>
  <c r="AL255" i="22"/>
  <c r="AL259" i="22"/>
  <c r="AL263" i="22"/>
  <c r="AL267" i="22"/>
  <c r="AL271" i="22"/>
  <c r="AL275" i="22"/>
  <c r="AL279" i="22"/>
  <c r="AL283" i="22"/>
  <c r="AL287" i="22"/>
  <c r="AL291" i="22"/>
  <c r="AL295" i="22"/>
  <c r="AL299" i="22"/>
  <c r="AL303" i="22"/>
  <c r="AL307" i="22"/>
  <c r="AL311" i="22"/>
  <c r="AL315" i="22"/>
  <c r="AL319" i="22"/>
  <c r="AL323" i="22"/>
  <c r="AL327" i="22"/>
  <c r="AL331" i="22"/>
  <c r="AL335" i="22"/>
  <c r="AL339" i="22"/>
  <c r="AL343" i="22"/>
  <c r="AL347" i="22"/>
  <c r="AL351" i="22"/>
  <c r="AL355" i="22"/>
  <c r="AL359" i="22"/>
  <c r="AL363" i="22"/>
  <c r="AL367" i="22"/>
  <c r="AL371" i="22"/>
  <c r="AL375" i="22"/>
  <c r="AL379" i="22"/>
  <c r="AL383" i="22"/>
  <c r="AL387" i="22"/>
  <c r="AL391" i="22"/>
  <c r="AL395" i="22"/>
  <c r="AL399" i="22"/>
  <c r="AL403" i="22"/>
  <c r="AL407" i="22"/>
  <c r="AL411" i="22"/>
  <c r="AL415" i="22"/>
  <c r="AL419" i="22"/>
  <c r="AL423" i="22"/>
  <c r="AL427" i="22"/>
  <c r="AL431" i="22"/>
  <c r="AL435" i="22"/>
  <c r="AL439" i="22"/>
  <c r="AL443" i="22"/>
  <c r="AL447" i="22"/>
  <c r="AL451" i="22"/>
  <c r="AL455" i="22"/>
  <c r="AL459" i="22"/>
  <c r="AL463" i="22"/>
  <c r="AL467" i="22"/>
  <c r="AL471" i="22"/>
  <c r="AL475" i="22"/>
  <c r="AL479" i="22"/>
  <c r="AL483" i="22"/>
  <c r="AL487" i="22"/>
  <c r="AL491" i="22"/>
  <c r="AL495" i="22"/>
  <c r="AL499" i="22"/>
  <c r="AL503" i="22"/>
  <c r="AL507" i="22"/>
  <c r="AN317" i="22"/>
  <c r="AQ338" i="22"/>
  <c r="AS352" i="22"/>
  <c r="AU366" i="22"/>
  <c r="AN379" i="22"/>
  <c r="AU380" i="22"/>
  <c r="AQ384" i="22"/>
  <c r="AM388" i="22"/>
  <c r="AR391" i="22"/>
  <c r="AU396" i="22"/>
  <c r="AO402" i="22"/>
  <c r="AR407" i="22"/>
  <c r="AN411" i="22"/>
  <c r="AQ416" i="22"/>
  <c r="AT421" i="22"/>
  <c r="AP425" i="22"/>
  <c r="AS430" i="22"/>
  <c r="AM436" i="22"/>
  <c r="AR439" i="22"/>
  <c r="AU444" i="22"/>
  <c r="AM452" i="22"/>
  <c r="AR455" i="22"/>
  <c r="AU460" i="22"/>
  <c r="AT469" i="22"/>
  <c r="AN475" i="22"/>
  <c r="AQ480" i="22"/>
  <c r="AM484" i="22"/>
  <c r="AP489" i="22"/>
  <c r="AO498" i="22"/>
  <c r="AR503" i="22"/>
  <c r="AU508" i="22"/>
  <c r="AL26" i="22"/>
  <c r="AL38" i="22"/>
  <c r="AL50" i="22"/>
  <c r="AL66" i="22"/>
  <c r="AL78" i="22"/>
  <c r="AL86" i="22"/>
  <c r="AL98" i="22"/>
  <c r="AL110" i="22"/>
  <c r="AL118" i="22"/>
  <c r="AL130" i="22"/>
  <c r="AL142" i="22"/>
  <c r="AL154" i="22"/>
  <c r="AL166" i="22"/>
  <c r="AL178" i="22"/>
  <c r="AL190" i="22"/>
  <c r="AL202" i="22"/>
  <c r="AL214" i="22"/>
  <c r="AL226" i="22"/>
  <c r="AL238" i="22"/>
  <c r="AL250" i="22"/>
  <c r="AL262" i="22"/>
  <c r="AL274" i="22"/>
  <c r="AL282" i="22"/>
  <c r="AL294" i="22"/>
  <c r="AL310" i="22"/>
  <c r="AL322" i="22"/>
  <c r="AL334" i="22"/>
  <c r="AL346" i="22"/>
  <c r="AL358" i="22"/>
  <c r="AL370" i="22"/>
  <c r="AL382" i="22"/>
  <c r="AL394" i="22"/>
  <c r="AL406" i="22"/>
  <c r="AL418" i="22"/>
  <c r="AL426" i="22"/>
  <c r="AL434" i="22"/>
  <c r="AL446" i="22"/>
  <c r="AL458" i="22"/>
  <c r="AL470" i="22"/>
  <c r="AL482" i="22"/>
  <c r="AL490" i="22"/>
  <c r="AL502" i="22"/>
  <c r="AQ283" i="22"/>
  <c r="AU311" i="22"/>
  <c r="AS320" i="22"/>
  <c r="AT327" i="22"/>
  <c r="AU334" i="22"/>
  <c r="AM342" i="22"/>
  <c r="AN349" i="22"/>
  <c r="AO356" i="22"/>
  <c r="AP363" i="22"/>
  <c r="AQ370" i="22"/>
  <c r="AR377" i="22"/>
  <c r="AM380" i="22"/>
  <c r="AT381" i="22"/>
  <c r="AR383" i="22"/>
  <c r="AP385" i="22"/>
  <c r="AN387" i="22"/>
  <c r="AU388" i="22"/>
  <c r="AS390" i="22"/>
  <c r="AQ392" i="22"/>
  <c r="AO394" i="22"/>
  <c r="AM396" i="22"/>
  <c r="AT397" i="22"/>
  <c r="AR399" i="22"/>
  <c r="AP401" i="22"/>
  <c r="AN403" i="22"/>
  <c r="AU404" i="22"/>
  <c r="AS406" i="22"/>
  <c r="AQ408" i="22"/>
  <c r="AO410" i="22"/>
  <c r="AM412" i="22"/>
  <c r="AT413" i="22"/>
  <c r="AR415" i="22"/>
  <c r="AP417" i="22"/>
  <c r="AN419" i="22"/>
  <c r="AU420" i="22"/>
  <c r="AS422" i="22"/>
  <c r="AQ424" i="22"/>
  <c r="AO426" i="22"/>
  <c r="AM428" i="22"/>
  <c r="AT429" i="22"/>
  <c r="AR431" i="22"/>
  <c r="AP433" i="22"/>
  <c r="AN435" i="22"/>
  <c r="AU436" i="22"/>
  <c r="AS438" i="22"/>
  <c r="AQ440" i="22"/>
  <c r="AO442" i="22"/>
  <c r="AM444" i="22"/>
  <c r="AT445" i="22"/>
  <c r="AR447" i="22"/>
  <c r="AP449" i="22"/>
  <c r="AN451" i="22"/>
  <c r="AU452" i="22"/>
  <c r="AS454" i="22"/>
  <c r="AQ456" i="22"/>
  <c r="AO458" i="22"/>
  <c r="AM460" i="22"/>
  <c r="AT461" i="22"/>
  <c r="AR463" i="22"/>
  <c r="AP465" i="22"/>
  <c r="AN467" i="22"/>
  <c r="AU468" i="22"/>
  <c r="AS470" i="22"/>
  <c r="AQ472" i="22"/>
  <c r="AO474" i="22"/>
  <c r="AM476" i="22"/>
  <c r="AT477" i="22"/>
  <c r="AR479" i="22"/>
  <c r="AP481" i="22"/>
  <c r="AN483" i="22"/>
  <c r="AU484" i="22"/>
  <c r="AS486" i="22"/>
  <c r="AQ488" i="22"/>
  <c r="AO490" i="22"/>
  <c r="AM492" i="22"/>
  <c r="AT493" i="22"/>
  <c r="AR495" i="22"/>
  <c r="AP497" i="22"/>
  <c r="AN499" i="22"/>
  <c r="AU500" i="22"/>
  <c r="AS502" i="22"/>
  <c r="AQ504" i="22"/>
  <c r="AO506" i="22"/>
  <c r="AM508" i="22"/>
  <c r="AU8" i="22"/>
  <c r="AL20" i="22"/>
  <c r="AL24" i="22"/>
  <c r="AL28" i="22"/>
  <c r="AL32" i="22"/>
  <c r="AL36" i="22"/>
  <c r="AL40" i="22"/>
  <c r="AL44" i="22"/>
  <c r="AL48" i="22"/>
  <c r="AL52" i="22"/>
  <c r="AL56" i="22"/>
  <c r="AL60" i="22"/>
  <c r="AL64" i="22"/>
  <c r="AL68" i="22"/>
  <c r="AL72" i="22"/>
  <c r="AL76" i="22"/>
  <c r="AL80" i="22"/>
  <c r="AL84" i="22"/>
  <c r="AL88" i="22"/>
  <c r="AL92" i="22"/>
  <c r="AL96" i="22"/>
  <c r="AL100" i="22"/>
  <c r="AL104" i="22"/>
  <c r="AL108" i="22"/>
  <c r="AL112" i="22"/>
  <c r="AL116" i="22"/>
  <c r="AL120" i="22"/>
  <c r="AL124" i="22"/>
  <c r="AL128" i="22"/>
  <c r="AL132" i="22"/>
  <c r="AL136" i="22"/>
  <c r="AL140" i="22"/>
  <c r="AL144" i="22"/>
  <c r="AL148" i="22"/>
  <c r="AL152" i="22"/>
  <c r="AL156" i="22"/>
  <c r="AL160" i="22"/>
  <c r="AL164" i="22"/>
  <c r="AL168" i="22"/>
  <c r="AL172" i="22"/>
  <c r="AL176" i="22"/>
  <c r="AL180" i="22"/>
  <c r="AL184" i="22"/>
  <c r="AL188" i="22"/>
  <c r="AL192" i="22"/>
  <c r="AL196" i="22"/>
  <c r="AL200" i="22"/>
  <c r="AL204" i="22"/>
  <c r="AL208" i="22"/>
  <c r="AL212" i="22"/>
  <c r="AL216" i="22"/>
  <c r="AL220" i="22"/>
  <c r="AL224" i="22"/>
  <c r="AL228" i="22"/>
  <c r="AL232" i="22"/>
  <c r="AL236" i="22"/>
  <c r="AL240" i="22"/>
  <c r="AL244" i="22"/>
  <c r="AL248" i="22"/>
  <c r="AL252" i="22"/>
  <c r="AL256" i="22"/>
  <c r="AL260" i="22"/>
  <c r="AL264" i="22"/>
  <c r="AL268" i="22"/>
  <c r="AL272" i="22"/>
  <c r="AL276" i="22"/>
  <c r="AL280" i="22"/>
  <c r="AL284" i="22"/>
  <c r="AL288" i="22"/>
  <c r="AL292" i="22"/>
  <c r="AL296" i="22"/>
  <c r="AL300" i="22"/>
  <c r="AL304" i="22"/>
  <c r="AL308" i="22"/>
  <c r="AL312" i="22"/>
  <c r="AL316" i="22"/>
  <c r="AL320" i="22"/>
  <c r="AL324" i="22"/>
  <c r="AL328" i="22"/>
  <c r="AL332" i="22"/>
  <c r="AL336" i="22"/>
  <c r="AL340" i="22"/>
  <c r="AL344" i="22"/>
  <c r="AL348" i="22"/>
  <c r="AL352" i="22"/>
  <c r="AL356" i="22"/>
  <c r="AL360" i="22"/>
  <c r="AL364" i="22"/>
  <c r="AL368" i="22"/>
  <c r="AL372" i="22"/>
  <c r="AL376" i="22"/>
  <c r="AL380" i="22"/>
  <c r="AL384" i="22"/>
  <c r="AL388" i="22"/>
  <c r="AL392" i="22"/>
  <c r="AL396" i="22"/>
  <c r="AL400" i="22"/>
  <c r="AL404" i="22"/>
  <c r="AL408" i="22"/>
  <c r="AL412" i="22"/>
  <c r="AL416" i="22"/>
  <c r="AL420" i="22"/>
  <c r="AL424" i="22"/>
  <c r="AL428" i="22"/>
  <c r="AL432" i="22"/>
  <c r="AL436" i="22"/>
  <c r="AL440" i="22"/>
  <c r="AL444" i="22"/>
  <c r="AL448" i="22"/>
  <c r="AL452" i="22"/>
  <c r="AL456" i="22"/>
  <c r="AL460" i="22"/>
  <c r="AL464" i="22"/>
  <c r="AL468" i="22"/>
  <c r="AL472" i="22"/>
  <c r="AL476" i="22"/>
  <c r="AL480" i="22"/>
  <c r="AL484" i="22"/>
  <c r="AL488" i="22"/>
  <c r="AL492" i="22"/>
  <c r="AL496" i="22"/>
  <c r="AL500" i="22"/>
  <c r="AL504" i="22"/>
  <c r="AL508" i="22"/>
  <c r="AO324" i="22"/>
  <c r="AP331" i="22"/>
  <c r="AR345" i="22"/>
  <c r="AT359" i="22"/>
  <c r="AM374" i="22"/>
  <c r="AS382" i="22"/>
  <c r="AO386" i="22"/>
  <c r="AT389" i="22"/>
  <c r="AN395" i="22"/>
  <c r="AS398" i="22"/>
  <c r="AM404" i="22"/>
  <c r="AP409" i="22"/>
  <c r="AS414" i="22"/>
  <c r="AM420" i="22"/>
  <c r="AN427" i="22"/>
  <c r="AO434" i="22"/>
  <c r="AP441" i="22"/>
  <c r="AS446" i="22"/>
  <c r="AO450" i="22"/>
  <c r="AP457" i="22"/>
  <c r="AS462" i="22"/>
  <c r="AM468" i="22"/>
  <c r="AP473" i="22"/>
  <c r="AS478" i="22"/>
  <c r="AT485" i="22"/>
  <c r="AN491" i="22"/>
  <c r="AS494" i="22"/>
  <c r="AM500" i="22"/>
  <c r="AP505" i="22"/>
  <c r="AL15" i="22"/>
  <c r="AL30" i="22"/>
  <c r="AL42" i="22"/>
  <c r="AL54" i="22"/>
  <c r="AL62" i="22"/>
  <c r="AL74" i="22"/>
  <c r="AL90" i="22"/>
  <c r="AL102" i="22"/>
  <c r="AL114" i="22"/>
  <c r="AL126" i="22"/>
  <c r="AL138" i="22"/>
  <c r="AL150" i="22"/>
  <c r="AL162" i="22"/>
  <c r="AL174" i="22"/>
  <c r="AL186" i="22"/>
  <c r="AL194" i="22"/>
  <c r="AL206" i="22"/>
  <c r="AL218" i="22"/>
  <c r="AL230" i="22"/>
  <c r="AL242" i="22"/>
  <c r="AL258" i="22"/>
  <c r="AL270" i="22"/>
  <c r="AL286" i="22"/>
  <c r="AL298" i="22"/>
  <c r="AL306" i="22"/>
  <c r="AL318" i="22"/>
  <c r="AL330" i="22"/>
  <c r="AL342" i="22"/>
  <c r="AL354" i="22"/>
  <c r="AL366" i="22"/>
  <c r="AL378" i="22"/>
  <c r="AL390" i="22"/>
  <c r="AL402" i="22"/>
  <c r="AL414" i="22"/>
  <c r="AL430" i="22"/>
  <c r="AL442" i="22"/>
  <c r="AL454" i="22"/>
  <c r="AL466" i="22"/>
  <c r="AL478" i="22"/>
  <c r="AL494" i="22"/>
  <c r="AL506" i="22"/>
  <c r="AR290" i="22"/>
  <c r="AP315" i="22"/>
  <c r="AQ322" i="22"/>
  <c r="AR329" i="22"/>
  <c r="AS336" i="22"/>
  <c r="AT343" i="22"/>
  <c r="AU350" i="22"/>
  <c r="AM358" i="22"/>
  <c r="AN365" i="22"/>
  <c r="AO372" i="22"/>
  <c r="AS378" i="22"/>
  <c r="AQ380" i="22"/>
  <c r="AO382" i="22"/>
  <c r="AM384" i="22"/>
  <c r="AT385" i="22"/>
  <c r="AR387" i="22"/>
  <c r="AP389" i="22"/>
  <c r="AN391" i="22"/>
  <c r="AU392" i="22"/>
  <c r="AS394" i="22"/>
  <c r="AQ396" i="22"/>
  <c r="AO398" i="22"/>
  <c r="AM400" i="22"/>
  <c r="AT401" i="22"/>
  <c r="AR403" i="22"/>
  <c r="AP405" i="22"/>
  <c r="AN407" i="22"/>
  <c r="AU408" i="22"/>
  <c r="AS410" i="22"/>
  <c r="AQ412" i="22"/>
  <c r="AO414" i="22"/>
  <c r="AM416" i="22"/>
  <c r="AT417" i="22"/>
  <c r="AR419" i="22"/>
  <c r="AP421" i="22"/>
  <c r="AN423" i="22"/>
  <c r="AU424" i="22"/>
  <c r="AS426" i="22"/>
  <c r="AQ428" i="22"/>
  <c r="AO430" i="22"/>
  <c r="AM432" i="22"/>
  <c r="AT433" i="22"/>
  <c r="AR435" i="22"/>
  <c r="AP437" i="22"/>
  <c r="AN439" i="22"/>
  <c r="AU440" i="22"/>
  <c r="AS442" i="22"/>
  <c r="AQ444" i="22"/>
  <c r="AO446" i="22"/>
  <c r="AM448" i="22"/>
  <c r="AT449" i="22"/>
  <c r="AR451" i="22"/>
  <c r="AP453" i="22"/>
  <c r="AN455" i="22"/>
  <c r="AU456" i="22"/>
  <c r="AS458" i="22"/>
  <c r="AQ460" i="22"/>
  <c r="AO462" i="22"/>
  <c r="AM464" i="22"/>
  <c r="AT465" i="22"/>
  <c r="AR467" i="22"/>
  <c r="AP469" i="22"/>
  <c r="AN471" i="22"/>
  <c r="AU472" i="22"/>
  <c r="AS474" i="22"/>
  <c r="AQ476" i="22"/>
  <c r="AO478" i="22"/>
  <c r="AM480" i="22"/>
  <c r="AT481" i="22"/>
  <c r="AR483" i="22"/>
  <c r="AP485" i="22"/>
  <c r="AN487" i="22"/>
  <c r="AU488" i="22"/>
  <c r="AS490" i="22"/>
  <c r="AQ492" i="22"/>
  <c r="AO494" i="22"/>
  <c r="AM496" i="22"/>
  <c r="AT497" i="22"/>
  <c r="AR499" i="22"/>
  <c r="AP501" i="22"/>
  <c r="AN503" i="22"/>
  <c r="AU504" i="22"/>
  <c r="AS506" i="22"/>
  <c r="AQ508" i="22"/>
  <c r="AL11" i="22"/>
  <c r="AL21" i="22"/>
  <c r="AL25" i="22"/>
  <c r="AL29" i="22"/>
  <c r="AL33" i="22"/>
  <c r="AL37" i="22"/>
  <c r="AL41" i="22"/>
  <c r="AL45" i="22"/>
  <c r="AL49" i="22"/>
  <c r="AL53" i="22"/>
  <c r="AL57" i="22"/>
  <c r="AL61" i="22"/>
  <c r="AL65" i="22"/>
  <c r="AL69" i="22"/>
  <c r="AL73" i="22"/>
  <c r="AL77" i="22"/>
  <c r="AL81" i="22"/>
  <c r="AL85" i="22"/>
  <c r="AL89" i="22"/>
  <c r="AL93" i="22"/>
  <c r="AL97" i="22"/>
  <c r="AL101" i="22"/>
  <c r="AL105" i="22"/>
  <c r="AL109" i="22"/>
  <c r="AL113" i="22"/>
  <c r="AL117" i="22"/>
  <c r="AL121" i="22"/>
  <c r="AL125" i="22"/>
  <c r="AL129" i="22"/>
  <c r="AL133" i="22"/>
  <c r="AL137" i="22"/>
  <c r="AL141" i="22"/>
  <c r="AL145" i="22"/>
  <c r="AL149" i="22"/>
  <c r="AL153" i="22"/>
  <c r="AL157" i="22"/>
  <c r="AL161" i="22"/>
  <c r="AL165" i="22"/>
  <c r="AL169" i="22"/>
  <c r="AL173" i="22"/>
  <c r="AL177" i="22"/>
  <c r="AL181" i="22"/>
  <c r="AL185" i="22"/>
  <c r="AL189" i="22"/>
  <c r="AL193" i="22"/>
  <c r="AL197" i="22"/>
  <c r="AL201" i="22"/>
  <c r="AL205" i="22"/>
  <c r="AL209" i="22"/>
  <c r="AL213" i="22"/>
  <c r="AL217" i="22"/>
  <c r="AL221" i="22"/>
  <c r="AL225" i="22"/>
  <c r="AL229" i="22"/>
  <c r="AL233" i="22"/>
  <c r="AL237" i="22"/>
  <c r="AL241" i="22"/>
  <c r="AL245" i="22"/>
  <c r="AL249" i="22"/>
  <c r="AL253" i="22"/>
  <c r="AL257" i="22"/>
  <c r="AL261" i="22"/>
  <c r="AL265" i="22"/>
  <c r="AL269" i="22"/>
  <c r="AL273" i="22"/>
  <c r="AL277" i="22"/>
  <c r="AL281" i="22"/>
  <c r="AL285" i="22"/>
  <c r="AL289" i="22"/>
  <c r="AL293" i="22"/>
  <c r="AL297" i="22"/>
  <c r="AL301" i="22"/>
  <c r="AL305" i="22"/>
  <c r="AL309" i="22"/>
  <c r="AL313" i="22"/>
  <c r="AL317" i="22"/>
  <c r="AL321" i="22"/>
  <c r="AL325" i="22"/>
  <c r="AL329" i="22"/>
  <c r="AL333" i="22"/>
  <c r="AL337" i="22"/>
  <c r="AL341" i="22"/>
  <c r="AL345" i="22"/>
  <c r="AL349" i="22"/>
  <c r="AL353" i="22"/>
  <c r="AL357" i="22"/>
  <c r="AL361" i="22"/>
  <c r="AL365" i="22"/>
  <c r="AL369" i="22"/>
  <c r="AL373" i="22"/>
  <c r="AL377" i="22"/>
  <c r="AL381" i="22"/>
  <c r="AL385" i="22"/>
  <c r="AL389" i="22"/>
  <c r="AL393" i="22"/>
  <c r="AL397" i="22"/>
  <c r="AL401" i="22"/>
  <c r="AL405" i="22"/>
  <c r="AL409" i="22"/>
  <c r="AL413" i="22"/>
  <c r="AL417" i="22"/>
  <c r="AL421" i="22"/>
  <c r="AL425" i="22"/>
  <c r="AL429" i="22"/>
  <c r="AL433" i="22"/>
  <c r="AL437" i="22"/>
  <c r="AL441" i="22"/>
  <c r="AL445" i="22"/>
  <c r="AL449" i="22"/>
  <c r="AL453" i="22"/>
  <c r="AL457" i="22"/>
  <c r="AL461" i="22"/>
  <c r="AL465" i="22"/>
  <c r="AL469" i="22"/>
  <c r="AL473" i="22"/>
  <c r="AL477" i="22"/>
  <c r="AL481" i="22"/>
  <c r="AL485" i="22"/>
  <c r="AL489" i="22"/>
  <c r="AL493" i="22"/>
  <c r="AL497" i="22"/>
  <c r="AL501" i="22"/>
  <c r="AL505" i="22"/>
  <c r="AL8" i="22"/>
  <c r="AS297" i="22"/>
  <c r="AP393" i="22"/>
  <c r="AQ400" i="22"/>
  <c r="AT405" i="22"/>
  <c r="AU412" i="22"/>
  <c r="AO418" i="22"/>
  <c r="AR423" i="22"/>
  <c r="AU428" i="22"/>
  <c r="AQ432" i="22"/>
  <c r="AT437" i="22"/>
  <c r="AN443" i="22"/>
  <c r="AQ448" i="22"/>
  <c r="AT453" i="22"/>
  <c r="AN459" i="22"/>
  <c r="AQ464" i="22"/>
  <c r="AO466" i="22"/>
  <c r="AR471" i="22"/>
  <c r="AU476" i="22"/>
  <c r="AO482" i="22"/>
  <c r="AR487" i="22"/>
  <c r="AU492" i="22"/>
  <c r="AQ496" i="22"/>
  <c r="AT501" i="22"/>
  <c r="AN507" i="22"/>
  <c r="AL22" i="22"/>
  <c r="AL34" i="22"/>
  <c r="AL46" i="22"/>
  <c r="AL58" i="22"/>
  <c r="AL70" i="22"/>
  <c r="AL82" i="22"/>
  <c r="AL94" i="22"/>
  <c r="AL106" i="22"/>
  <c r="AL122" i="22"/>
  <c r="AL134" i="22"/>
  <c r="AL146" i="22"/>
  <c r="AL158" i="22"/>
  <c r="AL170" i="22"/>
  <c r="AL182" i="22"/>
  <c r="AL198" i="22"/>
  <c r="AL210" i="22"/>
  <c r="AL222" i="22"/>
  <c r="AL234" i="22"/>
  <c r="AL246" i="22"/>
  <c r="AL254" i="22"/>
  <c r="AL266" i="22"/>
  <c r="AL278" i="22"/>
  <c r="AL290" i="22"/>
  <c r="AL302" i="22"/>
  <c r="AL314" i="22"/>
  <c r="AL326" i="22"/>
  <c r="AL338" i="22"/>
  <c r="AL350" i="22"/>
  <c r="AL362" i="22"/>
  <c r="AL374" i="22"/>
  <c r="AL386" i="22"/>
  <c r="AL398" i="22"/>
  <c r="AL410" i="22"/>
  <c r="AL422" i="22"/>
  <c r="AL438" i="22"/>
  <c r="AL450" i="22"/>
  <c r="AL462" i="22"/>
  <c r="AL474" i="22"/>
  <c r="AL486" i="22"/>
  <c r="AL498" i="22"/>
  <c r="G9" i="23"/>
  <c r="U10" i="23"/>
  <c r="F9" i="23"/>
  <c r="J15" i="23"/>
  <c r="J16" i="23"/>
  <c r="J11" i="23"/>
  <c r="J17" i="23"/>
  <c r="J13" i="23"/>
  <c r="J10" i="23"/>
  <c r="R10" i="23"/>
  <c r="T10" i="23"/>
  <c r="H10" i="23"/>
  <c r="F5" i="25"/>
  <c r="J14" i="23"/>
  <c r="J12" i="23"/>
  <c r="Y9" i="22"/>
  <c r="Y10" i="22"/>
  <c r="Y11" i="22"/>
  <c r="Y12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Y28" i="22"/>
  <c r="Y29" i="22"/>
  <c r="Y30" i="22"/>
  <c r="Y31" i="22"/>
  <c r="Y32" i="22"/>
  <c r="Y33" i="22"/>
  <c r="Y34" i="22"/>
  <c r="Y35" i="22"/>
  <c r="Y36" i="22"/>
  <c r="Y37" i="22"/>
  <c r="Y38" i="22"/>
  <c r="Y39" i="22"/>
  <c r="Y40" i="22"/>
  <c r="Y41" i="22"/>
  <c r="Y42" i="22"/>
  <c r="Y43" i="22"/>
  <c r="Y44" i="22"/>
  <c r="Y45" i="22"/>
  <c r="Y46" i="22"/>
  <c r="Y47" i="22"/>
  <c r="Y48" i="22"/>
  <c r="Y49" i="22"/>
  <c r="Y50" i="22"/>
  <c r="Y51" i="22"/>
  <c r="Y52" i="22"/>
  <c r="Y53" i="22"/>
  <c r="Y54" i="22"/>
  <c r="Y55" i="22"/>
  <c r="Y56" i="22"/>
  <c r="Y57" i="22"/>
  <c r="Y58" i="22"/>
  <c r="Y8" i="22"/>
  <c r="BG9" i="22"/>
  <c r="BS9" i="22"/>
  <c r="M25" i="20"/>
  <c r="BG10" i="22"/>
  <c r="BS10" i="22"/>
  <c r="M26" i="20"/>
  <c r="BG11" i="22"/>
  <c r="BS11" i="22"/>
  <c r="M27" i="20"/>
  <c r="BG12" i="22"/>
  <c r="BS12" i="22"/>
  <c r="M28" i="20"/>
  <c r="BG13" i="22"/>
  <c r="BS13" i="22"/>
  <c r="M29" i="20"/>
  <c r="BG14" i="22"/>
  <c r="BS14" i="22"/>
  <c r="M30" i="20"/>
  <c r="BG15" i="22"/>
  <c r="BS15" i="22"/>
  <c r="M31" i="20"/>
  <c r="BG16" i="22"/>
  <c r="BS16" i="22"/>
  <c r="M32" i="20"/>
  <c r="BG17" i="22"/>
  <c r="BS17" i="22"/>
  <c r="M33" i="20"/>
  <c r="BG18" i="22"/>
  <c r="BS18" i="22"/>
  <c r="M34" i="20"/>
  <c r="BG19" i="22"/>
  <c r="BS19" i="22"/>
  <c r="M35" i="20"/>
  <c r="BG20" i="22"/>
  <c r="BS20" i="22"/>
  <c r="M36" i="20"/>
  <c r="BG21" i="22"/>
  <c r="BS21" i="22"/>
  <c r="M37" i="20"/>
  <c r="BG22" i="22"/>
  <c r="BS22" i="22"/>
  <c r="M38" i="20"/>
  <c r="BG23" i="22"/>
  <c r="BS23" i="22"/>
  <c r="M39" i="20"/>
  <c r="BG24" i="22"/>
  <c r="BS24" i="22"/>
  <c r="M40" i="20"/>
  <c r="BG25" i="22"/>
  <c r="BS25" i="22"/>
  <c r="M41" i="20"/>
  <c r="BG26" i="22"/>
  <c r="BS26" i="22"/>
  <c r="M42" i="20"/>
  <c r="BG27" i="22"/>
  <c r="BS27" i="22"/>
  <c r="M43" i="20"/>
  <c r="BG28" i="22"/>
  <c r="BS28" i="22"/>
  <c r="M44" i="20"/>
  <c r="BG29" i="22"/>
  <c r="BS29" i="22"/>
  <c r="M45" i="20"/>
  <c r="BG30" i="22"/>
  <c r="BS30" i="22"/>
  <c r="M46" i="20"/>
  <c r="BG31" i="22"/>
  <c r="BS31" i="22"/>
  <c r="M47" i="20"/>
  <c r="BG32" i="22"/>
  <c r="BS32" i="22"/>
  <c r="M48" i="20"/>
  <c r="BG33" i="22"/>
  <c r="BS33" i="22"/>
  <c r="M49" i="20"/>
  <c r="BG34" i="22"/>
  <c r="BS34" i="22"/>
  <c r="M50" i="20"/>
  <c r="BG35" i="22"/>
  <c r="BS35" i="22"/>
  <c r="M51" i="20"/>
  <c r="BG36" i="22"/>
  <c r="BS36" i="22"/>
  <c r="M52" i="20"/>
  <c r="BG37" i="22"/>
  <c r="BS37" i="22"/>
  <c r="M53" i="20"/>
  <c r="BG38" i="22"/>
  <c r="BS38" i="22"/>
  <c r="M54" i="20"/>
  <c r="BG39" i="22"/>
  <c r="BS39" i="22"/>
  <c r="M55" i="20"/>
  <c r="BG40" i="22"/>
  <c r="BS40" i="22"/>
  <c r="M56" i="20"/>
  <c r="BG41" i="22"/>
  <c r="BS41" i="22"/>
  <c r="M57" i="20"/>
  <c r="BG42" i="22"/>
  <c r="BS42" i="22"/>
  <c r="M58" i="20"/>
  <c r="BG43" i="22"/>
  <c r="BS43" i="22"/>
  <c r="M59" i="20"/>
  <c r="BG44" i="22"/>
  <c r="BS44" i="22"/>
  <c r="M60" i="20"/>
  <c r="BG45" i="22"/>
  <c r="BS45" i="22"/>
  <c r="M61" i="20"/>
  <c r="BG46" i="22"/>
  <c r="BS46" i="22"/>
  <c r="M62" i="20"/>
  <c r="BG47" i="22"/>
  <c r="BS47" i="22"/>
  <c r="M63" i="20"/>
  <c r="BG48" i="22"/>
  <c r="BS48" i="22"/>
  <c r="M64" i="20"/>
  <c r="BG49" i="22"/>
  <c r="BS49" i="22"/>
  <c r="M65" i="20"/>
  <c r="BG50" i="22"/>
  <c r="BS50" i="22"/>
  <c r="M66" i="20"/>
  <c r="BG51" i="22"/>
  <c r="BS51" i="22"/>
  <c r="M67" i="20"/>
  <c r="BG52" i="22"/>
  <c r="BS52" i="22"/>
  <c r="M68" i="20"/>
  <c r="BG53" i="22"/>
  <c r="BS53" i="22"/>
  <c r="M69" i="20"/>
  <c r="BG54" i="22"/>
  <c r="BS54" i="22"/>
  <c r="M70" i="20"/>
  <c r="BG55" i="22"/>
  <c r="BS55" i="22"/>
  <c r="M71" i="20"/>
  <c r="BG56" i="22"/>
  <c r="BS56" i="22"/>
  <c r="M72" i="20"/>
  <c r="BG57" i="22"/>
  <c r="BS57" i="22"/>
  <c r="M73" i="20"/>
  <c r="BG58" i="22"/>
  <c r="BS58" i="22"/>
  <c r="M74" i="20"/>
  <c r="BG59" i="22"/>
  <c r="BS59" i="22"/>
  <c r="M75" i="20"/>
  <c r="BG60" i="22"/>
  <c r="BS60" i="22"/>
  <c r="M76" i="20"/>
  <c r="BG61" i="22"/>
  <c r="BS61" i="22"/>
  <c r="M77" i="20"/>
  <c r="BG62" i="22"/>
  <c r="BS62" i="22"/>
  <c r="M78" i="20"/>
  <c r="BG63" i="22"/>
  <c r="BS63" i="22"/>
  <c r="M79" i="20"/>
  <c r="BG64" i="22"/>
  <c r="BS64" i="22"/>
  <c r="M80" i="20"/>
  <c r="BG65" i="22"/>
  <c r="BS65" i="22"/>
  <c r="M81" i="20"/>
  <c r="BG66" i="22"/>
  <c r="BS66" i="22"/>
  <c r="M82" i="20"/>
  <c r="BG67" i="22"/>
  <c r="BS67" i="22"/>
  <c r="M83" i="20"/>
  <c r="BG68" i="22"/>
  <c r="BS68" i="22"/>
  <c r="M84" i="20"/>
  <c r="BG69" i="22"/>
  <c r="BS69" i="22"/>
  <c r="M85" i="20"/>
  <c r="BG70" i="22"/>
  <c r="BS70" i="22"/>
  <c r="M86" i="20"/>
  <c r="BG71" i="22"/>
  <c r="BS71" i="22"/>
  <c r="M87" i="20"/>
  <c r="BG72" i="22"/>
  <c r="BS72" i="22"/>
  <c r="M88" i="20"/>
  <c r="BG73" i="22"/>
  <c r="BS73" i="22"/>
  <c r="M89" i="20"/>
  <c r="BG74" i="22"/>
  <c r="BS74" i="22"/>
  <c r="M90" i="20"/>
  <c r="BG75" i="22"/>
  <c r="BS75" i="22"/>
  <c r="M91" i="20"/>
  <c r="BG76" i="22"/>
  <c r="BS76" i="22"/>
  <c r="M92" i="20"/>
  <c r="BG77" i="22"/>
  <c r="BS77" i="22"/>
  <c r="M93" i="20"/>
  <c r="BG78" i="22"/>
  <c r="BS78" i="22"/>
  <c r="M94" i="20"/>
  <c r="BG79" i="22"/>
  <c r="BS79" i="22"/>
  <c r="M95" i="20"/>
  <c r="BG80" i="22"/>
  <c r="BS80" i="22"/>
  <c r="M96" i="20"/>
  <c r="BG81" i="22"/>
  <c r="BS81" i="22"/>
  <c r="M97" i="20"/>
  <c r="BG82" i="22"/>
  <c r="BS82" i="22"/>
  <c r="M98" i="20"/>
  <c r="BG83" i="22"/>
  <c r="BS83" i="22"/>
  <c r="M99" i="20"/>
  <c r="BG84" i="22"/>
  <c r="BS84" i="22"/>
  <c r="M100" i="20"/>
  <c r="BG85" i="22"/>
  <c r="BS85" i="22"/>
  <c r="M101" i="20"/>
  <c r="BG86" i="22"/>
  <c r="BS86" i="22"/>
  <c r="M102" i="20"/>
  <c r="BG87" i="22"/>
  <c r="BS87" i="22"/>
  <c r="M103" i="20"/>
  <c r="BG88" i="22"/>
  <c r="BS88" i="22"/>
  <c r="M104" i="20"/>
  <c r="BG89" i="22"/>
  <c r="BS89" i="22"/>
  <c r="M105" i="20"/>
  <c r="BG90" i="22"/>
  <c r="BS90" i="22"/>
  <c r="M106" i="20"/>
  <c r="BG91" i="22"/>
  <c r="BS91" i="22"/>
  <c r="M107" i="20"/>
  <c r="BG92" i="22"/>
  <c r="BS92" i="22"/>
  <c r="M108" i="20"/>
  <c r="BG93" i="22"/>
  <c r="BS93" i="22"/>
  <c r="M109" i="20"/>
  <c r="BG94" i="22"/>
  <c r="BS94" i="22"/>
  <c r="M110" i="20"/>
  <c r="BG95" i="22"/>
  <c r="BS95" i="22"/>
  <c r="M111" i="20"/>
  <c r="BG96" i="22"/>
  <c r="BS96" i="22"/>
  <c r="M112" i="20"/>
  <c r="BG97" i="22"/>
  <c r="BS97" i="22"/>
  <c r="M113" i="20"/>
  <c r="BG98" i="22"/>
  <c r="BS98" i="22"/>
  <c r="M114" i="20"/>
  <c r="BG99" i="22"/>
  <c r="BS99" i="22"/>
  <c r="M115" i="20"/>
  <c r="BG100" i="22"/>
  <c r="BS100" i="22"/>
  <c r="M116" i="20"/>
  <c r="BG101" i="22"/>
  <c r="BS101" i="22"/>
  <c r="M117" i="20"/>
  <c r="BG102" i="22"/>
  <c r="BS102" i="22"/>
  <c r="M118" i="20"/>
  <c r="BG103" i="22"/>
  <c r="BS103" i="22"/>
  <c r="M119" i="20"/>
  <c r="BG104" i="22"/>
  <c r="BS104" i="22"/>
  <c r="M120" i="20"/>
  <c r="BG105" i="22"/>
  <c r="BS105" i="22"/>
  <c r="M121" i="20"/>
  <c r="BG106" i="22"/>
  <c r="BS106" i="22"/>
  <c r="M122" i="20"/>
  <c r="BG107" i="22"/>
  <c r="BS107" i="22"/>
  <c r="M123" i="20"/>
  <c r="BG108" i="22"/>
  <c r="BS108" i="22"/>
  <c r="M124" i="20"/>
  <c r="BG109" i="22"/>
  <c r="BS109" i="22"/>
  <c r="M125" i="20"/>
  <c r="BG110" i="22"/>
  <c r="BS110" i="22"/>
  <c r="M126" i="20"/>
  <c r="BG111" i="22"/>
  <c r="BS111" i="22"/>
  <c r="M127" i="20"/>
  <c r="BG112" i="22"/>
  <c r="BS112" i="22"/>
  <c r="M128" i="20"/>
  <c r="BG113" i="22"/>
  <c r="BS113" i="22"/>
  <c r="M129" i="20"/>
  <c r="BG114" i="22"/>
  <c r="BS114" i="22"/>
  <c r="M130" i="20"/>
  <c r="BG115" i="22"/>
  <c r="BS115" i="22"/>
  <c r="M131" i="20"/>
  <c r="BG116" i="22"/>
  <c r="BS116" i="22"/>
  <c r="M132" i="20"/>
  <c r="BG117" i="22"/>
  <c r="BS117" i="22"/>
  <c r="M133" i="20"/>
  <c r="BG118" i="22"/>
  <c r="BS118" i="22"/>
  <c r="M134" i="20"/>
  <c r="BG119" i="22"/>
  <c r="BS119" i="22"/>
  <c r="M135" i="20"/>
  <c r="BG120" i="22"/>
  <c r="BS120" i="22"/>
  <c r="M136" i="20"/>
  <c r="BG121" i="22"/>
  <c r="BS121" i="22"/>
  <c r="M137" i="20"/>
  <c r="BG122" i="22"/>
  <c r="BS122" i="22"/>
  <c r="M138" i="20"/>
  <c r="BG123" i="22"/>
  <c r="BS123" i="22"/>
  <c r="M139" i="20"/>
  <c r="BG124" i="22"/>
  <c r="BS124" i="22"/>
  <c r="M140" i="20"/>
  <c r="BG125" i="22"/>
  <c r="BS125" i="22"/>
  <c r="M141" i="20"/>
  <c r="BG126" i="22"/>
  <c r="BS126" i="22"/>
  <c r="M142" i="20"/>
  <c r="BG127" i="22"/>
  <c r="BS127" i="22"/>
  <c r="M143" i="20"/>
  <c r="BG128" i="22"/>
  <c r="BS128" i="22"/>
  <c r="M144" i="20"/>
  <c r="BG129" i="22"/>
  <c r="BS129" i="22"/>
  <c r="M145" i="20"/>
  <c r="BG130" i="22"/>
  <c r="BS130" i="22"/>
  <c r="M146" i="20"/>
  <c r="BG131" i="22"/>
  <c r="BS131" i="22"/>
  <c r="M147" i="20"/>
  <c r="BG132" i="22"/>
  <c r="BS132" i="22"/>
  <c r="M148" i="20"/>
  <c r="BG133" i="22"/>
  <c r="BS133" i="22"/>
  <c r="M149" i="20"/>
  <c r="BG134" i="22"/>
  <c r="BS134" i="22"/>
  <c r="M150" i="20"/>
  <c r="BG135" i="22"/>
  <c r="BS135" i="22"/>
  <c r="M151" i="20"/>
  <c r="BG136" i="22"/>
  <c r="BS136" i="22"/>
  <c r="M152" i="20"/>
  <c r="BG137" i="22"/>
  <c r="BS137" i="22"/>
  <c r="M153" i="20"/>
  <c r="BG138" i="22"/>
  <c r="BS138" i="22"/>
  <c r="M154" i="20"/>
  <c r="BG139" i="22"/>
  <c r="BS139" i="22"/>
  <c r="M155" i="20"/>
  <c r="BG140" i="22"/>
  <c r="BS140" i="22"/>
  <c r="M156" i="20"/>
  <c r="BG141" i="22"/>
  <c r="BS141" i="22"/>
  <c r="M157" i="20"/>
  <c r="BG142" i="22"/>
  <c r="BS142" i="22"/>
  <c r="M158" i="20"/>
  <c r="BG143" i="22"/>
  <c r="BS143" i="22"/>
  <c r="M159" i="20"/>
  <c r="BG144" i="22"/>
  <c r="BS144" i="22"/>
  <c r="M160" i="20"/>
  <c r="BG145" i="22"/>
  <c r="BS145" i="22"/>
  <c r="M161" i="20"/>
  <c r="BG146" i="22"/>
  <c r="BS146" i="22"/>
  <c r="M162" i="20"/>
  <c r="BG147" i="22"/>
  <c r="BS147" i="22"/>
  <c r="M163" i="20"/>
  <c r="BG148" i="22"/>
  <c r="BS148" i="22"/>
  <c r="M164" i="20"/>
  <c r="BG149" i="22"/>
  <c r="BS149" i="22"/>
  <c r="M165" i="20"/>
  <c r="BG150" i="22"/>
  <c r="BS150" i="22"/>
  <c r="M166" i="20"/>
  <c r="BG151" i="22"/>
  <c r="BS151" i="22"/>
  <c r="M167" i="20"/>
  <c r="BG152" i="22"/>
  <c r="BS152" i="22"/>
  <c r="M168" i="20"/>
  <c r="BG153" i="22"/>
  <c r="BS153" i="22"/>
  <c r="M169" i="20"/>
  <c r="BG154" i="22"/>
  <c r="BS154" i="22"/>
  <c r="M170" i="20"/>
  <c r="BG155" i="22"/>
  <c r="BS155" i="22"/>
  <c r="M171" i="20"/>
  <c r="BG156" i="22"/>
  <c r="BS156" i="22"/>
  <c r="M172" i="20"/>
  <c r="BG157" i="22"/>
  <c r="BS157" i="22"/>
  <c r="M173" i="20"/>
  <c r="BG158" i="22"/>
  <c r="BS158" i="22"/>
  <c r="M174" i="20"/>
  <c r="BG159" i="22"/>
  <c r="BS159" i="22"/>
  <c r="M175" i="20"/>
  <c r="BG160" i="22"/>
  <c r="BS160" i="22"/>
  <c r="M176" i="20"/>
  <c r="BG161" i="22"/>
  <c r="BS161" i="22"/>
  <c r="M177" i="20"/>
  <c r="BG162" i="22"/>
  <c r="BS162" i="22"/>
  <c r="M178" i="20"/>
  <c r="BG163" i="22"/>
  <c r="BS163" i="22"/>
  <c r="M179" i="20"/>
  <c r="BG164" i="22"/>
  <c r="BS164" i="22"/>
  <c r="M180" i="20"/>
  <c r="BG165" i="22"/>
  <c r="BS165" i="22"/>
  <c r="M181" i="20"/>
  <c r="BG166" i="22"/>
  <c r="BS166" i="22"/>
  <c r="M182" i="20"/>
  <c r="BG167" i="22"/>
  <c r="BS167" i="22"/>
  <c r="M183" i="20"/>
  <c r="BG168" i="22"/>
  <c r="BS168" i="22"/>
  <c r="M184" i="20"/>
  <c r="BG169" i="22"/>
  <c r="BS169" i="22"/>
  <c r="M185" i="20"/>
  <c r="BG170" i="22"/>
  <c r="BS170" i="22"/>
  <c r="M186" i="20"/>
  <c r="BG171" i="22"/>
  <c r="BS171" i="22"/>
  <c r="M187" i="20"/>
  <c r="BG172" i="22"/>
  <c r="BS172" i="22"/>
  <c r="M188" i="20"/>
  <c r="BG173" i="22"/>
  <c r="BS173" i="22"/>
  <c r="M189" i="20"/>
  <c r="BG174" i="22"/>
  <c r="BS174" i="22"/>
  <c r="M190" i="20"/>
  <c r="BG175" i="22"/>
  <c r="BS175" i="22"/>
  <c r="M191" i="20"/>
  <c r="BG176" i="22"/>
  <c r="BS176" i="22"/>
  <c r="M192" i="20"/>
  <c r="BG177" i="22"/>
  <c r="BS177" i="22"/>
  <c r="M193" i="20"/>
  <c r="BG178" i="22"/>
  <c r="BS178" i="22"/>
  <c r="M194" i="20"/>
  <c r="BG179" i="22"/>
  <c r="BS179" i="22"/>
  <c r="M195" i="20"/>
  <c r="BG180" i="22"/>
  <c r="BS180" i="22"/>
  <c r="M196" i="20"/>
  <c r="BG181" i="22"/>
  <c r="BS181" i="22"/>
  <c r="M197" i="20"/>
  <c r="BG182" i="22"/>
  <c r="BS182" i="22"/>
  <c r="M198" i="20"/>
  <c r="BG183" i="22"/>
  <c r="BS183" i="22"/>
  <c r="M199" i="20"/>
  <c r="BG184" i="22"/>
  <c r="BS184" i="22"/>
  <c r="M200" i="20"/>
  <c r="BG185" i="22"/>
  <c r="BS185" i="22"/>
  <c r="M201" i="20"/>
  <c r="BG186" i="22"/>
  <c r="BS186" i="22"/>
  <c r="M202" i="20"/>
  <c r="BG187" i="22"/>
  <c r="BS187" i="22"/>
  <c r="M203" i="20"/>
  <c r="BG188" i="22"/>
  <c r="BS188" i="22"/>
  <c r="M204" i="20"/>
  <c r="BG189" i="22"/>
  <c r="BS189" i="22"/>
  <c r="M205" i="20"/>
  <c r="BG190" i="22"/>
  <c r="BS190" i="22"/>
  <c r="M206" i="20"/>
  <c r="BG191" i="22"/>
  <c r="BS191" i="22"/>
  <c r="M207" i="20"/>
  <c r="BG192" i="22"/>
  <c r="BS192" i="22"/>
  <c r="M208" i="20"/>
  <c r="BG193" i="22"/>
  <c r="BS193" i="22"/>
  <c r="M209" i="20"/>
  <c r="BG194" i="22"/>
  <c r="BS194" i="22"/>
  <c r="M210" i="20"/>
  <c r="BG195" i="22"/>
  <c r="BS195" i="22"/>
  <c r="M211" i="20"/>
  <c r="BG196" i="22"/>
  <c r="BS196" i="22"/>
  <c r="M212" i="20"/>
  <c r="BG197" i="22"/>
  <c r="BS197" i="22"/>
  <c r="M213" i="20"/>
  <c r="BG198" i="22"/>
  <c r="BS198" i="22"/>
  <c r="M214" i="20"/>
  <c r="BG199" i="22"/>
  <c r="BS199" i="22"/>
  <c r="M215" i="20"/>
  <c r="BG200" i="22"/>
  <c r="BS200" i="22"/>
  <c r="M216" i="20"/>
  <c r="BG201" i="22"/>
  <c r="BS201" i="22"/>
  <c r="M217" i="20"/>
  <c r="BG202" i="22"/>
  <c r="BS202" i="22"/>
  <c r="M218" i="20"/>
  <c r="BG203" i="22"/>
  <c r="BS203" i="22"/>
  <c r="M219" i="20"/>
  <c r="BG204" i="22"/>
  <c r="BS204" i="22"/>
  <c r="M220" i="20"/>
  <c r="BG205" i="22"/>
  <c r="BS205" i="22"/>
  <c r="M221" i="20"/>
  <c r="BG206" i="22"/>
  <c r="BS206" i="22"/>
  <c r="M222" i="20"/>
  <c r="BG207" i="22"/>
  <c r="BS207" i="22"/>
  <c r="M223" i="20"/>
  <c r="BG208" i="22"/>
  <c r="BS208" i="22"/>
  <c r="M224" i="20"/>
  <c r="BG209" i="22"/>
  <c r="BS209" i="22"/>
  <c r="M225" i="20"/>
  <c r="BG210" i="22"/>
  <c r="BS210" i="22"/>
  <c r="M226" i="20"/>
  <c r="BG211" i="22"/>
  <c r="BS211" i="22"/>
  <c r="M227" i="20"/>
  <c r="BG212" i="22"/>
  <c r="BS212" i="22"/>
  <c r="M228" i="20"/>
  <c r="BG213" i="22"/>
  <c r="BS213" i="22"/>
  <c r="M229" i="20"/>
  <c r="BG214" i="22"/>
  <c r="BS214" i="22"/>
  <c r="M230" i="20"/>
  <c r="BG215" i="22"/>
  <c r="BS215" i="22"/>
  <c r="M231" i="20"/>
  <c r="BG216" i="22"/>
  <c r="BS216" i="22"/>
  <c r="M232" i="20"/>
  <c r="BG217" i="22"/>
  <c r="BS217" i="22"/>
  <c r="M233" i="20"/>
  <c r="BG218" i="22"/>
  <c r="BS218" i="22"/>
  <c r="M234" i="20"/>
  <c r="BG219" i="22"/>
  <c r="BS219" i="22"/>
  <c r="M235" i="20"/>
  <c r="BG220" i="22"/>
  <c r="BS220" i="22"/>
  <c r="M236" i="20"/>
  <c r="BG221" i="22"/>
  <c r="BS221" i="22"/>
  <c r="M237" i="20"/>
  <c r="BG222" i="22"/>
  <c r="BS222" i="22"/>
  <c r="M238" i="20"/>
  <c r="BG223" i="22"/>
  <c r="BS223" i="22"/>
  <c r="M239" i="20"/>
  <c r="BG224" i="22"/>
  <c r="BS224" i="22"/>
  <c r="M240" i="20"/>
  <c r="BG225" i="22"/>
  <c r="BS225" i="22"/>
  <c r="M241" i="20"/>
  <c r="BG226" i="22"/>
  <c r="BS226" i="22"/>
  <c r="M242" i="20"/>
  <c r="BG227" i="22"/>
  <c r="BS227" i="22"/>
  <c r="M243" i="20"/>
  <c r="BG228" i="22"/>
  <c r="BS228" i="22"/>
  <c r="M244" i="20"/>
  <c r="BG229" i="22"/>
  <c r="BS229" i="22"/>
  <c r="M245" i="20"/>
  <c r="BG230" i="22"/>
  <c r="BS230" i="22"/>
  <c r="M246" i="20"/>
  <c r="BG231" i="22"/>
  <c r="BS231" i="22"/>
  <c r="M247" i="20"/>
  <c r="BG232" i="22"/>
  <c r="BS232" i="22"/>
  <c r="M248" i="20"/>
  <c r="BG233" i="22"/>
  <c r="BS233" i="22"/>
  <c r="M249" i="20"/>
  <c r="BG234" i="22"/>
  <c r="BS234" i="22"/>
  <c r="M250" i="20"/>
  <c r="BG235" i="22"/>
  <c r="BS235" i="22"/>
  <c r="M251" i="20"/>
  <c r="BG236" i="22"/>
  <c r="BS236" i="22"/>
  <c r="M252" i="20"/>
  <c r="BG237" i="22"/>
  <c r="BS237" i="22"/>
  <c r="M253" i="20"/>
  <c r="BG238" i="22"/>
  <c r="BS238" i="22"/>
  <c r="M254" i="20"/>
  <c r="BG239" i="22"/>
  <c r="BS239" i="22"/>
  <c r="M255" i="20"/>
  <c r="BG240" i="22"/>
  <c r="BS240" i="22"/>
  <c r="M256" i="20"/>
  <c r="BG241" i="22"/>
  <c r="BS241" i="22"/>
  <c r="M257" i="20"/>
  <c r="BG242" i="22"/>
  <c r="BS242" i="22"/>
  <c r="M258" i="20"/>
  <c r="BG243" i="22"/>
  <c r="BS243" i="22"/>
  <c r="M259" i="20"/>
  <c r="BG244" i="22"/>
  <c r="BS244" i="22"/>
  <c r="M260" i="20"/>
  <c r="BG245" i="22"/>
  <c r="BS245" i="22"/>
  <c r="M261" i="20"/>
  <c r="BG246" i="22"/>
  <c r="BS246" i="22"/>
  <c r="M262" i="20"/>
  <c r="BG247" i="22"/>
  <c r="BS247" i="22"/>
  <c r="M263" i="20"/>
  <c r="BG248" i="22"/>
  <c r="BS248" i="22"/>
  <c r="M264" i="20"/>
  <c r="BG249" i="22"/>
  <c r="BS249" i="22"/>
  <c r="M265" i="20"/>
  <c r="BG250" i="22"/>
  <c r="BS250" i="22"/>
  <c r="M266" i="20"/>
  <c r="BG251" i="22"/>
  <c r="BS251" i="22"/>
  <c r="M267" i="20"/>
  <c r="BG252" i="22"/>
  <c r="BS252" i="22"/>
  <c r="M268" i="20"/>
  <c r="BG253" i="22"/>
  <c r="BS253" i="22"/>
  <c r="M269" i="20"/>
  <c r="BG254" i="22"/>
  <c r="BS254" i="22"/>
  <c r="M270" i="20"/>
  <c r="BG255" i="22"/>
  <c r="BS255" i="22"/>
  <c r="M271" i="20"/>
  <c r="BG256" i="22"/>
  <c r="BS256" i="22"/>
  <c r="M272" i="20"/>
  <c r="BG257" i="22"/>
  <c r="BS257" i="22"/>
  <c r="M273" i="20"/>
  <c r="BG258" i="22"/>
  <c r="BS258" i="22"/>
  <c r="M274" i="20"/>
  <c r="BG259" i="22"/>
  <c r="BS259" i="22"/>
  <c r="M275" i="20"/>
  <c r="BG260" i="22"/>
  <c r="BS260" i="22"/>
  <c r="M276" i="20"/>
  <c r="BG261" i="22"/>
  <c r="BS261" i="22"/>
  <c r="M277" i="20"/>
  <c r="BG262" i="22"/>
  <c r="BS262" i="22"/>
  <c r="M278" i="20"/>
  <c r="BG263" i="22"/>
  <c r="BS263" i="22"/>
  <c r="M279" i="20"/>
  <c r="BG264" i="22"/>
  <c r="BS264" i="22"/>
  <c r="M280" i="20"/>
  <c r="BG265" i="22"/>
  <c r="BS265" i="22"/>
  <c r="M281" i="20"/>
  <c r="BG266" i="22"/>
  <c r="BS266" i="22"/>
  <c r="M282" i="20"/>
  <c r="BG267" i="22"/>
  <c r="BS267" i="22"/>
  <c r="M283" i="20"/>
  <c r="BG268" i="22"/>
  <c r="BS268" i="22"/>
  <c r="M284" i="20"/>
  <c r="BG269" i="22"/>
  <c r="BS269" i="22"/>
  <c r="M285" i="20"/>
  <c r="BG270" i="22"/>
  <c r="BS270" i="22"/>
  <c r="M286" i="20"/>
  <c r="BG271" i="22"/>
  <c r="BS271" i="22"/>
  <c r="M287" i="20"/>
  <c r="BG272" i="22"/>
  <c r="BS272" i="22"/>
  <c r="M288" i="20"/>
  <c r="BG273" i="22"/>
  <c r="BS273" i="22"/>
  <c r="M289" i="20"/>
  <c r="BG274" i="22"/>
  <c r="BS274" i="22"/>
  <c r="M290" i="20"/>
  <c r="BG275" i="22"/>
  <c r="BS275" i="22"/>
  <c r="M291" i="20"/>
  <c r="BG276" i="22"/>
  <c r="BS276" i="22"/>
  <c r="M292" i="20"/>
  <c r="BG277" i="22"/>
  <c r="BS277" i="22"/>
  <c r="M293" i="20"/>
  <c r="BG278" i="22"/>
  <c r="BS278" i="22"/>
  <c r="M294" i="20"/>
  <c r="BG279" i="22"/>
  <c r="BS279" i="22"/>
  <c r="M295" i="20"/>
  <c r="BG280" i="22"/>
  <c r="BS280" i="22"/>
  <c r="M296" i="20"/>
  <c r="BG281" i="22"/>
  <c r="BS281" i="22"/>
  <c r="M297" i="20"/>
  <c r="BG282" i="22"/>
  <c r="BS282" i="22"/>
  <c r="M298" i="20"/>
  <c r="BG283" i="22"/>
  <c r="BS283" i="22"/>
  <c r="M299" i="20"/>
  <c r="BG284" i="22"/>
  <c r="BS284" i="22"/>
  <c r="M300" i="20"/>
  <c r="BG285" i="22"/>
  <c r="BS285" i="22"/>
  <c r="M301" i="20"/>
  <c r="BG286" i="22"/>
  <c r="BS286" i="22"/>
  <c r="M302" i="20"/>
  <c r="BG287" i="22"/>
  <c r="BS287" i="22"/>
  <c r="M303" i="20"/>
  <c r="BG288" i="22"/>
  <c r="BS288" i="22"/>
  <c r="M304" i="20"/>
  <c r="BG289" i="22"/>
  <c r="BS289" i="22"/>
  <c r="M305" i="20"/>
  <c r="BG290" i="22"/>
  <c r="BS290" i="22"/>
  <c r="M306" i="20"/>
  <c r="BG291" i="22"/>
  <c r="BS291" i="22"/>
  <c r="M307" i="20"/>
  <c r="BG292" i="22"/>
  <c r="BS292" i="22"/>
  <c r="M308" i="20"/>
  <c r="BG293" i="22"/>
  <c r="BS293" i="22"/>
  <c r="M309" i="20"/>
  <c r="BG294" i="22"/>
  <c r="BS294" i="22"/>
  <c r="M310" i="20"/>
  <c r="BG295" i="22"/>
  <c r="BS295" i="22"/>
  <c r="M311" i="20"/>
  <c r="BG296" i="22"/>
  <c r="BS296" i="22"/>
  <c r="M312" i="20"/>
  <c r="BG297" i="22"/>
  <c r="BS297" i="22"/>
  <c r="M313" i="20"/>
  <c r="BG298" i="22"/>
  <c r="BS298" i="22"/>
  <c r="M314" i="20"/>
  <c r="BG299" i="22"/>
  <c r="BS299" i="22"/>
  <c r="M315" i="20"/>
  <c r="BG300" i="22"/>
  <c r="BS300" i="22"/>
  <c r="M316" i="20"/>
  <c r="BG301" i="22"/>
  <c r="BS301" i="22"/>
  <c r="M317" i="20"/>
  <c r="BG302" i="22"/>
  <c r="BS302" i="22"/>
  <c r="M318" i="20"/>
  <c r="BG303" i="22"/>
  <c r="BS303" i="22"/>
  <c r="M319" i="20"/>
  <c r="BG304" i="22"/>
  <c r="BS304" i="22"/>
  <c r="M320" i="20"/>
  <c r="BG305" i="22"/>
  <c r="BS305" i="22"/>
  <c r="M321" i="20"/>
  <c r="BG306" i="22"/>
  <c r="BS306" i="22"/>
  <c r="M322" i="20"/>
  <c r="BG307" i="22"/>
  <c r="BS307" i="22"/>
  <c r="M323" i="20"/>
  <c r="BG308" i="22"/>
  <c r="BS308" i="22"/>
  <c r="M324" i="20"/>
  <c r="BG309" i="22"/>
  <c r="BS309" i="22"/>
  <c r="M325" i="20"/>
  <c r="BG310" i="22"/>
  <c r="BS310" i="22"/>
  <c r="M326" i="20"/>
  <c r="BG311" i="22"/>
  <c r="BS311" i="22"/>
  <c r="M327" i="20"/>
  <c r="BG312" i="22"/>
  <c r="BS312" i="22"/>
  <c r="M328" i="20"/>
  <c r="BG313" i="22"/>
  <c r="BS313" i="22"/>
  <c r="M329" i="20"/>
  <c r="BG314" i="22"/>
  <c r="BS314" i="22"/>
  <c r="M330" i="20"/>
  <c r="BG315" i="22"/>
  <c r="BS315" i="22"/>
  <c r="M331" i="20"/>
  <c r="BG316" i="22"/>
  <c r="BS316" i="22"/>
  <c r="M332" i="20"/>
  <c r="BG317" i="22"/>
  <c r="BS317" i="22"/>
  <c r="M333" i="20"/>
  <c r="BG318" i="22"/>
  <c r="BS318" i="22"/>
  <c r="M334" i="20"/>
  <c r="BG319" i="22"/>
  <c r="BS319" i="22"/>
  <c r="M335" i="20"/>
  <c r="BG320" i="22"/>
  <c r="BS320" i="22"/>
  <c r="M336" i="20"/>
  <c r="BG321" i="22"/>
  <c r="BS321" i="22"/>
  <c r="M337" i="20"/>
  <c r="BG322" i="22"/>
  <c r="BS322" i="22"/>
  <c r="M338" i="20"/>
  <c r="BG323" i="22"/>
  <c r="BS323" i="22"/>
  <c r="M339" i="20"/>
  <c r="BG324" i="22"/>
  <c r="BS324" i="22"/>
  <c r="M340" i="20"/>
  <c r="BG325" i="22"/>
  <c r="BS325" i="22"/>
  <c r="M341" i="20"/>
  <c r="BG326" i="22"/>
  <c r="BS326" i="22"/>
  <c r="M342" i="20"/>
  <c r="BG327" i="22"/>
  <c r="BS327" i="22"/>
  <c r="M343" i="20"/>
  <c r="BG328" i="22"/>
  <c r="BS328" i="22"/>
  <c r="M344" i="20"/>
  <c r="BG329" i="22"/>
  <c r="BS329" i="22"/>
  <c r="M345" i="20"/>
  <c r="BG330" i="22"/>
  <c r="BS330" i="22"/>
  <c r="M346" i="20"/>
  <c r="BG331" i="22"/>
  <c r="BS331" i="22"/>
  <c r="M347" i="20"/>
  <c r="BG332" i="22"/>
  <c r="BS332" i="22"/>
  <c r="M348" i="20"/>
  <c r="BG333" i="22"/>
  <c r="BS333" i="22"/>
  <c r="M349" i="20"/>
  <c r="BG334" i="22"/>
  <c r="BS334" i="22"/>
  <c r="M350" i="20"/>
  <c r="BG335" i="22"/>
  <c r="BS335" i="22"/>
  <c r="M351" i="20"/>
  <c r="BG336" i="22"/>
  <c r="BS336" i="22"/>
  <c r="M352" i="20"/>
  <c r="BG337" i="22"/>
  <c r="BS337" i="22"/>
  <c r="M353" i="20"/>
  <c r="BG338" i="22"/>
  <c r="BS338" i="22"/>
  <c r="M354" i="20"/>
  <c r="BG339" i="22"/>
  <c r="BS339" i="22"/>
  <c r="M355" i="20"/>
  <c r="BG340" i="22"/>
  <c r="BS340" i="22"/>
  <c r="M356" i="20"/>
  <c r="BG341" i="22"/>
  <c r="BS341" i="22"/>
  <c r="M357" i="20"/>
  <c r="BG342" i="22"/>
  <c r="BS342" i="22"/>
  <c r="M358" i="20"/>
  <c r="BG343" i="22"/>
  <c r="BS343" i="22"/>
  <c r="M359" i="20"/>
  <c r="BG344" i="22"/>
  <c r="BS344" i="22"/>
  <c r="M360" i="20"/>
  <c r="BG345" i="22"/>
  <c r="BS345" i="22"/>
  <c r="M361" i="20"/>
  <c r="BG346" i="22"/>
  <c r="BS346" i="22"/>
  <c r="M362" i="20"/>
  <c r="BG347" i="22"/>
  <c r="BS347" i="22"/>
  <c r="M363" i="20"/>
  <c r="BG348" i="22"/>
  <c r="BS348" i="22"/>
  <c r="M364" i="20"/>
  <c r="BG349" i="22"/>
  <c r="BS349" i="22"/>
  <c r="M365" i="20"/>
  <c r="BG350" i="22"/>
  <c r="BS350" i="22"/>
  <c r="M366" i="20"/>
  <c r="BG351" i="22"/>
  <c r="BS351" i="22"/>
  <c r="M367" i="20"/>
  <c r="BG352" i="22"/>
  <c r="BS352" i="22"/>
  <c r="M368" i="20"/>
  <c r="BG353" i="22"/>
  <c r="BS353" i="22"/>
  <c r="M369" i="20"/>
  <c r="BG354" i="22"/>
  <c r="BS354" i="22"/>
  <c r="M370" i="20"/>
  <c r="BG355" i="22"/>
  <c r="BS355" i="22"/>
  <c r="M371" i="20"/>
  <c r="BG356" i="22"/>
  <c r="BS356" i="22"/>
  <c r="M372" i="20"/>
  <c r="BG357" i="22"/>
  <c r="BS357" i="22"/>
  <c r="M373" i="20"/>
  <c r="BG358" i="22"/>
  <c r="BS358" i="22"/>
  <c r="M374" i="20"/>
  <c r="BG359" i="22"/>
  <c r="BS359" i="22"/>
  <c r="M375" i="20"/>
  <c r="BG360" i="22"/>
  <c r="BS360" i="22"/>
  <c r="M376" i="20"/>
  <c r="BG361" i="22"/>
  <c r="BS361" i="22"/>
  <c r="M377" i="20"/>
  <c r="BG362" i="22"/>
  <c r="BS362" i="22"/>
  <c r="M378" i="20"/>
  <c r="BG363" i="22"/>
  <c r="BS363" i="22"/>
  <c r="M379" i="20"/>
  <c r="BG364" i="22"/>
  <c r="BS364" i="22"/>
  <c r="M380" i="20"/>
  <c r="BG365" i="22"/>
  <c r="BS365" i="22"/>
  <c r="M381" i="20"/>
  <c r="BG366" i="22"/>
  <c r="BS366" i="22"/>
  <c r="M382" i="20"/>
  <c r="BG367" i="22"/>
  <c r="BS367" i="22"/>
  <c r="M383" i="20"/>
  <c r="BG368" i="22"/>
  <c r="BS368" i="22"/>
  <c r="M384" i="20"/>
  <c r="BG369" i="22"/>
  <c r="BS369" i="22"/>
  <c r="M385" i="20"/>
  <c r="BG370" i="22"/>
  <c r="BS370" i="22"/>
  <c r="M386" i="20"/>
  <c r="BG371" i="22"/>
  <c r="BS371" i="22"/>
  <c r="M387" i="20"/>
  <c r="BG372" i="22"/>
  <c r="BS372" i="22"/>
  <c r="M388" i="20"/>
  <c r="BG373" i="22"/>
  <c r="BS373" i="22"/>
  <c r="M389" i="20"/>
  <c r="BG374" i="22"/>
  <c r="BS374" i="22"/>
  <c r="M390" i="20"/>
  <c r="BG375" i="22"/>
  <c r="BS375" i="22"/>
  <c r="M391" i="20"/>
  <c r="BG376" i="22"/>
  <c r="BS376" i="22"/>
  <c r="M392" i="20"/>
  <c r="BG377" i="22"/>
  <c r="BS377" i="22"/>
  <c r="M393" i="20"/>
  <c r="BG378" i="22"/>
  <c r="BS378" i="22"/>
  <c r="M394" i="20"/>
  <c r="BG379" i="22"/>
  <c r="BS379" i="22"/>
  <c r="M395" i="20"/>
  <c r="BG380" i="22"/>
  <c r="BS380" i="22"/>
  <c r="M396" i="20"/>
  <c r="BG381" i="22"/>
  <c r="BS381" i="22"/>
  <c r="M397" i="20"/>
  <c r="BG382" i="22"/>
  <c r="BS382" i="22"/>
  <c r="M398" i="20"/>
  <c r="BG383" i="22"/>
  <c r="BS383" i="22"/>
  <c r="M399" i="20"/>
  <c r="BG384" i="22"/>
  <c r="BS384" i="22"/>
  <c r="M400" i="20"/>
  <c r="BG385" i="22"/>
  <c r="BS385" i="22"/>
  <c r="M401" i="20"/>
  <c r="BG386" i="22"/>
  <c r="BS386" i="22"/>
  <c r="M402" i="20"/>
  <c r="BG387" i="22"/>
  <c r="BS387" i="22"/>
  <c r="M403" i="20"/>
  <c r="BG388" i="22"/>
  <c r="BS388" i="22"/>
  <c r="M404" i="20"/>
  <c r="BG389" i="22"/>
  <c r="BS389" i="22"/>
  <c r="M405" i="20"/>
  <c r="BG390" i="22"/>
  <c r="BS390" i="22"/>
  <c r="M406" i="20"/>
  <c r="BG391" i="22"/>
  <c r="BS391" i="22"/>
  <c r="M407" i="20"/>
  <c r="BG392" i="22"/>
  <c r="BS392" i="22"/>
  <c r="M408" i="20"/>
  <c r="BG393" i="22"/>
  <c r="BS393" i="22"/>
  <c r="M409" i="20"/>
  <c r="BG394" i="22"/>
  <c r="BS394" i="22"/>
  <c r="M410" i="20"/>
  <c r="BG395" i="22"/>
  <c r="BS395" i="22"/>
  <c r="M411" i="20"/>
  <c r="BG396" i="22"/>
  <c r="BS396" i="22"/>
  <c r="M412" i="20"/>
  <c r="BG397" i="22"/>
  <c r="BS397" i="22"/>
  <c r="M413" i="20"/>
  <c r="BG398" i="22"/>
  <c r="BS398" i="22"/>
  <c r="M414" i="20"/>
  <c r="BG399" i="22"/>
  <c r="BS399" i="22"/>
  <c r="M415" i="20"/>
  <c r="BG400" i="22"/>
  <c r="BS400" i="22"/>
  <c r="M416" i="20"/>
  <c r="BG401" i="22"/>
  <c r="BS401" i="22"/>
  <c r="M417" i="20"/>
  <c r="BG402" i="22"/>
  <c r="BS402" i="22"/>
  <c r="M418" i="20"/>
  <c r="BG403" i="22"/>
  <c r="BS403" i="22"/>
  <c r="M419" i="20"/>
  <c r="BG404" i="22"/>
  <c r="BS404" i="22"/>
  <c r="M420" i="20"/>
  <c r="BG405" i="22"/>
  <c r="BS405" i="22"/>
  <c r="M421" i="20"/>
  <c r="BG406" i="22"/>
  <c r="BS406" i="22"/>
  <c r="M422" i="20"/>
  <c r="BG407" i="22"/>
  <c r="BS407" i="22"/>
  <c r="M423" i="20"/>
  <c r="BG408" i="22"/>
  <c r="BS408" i="22"/>
  <c r="M424" i="20"/>
  <c r="BG409" i="22"/>
  <c r="BS409" i="22"/>
  <c r="M425" i="20"/>
  <c r="BG410" i="22"/>
  <c r="BS410" i="22"/>
  <c r="M426" i="20"/>
  <c r="BG411" i="22"/>
  <c r="BS411" i="22"/>
  <c r="M427" i="20"/>
  <c r="BG412" i="22"/>
  <c r="BS412" i="22"/>
  <c r="M428" i="20"/>
  <c r="BG413" i="22"/>
  <c r="BS413" i="22"/>
  <c r="M429" i="20"/>
  <c r="BG414" i="22"/>
  <c r="BS414" i="22"/>
  <c r="M430" i="20"/>
  <c r="BG415" i="22"/>
  <c r="BS415" i="22"/>
  <c r="M431" i="20"/>
  <c r="BG416" i="22"/>
  <c r="BS416" i="22"/>
  <c r="M432" i="20"/>
  <c r="BG417" i="22"/>
  <c r="BS417" i="22"/>
  <c r="M433" i="20"/>
  <c r="BG418" i="22"/>
  <c r="BS418" i="22"/>
  <c r="M434" i="20"/>
  <c r="BG419" i="22"/>
  <c r="BS419" i="22"/>
  <c r="M435" i="20"/>
  <c r="BG420" i="22"/>
  <c r="BS420" i="22"/>
  <c r="M436" i="20"/>
  <c r="BG421" i="22"/>
  <c r="BS421" i="22"/>
  <c r="M437" i="20"/>
  <c r="BG422" i="22"/>
  <c r="BS422" i="22"/>
  <c r="M438" i="20"/>
  <c r="BG423" i="22"/>
  <c r="BS423" i="22"/>
  <c r="M439" i="20"/>
  <c r="BG424" i="22"/>
  <c r="BS424" i="22"/>
  <c r="M440" i="20"/>
  <c r="BG425" i="22"/>
  <c r="BS425" i="22"/>
  <c r="M441" i="20"/>
  <c r="BG426" i="22"/>
  <c r="BS426" i="22"/>
  <c r="M442" i="20"/>
  <c r="BG427" i="22"/>
  <c r="BS427" i="22"/>
  <c r="M443" i="20"/>
  <c r="BG428" i="22"/>
  <c r="BS428" i="22"/>
  <c r="M444" i="20"/>
  <c r="BG429" i="22"/>
  <c r="BS429" i="22"/>
  <c r="M445" i="20"/>
  <c r="BG430" i="22"/>
  <c r="BS430" i="22"/>
  <c r="M446" i="20"/>
  <c r="BG431" i="22"/>
  <c r="BS431" i="22"/>
  <c r="M447" i="20"/>
  <c r="BG432" i="22"/>
  <c r="BS432" i="22"/>
  <c r="M448" i="20"/>
  <c r="BG433" i="22"/>
  <c r="BS433" i="22"/>
  <c r="M449" i="20"/>
  <c r="BG434" i="22"/>
  <c r="BS434" i="22"/>
  <c r="M450" i="20"/>
  <c r="BG435" i="22"/>
  <c r="BS435" i="22"/>
  <c r="M451" i="20"/>
  <c r="BG436" i="22"/>
  <c r="BS436" i="22"/>
  <c r="M452" i="20"/>
  <c r="BG437" i="22"/>
  <c r="BS437" i="22"/>
  <c r="M453" i="20"/>
  <c r="BG438" i="22"/>
  <c r="BS438" i="22"/>
  <c r="M454" i="20"/>
  <c r="BG439" i="22"/>
  <c r="BS439" i="22"/>
  <c r="M455" i="20"/>
  <c r="BG440" i="22"/>
  <c r="BS440" i="22"/>
  <c r="M456" i="20"/>
  <c r="BG441" i="22"/>
  <c r="BS441" i="22"/>
  <c r="M457" i="20"/>
  <c r="BG442" i="22"/>
  <c r="BS442" i="22"/>
  <c r="M458" i="20"/>
  <c r="BG443" i="22"/>
  <c r="BS443" i="22"/>
  <c r="M459" i="20"/>
  <c r="BG444" i="22"/>
  <c r="BS444" i="22"/>
  <c r="M460" i="20"/>
  <c r="BG445" i="22"/>
  <c r="BS445" i="22"/>
  <c r="M461" i="20"/>
  <c r="BG446" i="22"/>
  <c r="BS446" i="22"/>
  <c r="M462" i="20"/>
  <c r="BG447" i="22"/>
  <c r="BS447" i="22"/>
  <c r="M463" i="20"/>
  <c r="BG448" i="22"/>
  <c r="BS448" i="22"/>
  <c r="M464" i="20"/>
  <c r="BG449" i="22"/>
  <c r="BS449" i="22"/>
  <c r="M465" i="20"/>
  <c r="BG450" i="22"/>
  <c r="BS450" i="22"/>
  <c r="M466" i="20"/>
  <c r="BG451" i="22"/>
  <c r="BS451" i="22"/>
  <c r="M467" i="20"/>
  <c r="BG452" i="22"/>
  <c r="BS452" i="22"/>
  <c r="M468" i="20"/>
  <c r="BG453" i="22"/>
  <c r="BS453" i="22"/>
  <c r="M469" i="20"/>
  <c r="BG454" i="22"/>
  <c r="BS454" i="22"/>
  <c r="M470" i="20"/>
  <c r="BG455" i="22"/>
  <c r="BS455" i="22"/>
  <c r="M471" i="20"/>
  <c r="BG456" i="22"/>
  <c r="BS456" i="22"/>
  <c r="M472" i="20"/>
  <c r="BG457" i="22"/>
  <c r="BS457" i="22"/>
  <c r="M473" i="20"/>
  <c r="BG458" i="22"/>
  <c r="BS458" i="22"/>
  <c r="M474" i="20"/>
  <c r="BG459" i="22"/>
  <c r="BS459" i="22"/>
  <c r="M475" i="20"/>
  <c r="BG460" i="22"/>
  <c r="BS460" i="22"/>
  <c r="M476" i="20"/>
  <c r="BG461" i="22"/>
  <c r="BS461" i="22"/>
  <c r="M477" i="20"/>
  <c r="BG462" i="22"/>
  <c r="BS462" i="22"/>
  <c r="M478" i="20"/>
  <c r="BG463" i="22"/>
  <c r="BS463" i="22"/>
  <c r="M479" i="20"/>
  <c r="BG464" i="22"/>
  <c r="BS464" i="22"/>
  <c r="M480" i="20"/>
  <c r="BG465" i="22"/>
  <c r="BS465" i="22"/>
  <c r="M481" i="20"/>
  <c r="BG466" i="22"/>
  <c r="BS466" i="22"/>
  <c r="M482" i="20"/>
  <c r="BG467" i="22"/>
  <c r="BS467" i="22"/>
  <c r="M483" i="20"/>
  <c r="BG468" i="22"/>
  <c r="BS468" i="22"/>
  <c r="M484" i="20"/>
  <c r="BG469" i="22"/>
  <c r="BS469" i="22"/>
  <c r="M485" i="20"/>
  <c r="BG470" i="22"/>
  <c r="BS470" i="22"/>
  <c r="M486" i="20"/>
  <c r="BG471" i="22"/>
  <c r="BS471" i="22"/>
  <c r="M487" i="20"/>
  <c r="BG472" i="22"/>
  <c r="BS472" i="22"/>
  <c r="M488" i="20"/>
  <c r="BG473" i="22"/>
  <c r="BS473" i="22"/>
  <c r="M489" i="20"/>
  <c r="BG474" i="22"/>
  <c r="BS474" i="22"/>
  <c r="M490" i="20"/>
  <c r="BG475" i="22"/>
  <c r="BS475" i="22"/>
  <c r="M491" i="20"/>
  <c r="BG476" i="22"/>
  <c r="BS476" i="22"/>
  <c r="M492" i="20"/>
  <c r="BG477" i="22"/>
  <c r="BS477" i="22"/>
  <c r="M493" i="20"/>
  <c r="BG478" i="22"/>
  <c r="BS478" i="22"/>
  <c r="M494" i="20"/>
  <c r="BG479" i="22"/>
  <c r="BS479" i="22"/>
  <c r="M495" i="20"/>
  <c r="BG480" i="22"/>
  <c r="BS480" i="22"/>
  <c r="M496" i="20"/>
  <c r="BG481" i="22"/>
  <c r="BS481" i="22"/>
  <c r="M497" i="20"/>
  <c r="BG482" i="22"/>
  <c r="BS482" i="22"/>
  <c r="M498" i="20"/>
  <c r="BG483" i="22"/>
  <c r="BS483" i="22"/>
  <c r="M499" i="20"/>
  <c r="BG484" i="22"/>
  <c r="BS484" i="22"/>
  <c r="M500" i="20"/>
  <c r="BG485" i="22"/>
  <c r="BS485" i="22"/>
  <c r="M501" i="20"/>
  <c r="BG486" i="22"/>
  <c r="BS486" i="22"/>
  <c r="M502" i="20"/>
  <c r="BG487" i="22"/>
  <c r="BS487" i="22"/>
  <c r="M503" i="20"/>
  <c r="BG488" i="22"/>
  <c r="BS488" i="22"/>
  <c r="M504" i="20"/>
  <c r="BG489" i="22"/>
  <c r="BS489" i="22"/>
  <c r="M505" i="20"/>
  <c r="BG490" i="22"/>
  <c r="BS490" i="22"/>
  <c r="M506" i="20"/>
  <c r="BG491" i="22"/>
  <c r="BS491" i="22"/>
  <c r="M507" i="20"/>
  <c r="BG492" i="22"/>
  <c r="BS492" i="22"/>
  <c r="M508" i="20"/>
  <c r="BG493" i="22"/>
  <c r="BS493" i="22"/>
  <c r="M509" i="20"/>
  <c r="BG494" i="22"/>
  <c r="BS494" i="22"/>
  <c r="M510" i="20"/>
  <c r="BG495" i="22"/>
  <c r="BS495" i="22"/>
  <c r="M511" i="20"/>
  <c r="BG496" i="22"/>
  <c r="BS496" i="22"/>
  <c r="M512" i="20"/>
  <c r="BG497" i="22"/>
  <c r="BS497" i="22"/>
  <c r="M513" i="20"/>
  <c r="BG498" i="22"/>
  <c r="BS498" i="22"/>
  <c r="M514" i="20"/>
  <c r="BG499" i="22"/>
  <c r="BS499" i="22"/>
  <c r="M515" i="20"/>
  <c r="BG500" i="22"/>
  <c r="BS500" i="22"/>
  <c r="M516" i="20"/>
  <c r="BG501" i="22"/>
  <c r="BS501" i="22"/>
  <c r="M517" i="20"/>
  <c r="BG502" i="22"/>
  <c r="BS502" i="22"/>
  <c r="M518" i="20"/>
  <c r="BG503" i="22"/>
  <c r="BS503" i="22"/>
  <c r="M519" i="20"/>
  <c r="BG504" i="22"/>
  <c r="BS504" i="22"/>
  <c r="M520" i="20"/>
  <c r="BG505" i="22"/>
  <c r="BS505" i="22"/>
  <c r="M521" i="20"/>
  <c r="BG506" i="22"/>
  <c r="BS506" i="22"/>
  <c r="M522" i="20"/>
  <c r="BG507" i="22"/>
  <c r="BS507" i="22"/>
  <c r="M523" i="20"/>
  <c r="BG508" i="22"/>
  <c r="BS508" i="22"/>
  <c r="M524" i="20"/>
  <c r="BG8" i="22"/>
  <c r="K13" i="20"/>
  <c r="K17" i="20"/>
  <c r="D4" i="21"/>
  <c r="E4" i="21"/>
  <c r="F4" i="21"/>
  <c r="J4" i="21"/>
  <c r="N8" i="22"/>
  <c r="B4" i="21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C5" i="21"/>
  <c r="E4" i="25"/>
  <c r="AY109" i="22"/>
  <c r="I4" i="21"/>
  <c r="H4" i="21"/>
  <c r="K4" i="21"/>
  <c r="G4" i="21"/>
  <c r="C4" i="21"/>
  <c r="BF499" i="22"/>
  <c r="BR499" i="22"/>
  <c r="L515" i="20"/>
  <c r="K511" i="20"/>
  <c r="I514" i="20"/>
  <c r="I482" i="20"/>
  <c r="BF458" i="22"/>
  <c r="BR458" i="22"/>
  <c r="L474" i="20"/>
  <c r="BF454" i="22"/>
  <c r="BR454" i="22"/>
  <c r="L470" i="20"/>
  <c r="BF446" i="22"/>
  <c r="BR446" i="22"/>
  <c r="L462" i="20"/>
  <c r="BF438" i="22"/>
  <c r="BR438" i="22"/>
  <c r="L454" i="20"/>
  <c r="BF430" i="22"/>
  <c r="BR430" i="22"/>
  <c r="L446" i="20"/>
  <c r="BF422" i="22"/>
  <c r="BR422" i="22"/>
  <c r="L438" i="20"/>
  <c r="BF414" i="22"/>
  <c r="BR414" i="22"/>
  <c r="L430" i="20"/>
  <c r="BF410" i="22"/>
  <c r="BR410" i="22"/>
  <c r="L426" i="20"/>
  <c r="BF404" i="22"/>
  <c r="BR404" i="22"/>
  <c r="L420" i="20"/>
  <c r="BF388" i="22"/>
  <c r="BR388" i="22"/>
  <c r="L404" i="20"/>
  <c r="BF380" i="22"/>
  <c r="BR380" i="22"/>
  <c r="L396" i="20"/>
  <c r="BF368" i="22"/>
  <c r="BR368" i="22"/>
  <c r="L384" i="20"/>
  <c r="BF364" i="22"/>
  <c r="BR364" i="22"/>
  <c r="L380" i="20"/>
  <c r="BF306" i="22"/>
  <c r="BR306" i="22"/>
  <c r="L322" i="20"/>
  <c r="BF302" i="22"/>
  <c r="BR302" i="22"/>
  <c r="L318" i="20"/>
  <c r="BF298" i="22"/>
  <c r="BR298" i="22"/>
  <c r="L314" i="20"/>
  <c r="BF286" i="22"/>
  <c r="BR286" i="22"/>
  <c r="L302" i="20"/>
  <c r="BF282" i="22"/>
  <c r="BR282" i="22"/>
  <c r="L298" i="20"/>
  <c r="BF274" i="22"/>
  <c r="BR274" i="22"/>
  <c r="L290" i="20"/>
  <c r="BF266" i="22"/>
  <c r="BR266" i="22"/>
  <c r="L282" i="20"/>
  <c r="BF258" i="22"/>
  <c r="BR258" i="22"/>
  <c r="L274" i="20"/>
  <c r="BF254" i="22"/>
  <c r="BR254" i="22"/>
  <c r="L270" i="20"/>
  <c r="BF252" i="22"/>
  <c r="BR252" i="22"/>
  <c r="L268" i="20"/>
  <c r="BF250" i="22"/>
  <c r="BR250" i="22"/>
  <c r="L266" i="20"/>
  <c r="BF244" i="22"/>
  <c r="BR244" i="22"/>
  <c r="L260" i="20"/>
  <c r="BF242" i="22"/>
  <c r="BR242" i="22"/>
  <c r="L258" i="20"/>
  <c r="BF238" i="22"/>
  <c r="BR238" i="22"/>
  <c r="L254" i="20"/>
  <c r="BF234" i="22"/>
  <c r="BR234" i="22"/>
  <c r="L250" i="20"/>
  <c r="BF232" i="22"/>
  <c r="BR232" i="22"/>
  <c r="L248" i="20"/>
  <c r="BF230" i="22"/>
  <c r="BR230" i="22"/>
  <c r="L246" i="20"/>
  <c r="BF228" i="22"/>
  <c r="BR228" i="22"/>
  <c r="L244" i="20"/>
  <c r="BF226" i="22"/>
  <c r="BR226" i="22"/>
  <c r="L242" i="20"/>
  <c r="BF224" i="22"/>
  <c r="BR224" i="22"/>
  <c r="L240" i="20"/>
  <c r="BF222" i="22"/>
  <c r="BR222" i="22"/>
  <c r="L238" i="20"/>
  <c r="BF220" i="22"/>
  <c r="BR220" i="22"/>
  <c r="L236" i="20"/>
  <c r="BF218" i="22"/>
  <c r="BR218" i="22"/>
  <c r="L234" i="20"/>
  <c r="BF214" i="22"/>
  <c r="BR214" i="22"/>
  <c r="L230" i="20"/>
  <c r="BF212" i="22"/>
  <c r="BR212" i="22"/>
  <c r="L228" i="20"/>
  <c r="BF208" i="22"/>
  <c r="BR208" i="22"/>
  <c r="L224" i="20"/>
  <c r="BF204" i="22"/>
  <c r="BR204" i="22"/>
  <c r="L220" i="20"/>
  <c r="BF192" i="22"/>
  <c r="BR192" i="22"/>
  <c r="L208" i="20"/>
  <c r="BF188" i="22"/>
  <c r="BR188" i="22"/>
  <c r="L204" i="20"/>
  <c r="BF180" i="22"/>
  <c r="BR180" i="22"/>
  <c r="L196" i="20"/>
  <c r="BF176" i="22"/>
  <c r="BR176" i="22"/>
  <c r="L192" i="20"/>
  <c r="BF172" i="22"/>
  <c r="BR172" i="22"/>
  <c r="L188" i="20"/>
  <c r="BF168" i="22"/>
  <c r="BR168" i="22"/>
  <c r="L184" i="20"/>
  <c r="BF164" i="22"/>
  <c r="BR164" i="22"/>
  <c r="L180" i="20"/>
  <c r="BF505" i="22"/>
  <c r="BR505" i="22"/>
  <c r="L521" i="20"/>
  <c r="J513" i="20"/>
  <c r="BF489" i="22"/>
  <c r="BR489" i="22"/>
  <c r="L505" i="20"/>
  <c r="K493" i="20"/>
  <c r="H477" i="20"/>
  <c r="H468" i="20"/>
  <c r="D452" i="20"/>
  <c r="BE420" i="22"/>
  <c r="BQ420" i="22"/>
  <c r="K436" i="20"/>
  <c r="J428" i="20"/>
  <c r="BE410" i="22"/>
  <c r="BQ410" i="22"/>
  <c r="K426" i="20"/>
  <c r="BF397" i="22"/>
  <c r="BR397" i="22"/>
  <c r="L413" i="20"/>
  <c r="BF393" i="22"/>
  <c r="BR393" i="22"/>
  <c r="L409" i="20"/>
  <c r="BF377" i="22"/>
  <c r="BR377" i="22"/>
  <c r="L393" i="20"/>
  <c r="BF305" i="22"/>
  <c r="BR305" i="22"/>
  <c r="L321" i="20"/>
  <c r="BE302" i="22"/>
  <c r="BQ302" i="22"/>
  <c r="K318" i="20"/>
  <c r="BE298" i="22"/>
  <c r="BQ298" i="22"/>
  <c r="K314" i="20"/>
  <c r="BF293" i="22"/>
  <c r="BR293" i="22"/>
  <c r="L309" i="20"/>
  <c r="BE282" i="22"/>
  <c r="BQ282" i="22"/>
  <c r="K298" i="20"/>
  <c r="BF504" i="22"/>
  <c r="BR504" i="22"/>
  <c r="L520" i="20"/>
  <c r="K512" i="20"/>
  <c r="K496" i="20"/>
  <c r="BF468" i="22"/>
  <c r="BR468" i="22"/>
  <c r="L484" i="20"/>
  <c r="BF457" i="22"/>
  <c r="BR457" i="22"/>
  <c r="L473" i="20"/>
  <c r="BF447" i="22"/>
  <c r="BR447" i="22"/>
  <c r="L463" i="20"/>
  <c r="BF435" i="22"/>
  <c r="BR435" i="22"/>
  <c r="L451" i="20"/>
  <c r="BF425" i="22"/>
  <c r="BR425" i="22"/>
  <c r="L441" i="20"/>
  <c r="BF421" i="22"/>
  <c r="BR421" i="22"/>
  <c r="L437" i="20"/>
  <c r="BF419" i="22"/>
  <c r="BR419" i="22"/>
  <c r="L435" i="20"/>
  <c r="BF415" i="22"/>
  <c r="BR415" i="22"/>
  <c r="L431" i="20"/>
  <c r="BF394" i="22"/>
  <c r="BR394" i="22"/>
  <c r="L410" i="20"/>
  <c r="BF390" i="22"/>
  <c r="BR390" i="22"/>
  <c r="L406" i="20"/>
  <c r="BF378" i="22"/>
  <c r="BR378" i="22"/>
  <c r="L394" i="20"/>
  <c r="BF374" i="22"/>
  <c r="BR374" i="22"/>
  <c r="L390" i="20"/>
  <c r="BF357" i="22"/>
  <c r="BR357" i="22"/>
  <c r="L373" i="20"/>
  <c r="BF356" i="22"/>
  <c r="BR356" i="22"/>
  <c r="L372" i="20"/>
  <c r="BF354" i="22"/>
  <c r="BR354" i="22"/>
  <c r="L370" i="20"/>
  <c r="BF351" i="22"/>
  <c r="BR351" i="22"/>
  <c r="L367" i="20"/>
  <c r="BF347" i="22"/>
  <c r="BR347" i="22"/>
  <c r="L363" i="20"/>
  <c r="BF346" i="22"/>
  <c r="BR346" i="22"/>
  <c r="L362" i="20"/>
  <c r="BF345" i="22"/>
  <c r="BR345" i="22"/>
  <c r="L361" i="20"/>
  <c r="BF341" i="22"/>
  <c r="BR341" i="22"/>
  <c r="L357" i="20"/>
  <c r="BF340" i="22"/>
  <c r="BR340" i="22"/>
  <c r="L356" i="20"/>
  <c r="BF339" i="22"/>
  <c r="BR339" i="22"/>
  <c r="L355" i="20"/>
  <c r="BF338" i="22"/>
  <c r="BR338" i="22"/>
  <c r="L354" i="20"/>
  <c r="BF337" i="22"/>
  <c r="BR337" i="22"/>
  <c r="L353" i="20"/>
  <c r="BF335" i="22"/>
  <c r="BR335" i="22"/>
  <c r="L351" i="20"/>
  <c r="BF333" i="22"/>
  <c r="BR333" i="22"/>
  <c r="L349" i="20"/>
  <c r="BF330" i="22"/>
  <c r="BR330" i="22"/>
  <c r="L346" i="20"/>
  <c r="BF329" i="22"/>
  <c r="BR329" i="22"/>
  <c r="L345" i="20"/>
  <c r="BF325" i="22"/>
  <c r="BR325" i="22"/>
  <c r="L341" i="20"/>
  <c r="BF324" i="22"/>
  <c r="BR324" i="22"/>
  <c r="L340" i="20"/>
  <c r="BF322" i="22"/>
  <c r="BR322" i="22"/>
  <c r="L338" i="20"/>
  <c r="BF321" i="22"/>
  <c r="BR321" i="22"/>
  <c r="L337" i="20"/>
  <c r="BF319" i="22"/>
  <c r="BR319" i="22"/>
  <c r="L335" i="20"/>
  <c r="BF317" i="22"/>
  <c r="BR317" i="22"/>
  <c r="L333" i="20"/>
  <c r="BF314" i="22"/>
  <c r="BR314" i="22"/>
  <c r="L330" i="20"/>
  <c r="BF313" i="22"/>
  <c r="BR313" i="22"/>
  <c r="L329" i="20"/>
  <c r="BF309" i="22"/>
  <c r="BR309" i="22"/>
  <c r="L325" i="20"/>
  <c r="BF308" i="22"/>
  <c r="BR308" i="22"/>
  <c r="L324" i="20"/>
  <c r="BF276" i="22"/>
  <c r="BR276" i="22"/>
  <c r="L292" i="20"/>
  <c r="BF249" i="22"/>
  <c r="BR249" i="22"/>
  <c r="L265" i="20"/>
  <c r="BF483" i="22"/>
  <c r="BR483" i="22"/>
  <c r="L499" i="20"/>
  <c r="C495" i="20"/>
  <c r="BF467" i="22"/>
  <c r="BR467" i="22"/>
  <c r="L483" i="20"/>
  <c r="BF463" i="22"/>
  <c r="BR463" i="22"/>
  <c r="L479" i="20"/>
  <c r="J439" i="20"/>
  <c r="C437" i="20"/>
  <c r="H433" i="20"/>
  <c r="I429" i="20"/>
  <c r="BF403" i="22"/>
  <c r="BR403" i="22"/>
  <c r="L419" i="20"/>
  <c r="BF399" i="22"/>
  <c r="BR399" i="22"/>
  <c r="L415" i="20"/>
  <c r="BF391" i="22"/>
  <c r="BR391" i="22"/>
  <c r="L407" i="20"/>
  <c r="BF387" i="22"/>
  <c r="BR387" i="22"/>
  <c r="L403" i="20"/>
  <c r="BF383" i="22"/>
  <c r="BR383" i="22"/>
  <c r="L399" i="20"/>
  <c r="BF375" i="22"/>
  <c r="BR375" i="22"/>
  <c r="L391" i="20"/>
  <c r="BF371" i="22"/>
  <c r="BR371" i="22"/>
  <c r="L387" i="20"/>
  <c r="H386" i="20"/>
  <c r="BF359" i="22"/>
  <c r="BR359" i="22"/>
  <c r="L375" i="20"/>
  <c r="BE350" i="22"/>
  <c r="BQ350" i="22"/>
  <c r="K366" i="20"/>
  <c r="BE342" i="22"/>
  <c r="BQ342" i="22"/>
  <c r="K358" i="20"/>
  <c r="BE332" i="22"/>
  <c r="BQ332" i="22"/>
  <c r="K348" i="20"/>
  <c r="BE330" i="22"/>
  <c r="BQ330" i="22"/>
  <c r="K346" i="20"/>
  <c r="BD326" i="22"/>
  <c r="BP326" i="22"/>
  <c r="J342" i="20"/>
  <c r="BE324" i="22"/>
  <c r="BQ324" i="22"/>
  <c r="K340" i="20"/>
  <c r="BE322" i="22"/>
  <c r="BQ322" i="22"/>
  <c r="K338" i="20"/>
  <c r="BE321" i="22"/>
  <c r="BQ321" i="22"/>
  <c r="K337" i="20"/>
  <c r="BE318" i="22"/>
  <c r="BQ318" i="22"/>
  <c r="K334" i="20"/>
  <c r="BE316" i="22"/>
  <c r="BQ316" i="22"/>
  <c r="K332" i="20"/>
  <c r="BE314" i="22"/>
  <c r="BQ314" i="22"/>
  <c r="K330" i="20"/>
  <c r="BE310" i="22"/>
  <c r="BQ310" i="22"/>
  <c r="K326" i="20"/>
  <c r="BE308" i="22"/>
  <c r="BQ308" i="22"/>
  <c r="K324" i="20"/>
  <c r="BF303" i="22"/>
  <c r="BR303" i="22"/>
  <c r="L319" i="20"/>
  <c r="BF299" i="22"/>
  <c r="BR299" i="22"/>
  <c r="L315" i="20"/>
  <c r="BF295" i="22"/>
  <c r="BR295" i="22"/>
  <c r="L311" i="20"/>
  <c r="BF291" i="22"/>
  <c r="BR291" i="22"/>
  <c r="L307" i="20"/>
  <c r="BF287" i="22"/>
  <c r="BR287" i="22"/>
  <c r="L303" i="20"/>
  <c r="BF283" i="22"/>
  <c r="BR283" i="22"/>
  <c r="L299" i="20"/>
  <c r="BF279" i="22"/>
  <c r="BR279" i="22"/>
  <c r="L295" i="20"/>
  <c r="BF271" i="22"/>
  <c r="BR271" i="22"/>
  <c r="L287" i="20"/>
  <c r="BF267" i="22"/>
  <c r="BR267" i="22"/>
  <c r="L283" i="20"/>
  <c r="BD257" i="22"/>
  <c r="BP257" i="22"/>
  <c r="J273" i="20"/>
  <c r="BF207" i="22"/>
  <c r="BR207" i="22"/>
  <c r="L223" i="20"/>
  <c r="BF203" i="22"/>
  <c r="BR203" i="22"/>
  <c r="L219" i="20"/>
  <c r="BF199" i="22"/>
  <c r="BR199" i="22"/>
  <c r="L215" i="20"/>
  <c r="BF195" i="22"/>
  <c r="BR195" i="22"/>
  <c r="L211" i="20"/>
  <c r="BF187" i="22"/>
  <c r="BR187" i="22"/>
  <c r="L203" i="20"/>
  <c r="BF183" i="22"/>
  <c r="BR183" i="22"/>
  <c r="L199" i="20"/>
  <c r="BF179" i="22"/>
  <c r="BR179" i="22"/>
  <c r="L195" i="20"/>
  <c r="BF171" i="22"/>
  <c r="BR171" i="22"/>
  <c r="L187" i="20"/>
  <c r="BF167" i="22"/>
  <c r="BR167" i="22"/>
  <c r="L183" i="20"/>
  <c r="BF163" i="22"/>
  <c r="BR163" i="22"/>
  <c r="L179" i="20"/>
  <c r="BD279" i="22"/>
  <c r="BP279" i="22"/>
  <c r="J295" i="20"/>
  <c r="BE278" i="22"/>
  <c r="BQ278" i="22"/>
  <c r="K294" i="20"/>
  <c r="BF277" i="22"/>
  <c r="BR277" i="22"/>
  <c r="L293" i="20"/>
  <c r="BF261" i="22"/>
  <c r="BR261" i="22"/>
  <c r="L277" i="20"/>
  <c r="BC257" i="22"/>
  <c r="BO257" i="22"/>
  <c r="I273" i="20"/>
  <c r="BE246" i="22"/>
  <c r="BQ246" i="22"/>
  <c r="K262" i="20"/>
  <c r="BE232" i="22"/>
  <c r="BQ232" i="22"/>
  <c r="K248" i="20"/>
  <c r="BE224" i="22"/>
  <c r="BQ224" i="22"/>
  <c r="K240" i="20"/>
  <c r="BF205" i="22"/>
  <c r="BR205" i="22"/>
  <c r="L221" i="20"/>
  <c r="BF197" i="22"/>
  <c r="BR197" i="22"/>
  <c r="L213" i="20"/>
  <c r="BF193" i="22"/>
  <c r="BR193" i="22"/>
  <c r="L209" i="20"/>
  <c r="BF189" i="22"/>
  <c r="BR189" i="22"/>
  <c r="L205" i="20"/>
  <c r="BF181" i="22"/>
  <c r="BR181" i="22"/>
  <c r="L197" i="20"/>
  <c r="BE176" i="22"/>
  <c r="BQ176" i="22"/>
  <c r="K192" i="20"/>
  <c r="BF169" i="22"/>
  <c r="BR169" i="22"/>
  <c r="L185" i="20"/>
  <c r="BE160" i="22"/>
  <c r="BQ160" i="22"/>
  <c r="K176" i="20"/>
  <c r="BE297" i="22"/>
  <c r="BQ297" i="22"/>
  <c r="K313" i="20"/>
  <c r="BF296" i="22"/>
  <c r="BR296" i="22"/>
  <c r="L312" i="20"/>
  <c r="BF292" i="22"/>
  <c r="BR292" i="22"/>
  <c r="L308" i="20"/>
  <c r="BE289" i="22"/>
  <c r="BQ289" i="22"/>
  <c r="K305" i="20"/>
  <c r="BE284" i="22"/>
  <c r="BQ284" i="22"/>
  <c r="K300" i="20"/>
  <c r="BF280" i="22"/>
  <c r="BR280" i="22"/>
  <c r="L296" i="20"/>
  <c r="BE269" i="22"/>
  <c r="BQ269" i="22"/>
  <c r="K285" i="20"/>
  <c r="BF268" i="22"/>
  <c r="BR268" i="22"/>
  <c r="L284" i="20"/>
  <c r="BF264" i="22"/>
  <c r="BR264" i="22"/>
  <c r="L280" i="20"/>
  <c r="BF260" i="22"/>
  <c r="BR260" i="22"/>
  <c r="L276" i="20"/>
  <c r="BF245" i="22"/>
  <c r="BR245" i="22"/>
  <c r="L261" i="20"/>
  <c r="BF243" i="22"/>
  <c r="BR243" i="22"/>
  <c r="L259" i="20"/>
  <c r="BF241" i="22"/>
  <c r="BR241" i="22"/>
  <c r="L257" i="20"/>
  <c r="BF239" i="22"/>
  <c r="BR239" i="22"/>
  <c r="L255" i="20"/>
  <c r="BD238" i="22"/>
  <c r="BP238" i="22"/>
  <c r="J254" i="20"/>
  <c r="BF235" i="22"/>
  <c r="BR235" i="22"/>
  <c r="L251" i="20"/>
  <c r="BF231" i="22"/>
  <c r="BR231" i="22"/>
  <c r="L247" i="20"/>
  <c r="BF229" i="22"/>
  <c r="BR229" i="22"/>
  <c r="L245" i="20"/>
  <c r="BE223" i="22"/>
  <c r="BQ223" i="22"/>
  <c r="K239" i="20"/>
  <c r="BF221" i="22"/>
  <c r="BR221" i="22"/>
  <c r="L237" i="20"/>
  <c r="BF215" i="22"/>
  <c r="BR215" i="22"/>
  <c r="L231" i="20"/>
  <c r="BF213" i="22"/>
  <c r="BR213" i="22"/>
  <c r="L229" i="20"/>
  <c r="BF198" i="22"/>
  <c r="BR198" i="22"/>
  <c r="L214" i="20"/>
  <c r="BF194" i="22"/>
  <c r="BR194" i="22"/>
  <c r="L210" i="20"/>
  <c r="BF190" i="22"/>
  <c r="BR190" i="22"/>
  <c r="L206" i="20"/>
  <c r="BF186" i="22"/>
  <c r="BR186" i="22"/>
  <c r="L202" i="20"/>
  <c r="BF182" i="22"/>
  <c r="BR182" i="22"/>
  <c r="L198" i="20"/>
  <c r="BE181" i="22"/>
  <c r="BQ181" i="22"/>
  <c r="K197" i="20"/>
  <c r="BD176" i="22"/>
  <c r="BP176" i="22"/>
  <c r="J192" i="20"/>
  <c r="BF170" i="22"/>
  <c r="BR170" i="22"/>
  <c r="L186" i="20"/>
  <c r="BD169" i="22"/>
  <c r="BP169" i="22"/>
  <c r="J185" i="20"/>
  <c r="BE165" i="22"/>
  <c r="BQ165" i="22"/>
  <c r="K181" i="20"/>
  <c r="BD160" i="22"/>
  <c r="BP160" i="22"/>
  <c r="J176" i="20"/>
  <c r="BF155" i="22"/>
  <c r="BR155" i="22"/>
  <c r="L171" i="20"/>
  <c r="BF154" i="22"/>
  <c r="BR154" i="22"/>
  <c r="L170" i="20"/>
  <c r="BF153" i="22"/>
  <c r="BR153" i="22"/>
  <c r="L169" i="20"/>
  <c r="BF151" i="22"/>
  <c r="BR151" i="22"/>
  <c r="L167" i="20"/>
  <c r="BF148" i="22"/>
  <c r="BR148" i="22"/>
  <c r="L164" i="20"/>
  <c r="BF144" i="22"/>
  <c r="BR144" i="22"/>
  <c r="L160" i="20"/>
  <c r="BF141" i="22"/>
  <c r="BR141" i="22"/>
  <c r="L157" i="20"/>
  <c r="BF139" i="22"/>
  <c r="BR139" i="22"/>
  <c r="L155" i="20"/>
  <c r="BF138" i="22"/>
  <c r="BR138" i="22"/>
  <c r="L154" i="20"/>
  <c r="BF136" i="22"/>
  <c r="BR136" i="22"/>
  <c r="L152" i="20"/>
  <c r="BF135" i="22"/>
  <c r="BR135" i="22"/>
  <c r="L151" i="20"/>
  <c r="BF134" i="22"/>
  <c r="BR134" i="22"/>
  <c r="L150" i="20"/>
  <c r="BF132" i="22"/>
  <c r="BR132" i="22"/>
  <c r="L148" i="20"/>
  <c r="BF130" i="22"/>
  <c r="BR130" i="22"/>
  <c r="L146" i="20"/>
  <c r="BF128" i="22"/>
  <c r="BR128" i="22"/>
  <c r="L144" i="20"/>
  <c r="BF126" i="22"/>
  <c r="BR126" i="22"/>
  <c r="L142" i="20"/>
  <c r="BF124" i="22"/>
  <c r="BR124" i="22"/>
  <c r="L140" i="20"/>
  <c r="BF122" i="22"/>
  <c r="BR122" i="22"/>
  <c r="L138" i="20"/>
  <c r="BF120" i="22"/>
  <c r="BR120" i="22"/>
  <c r="L136" i="20"/>
  <c r="BF119" i="22"/>
  <c r="BR119" i="22"/>
  <c r="L135" i="20"/>
  <c r="BF118" i="22"/>
  <c r="BR118" i="22"/>
  <c r="L134" i="20"/>
  <c r="BF116" i="22"/>
  <c r="BR116" i="22"/>
  <c r="L132" i="20"/>
  <c r="BF114" i="22"/>
  <c r="BR114" i="22"/>
  <c r="L130" i="20"/>
  <c r="BF112" i="22"/>
  <c r="BR112" i="22"/>
  <c r="L128" i="20"/>
  <c r="BF110" i="22"/>
  <c r="BR110" i="22"/>
  <c r="L126" i="20"/>
  <c r="BF109" i="22"/>
  <c r="BR109" i="22"/>
  <c r="L125" i="20"/>
  <c r="BF108" i="22"/>
  <c r="BR108" i="22"/>
  <c r="L124" i="20"/>
  <c r="BF106" i="22"/>
  <c r="BR106" i="22"/>
  <c r="L122" i="20"/>
  <c r="BC147" i="22"/>
  <c r="BO147" i="22"/>
  <c r="I163" i="20"/>
  <c r="BF103" i="22"/>
  <c r="BR103" i="22"/>
  <c r="L119" i="20"/>
  <c r="BF101" i="22"/>
  <c r="BR101" i="22"/>
  <c r="L117" i="20"/>
  <c r="BF100" i="22"/>
  <c r="BR100" i="22"/>
  <c r="L116" i="20"/>
  <c r="BF99" i="22"/>
  <c r="BR99" i="22"/>
  <c r="L115" i="20"/>
  <c r="BF98" i="22"/>
  <c r="BR98" i="22"/>
  <c r="L114" i="20"/>
  <c r="BF97" i="22"/>
  <c r="BR97" i="22"/>
  <c r="L113" i="20"/>
  <c r="BF95" i="22"/>
  <c r="BR95" i="22"/>
  <c r="L111" i="20"/>
  <c r="BF94" i="22"/>
  <c r="BR94" i="22"/>
  <c r="L110" i="20"/>
  <c r="BF93" i="22"/>
  <c r="BR93" i="22"/>
  <c r="L109" i="20"/>
  <c r="BF92" i="22"/>
  <c r="BR92" i="22"/>
  <c r="L108" i="20"/>
  <c r="BF91" i="22"/>
  <c r="BR91" i="22"/>
  <c r="L107" i="20"/>
  <c r="BF90" i="22"/>
  <c r="BR90" i="22"/>
  <c r="L106" i="20"/>
  <c r="BF89" i="22"/>
  <c r="BR89" i="22"/>
  <c r="L105" i="20"/>
  <c r="BF87" i="22"/>
  <c r="BR87" i="22"/>
  <c r="L103" i="20"/>
  <c r="BF84" i="22"/>
  <c r="BR84" i="22"/>
  <c r="L100" i="20"/>
  <c r="BF83" i="22"/>
  <c r="BR83" i="22"/>
  <c r="L99" i="20"/>
  <c r="BF82" i="22"/>
  <c r="BR82" i="22"/>
  <c r="L98" i="20"/>
  <c r="BF81" i="22"/>
  <c r="BR81" i="22"/>
  <c r="L97" i="20"/>
  <c r="BF80" i="22"/>
  <c r="BR80" i="22"/>
  <c r="L96" i="20"/>
  <c r="BF79" i="22"/>
  <c r="BR79" i="22"/>
  <c r="L95" i="20"/>
  <c r="BF78" i="22"/>
  <c r="BR78" i="22"/>
  <c r="L94" i="20"/>
  <c r="BF76" i="22"/>
  <c r="BR76" i="22"/>
  <c r="L92" i="20"/>
  <c r="BF75" i="22"/>
  <c r="BR75" i="22"/>
  <c r="L91" i="20"/>
  <c r="BF74" i="22"/>
  <c r="BR74" i="22"/>
  <c r="L90" i="20"/>
  <c r="BF73" i="22"/>
  <c r="BR73" i="22"/>
  <c r="L89" i="20"/>
  <c r="BF72" i="22"/>
  <c r="BR72" i="22"/>
  <c r="L88" i="20"/>
  <c r="BF70" i="22"/>
  <c r="BR70" i="22"/>
  <c r="L86" i="20"/>
  <c r="BF68" i="22"/>
  <c r="BR68" i="22"/>
  <c r="L84" i="20"/>
  <c r="BF67" i="22"/>
  <c r="BR67" i="22"/>
  <c r="L83" i="20"/>
  <c r="BF66" i="22"/>
  <c r="BR66" i="22"/>
  <c r="L82" i="20"/>
  <c r="BF65" i="22"/>
  <c r="BR65" i="22"/>
  <c r="L81" i="20"/>
  <c r="BF64" i="22"/>
  <c r="BR64" i="22"/>
  <c r="L80" i="20"/>
  <c r="BF63" i="22"/>
  <c r="BR63" i="22"/>
  <c r="L79" i="20"/>
  <c r="BF62" i="22"/>
  <c r="BR62" i="22"/>
  <c r="L78" i="20"/>
  <c r="BF60" i="22"/>
  <c r="BR60" i="22"/>
  <c r="L76" i="20"/>
  <c r="BF59" i="22"/>
  <c r="BR59" i="22"/>
  <c r="L75" i="20"/>
  <c r="BF58" i="22"/>
  <c r="BR58" i="22"/>
  <c r="BF57" i="22"/>
  <c r="BR57" i="22"/>
  <c r="L73" i="20"/>
  <c r="BF56" i="22"/>
  <c r="BR56" i="22"/>
  <c r="L72" i="20"/>
  <c r="BF54" i="22"/>
  <c r="BR54" i="22"/>
  <c r="L70" i="20"/>
  <c r="BF53" i="22"/>
  <c r="BR53" i="22"/>
  <c r="L69" i="20"/>
  <c r="BF52" i="22"/>
  <c r="BR52" i="22"/>
  <c r="L68" i="20"/>
  <c r="BF51" i="22"/>
  <c r="BR51" i="22"/>
  <c r="L67" i="20"/>
  <c r="BF50" i="22"/>
  <c r="BR50" i="22"/>
  <c r="L66" i="20"/>
  <c r="BF49" i="22"/>
  <c r="BR49" i="22"/>
  <c r="L65" i="20"/>
  <c r="BF48" i="22"/>
  <c r="BR48" i="22"/>
  <c r="L64" i="20"/>
  <c r="BF46" i="22"/>
  <c r="BR46" i="22"/>
  <c r="L62" i="20"/>
  <c r="BF44" i="22"/>
  <c r="BR44" i="22"/>
  <c r="L60" i="20"/>
  <c r="BF43" i="22"/>
  <c r="BR43" i="22"/>
  <c r="L59" i="20"/>
  <c r="BF42" i="22"/>
  <c r="BR42" i="22"/>
  <c r="L58" i="20"/>
  <c r="BF41" i="22"/>
  <c r="BR41" i="22"/>
  <c r="L57" i="20"/>
  <c r="BF40" i="22"/>
  <c r="BR40" i="22"/>
  <c r="L56" i="20"/>
  <c r="BF38" i="22"/>
  <c r="BR38" i="22"/>
  <c r="L54" i="20"/>
  <c r="BF37" i="22"/>
  <c r="BR37" i="22"/>
  <c r="L53" i="20"/>
  <c r="BF36" i="22"/>
  <c r="BR36" i="22"/>
  <c r="L52" i="20"/>
  <c r="BF35" i="22"/>
  <c r="BR35" i="22"/>
  <c r="L51" i="20"/>
  <c r="BF34" i="22"/>
  <c r="BR34" i="22"/>
  <c r="L50" i="20"/>
  <c r="BF33" i="22"/>
  <c r="BR33" i="22"/>
  <c r="L49" i="20"/>
  <c r="BF32" i="22"/>
  <c r="BR32" i="22"/>
  <c r="L48" i="20"/>
  <c r="BF30" i="22"/>
  <c r="BR30" i="22"/>
  <c r="L46" i="20"/>
  <c r="BF29" i="22"/>
  <c r="BR29" i="22"/>
  <c r="L45" i="20"/>
  <c r="BF28" i="22"/>
  <c r="BR28" i="22"/>
  <c r="L44" i="20"/>
  <c r="BF27" i="22"/>
  <c r="BR27" i="22"/>
  <c r="L43" i="20"/>
  <c r="BF26" i="22"/>
  <c r="BR26" i="22"/>
  <c r="L42" i="20"/>
  <c r="BF24" i="22"/>
  <c r="BR24" i="22"/>
  <c r="L40" i="20"/>
  <c r="BF22" i="22"/>
  <c r="BR22" i="22"/>
  <c r="L38" i="20"/>
  <c r="BF21" i="22"/>
  <c r="BR21" i="22"/>
  <c r="L37" i="20"/>
  <c r="BF20" i="22"/>
  <c r="BR20" i="22"/>
  <c r="L36" i="20"/>
  <c r="BF19" i="22"/>
  <c r="BR19" i="22"/>
  <c r="L35" i="20"/>
  <c r="BF18" i="22"/>
  <c r="BR18" i="22"/>
  <c r="L34" i="20"/>
  <c r="BF16" i="22"/>
  <c r="BR16" i="22"/>
  <c r="L32" i="20"/>
  <c r="BF15" i="22"/>
  <c r="BR15" i="22"/>
  <c r="L31" i="20"/>
  <c r="BF14" i="22"/>
  <c r="BR14" i="22"/>
  <c r="L30" i="20"/>
  <c r="BF13" i="22"/>
  <c r="BR13" i="22"/>
  <c r="L29" i="20"/>
  <c r="BF12" i="22"/>
  <c r="BR12" i="22"/>
  <c r="L28" i="20"/>
  <c r="BF11" i="22"/>
  <c r="BR11" i="22"/>
  <c r="L27" i="20"/>
  <c r="BF10" i="22"/>
  <c r="BR10" i="22"/>
  <c r="L26" i="20"/>
  <c r="BF9" i="22"/>
  <c r="BR9" i="22"/>
  <c r="L25" i="20"/>
  <c r="K13" i="23"/>
  <c r="E10" i="23"/>
  <c r="D5" i="25"/>
  <c r="BF444" i="22"/>
  <c r="BR444" i="22"/>
  <c r="L460" i="20"/>
  <c r="BF412" i="22"/>
  <c r="BR412" i="22"/>
  <c r="L428" i="20"/>
  <c r="BF294" i="22"/>
  <c r="BR294" i="22"/>
  <c r="L310" i="20"/>
  <c r="BF278" i="22"/>
  <c r="BR278" i="22"/>
  <c r="L294" i="20"/>
  <c r="BF246" i="22"/>
  <c r="BR246" i="22"/>
  <c r="L262" i="20"/>
  <c r="BF160" i="22"/>
  <c r="BR160" i="22"/>
  <c r="L176" i="20"/>
  <c r="BF86" i="22"/>
  <c r="BR86" i="22"/>
  <c r="L102" i="20"/>
  <c r="BF470" i="22"/>
  <c r="BR470" i="22"/>
  <c r="L486" i="20"/>
  <c r="BF428" i="22"/>
  <c r="BR428" i="22"/>
  <c r="L444" i="20"/>
  <c r="BF216" i="22"/>
  <c r="BR216" i="22"/>
  <c r="L232" i="20"/>
  <c r="BF200" i="22"/>
  <c r="BR200" i="22"/>
  <c r="L216" i="20"/>
  <c r="BF184" i="22"/>
  <c r="BR184" i="22"/>
  <c r="L200" i="20"/>
  <c r="BF102" i="22"/>
  <c r="BR102" i="22"/>
  <c r="L118" i="20"/>
  <c r="BF465" i="22"/>
  <c r="BR465" i="22"/>
  <c r="L481" i="20"/>
  <c r="BF297" i="22"/>
  <c r="BR297" i="22"/>
  <c r="L313" i="20"/>
  <c r="BF273" i="22"/>
  <c r="BR273" i="22"/>
  <c r="L289" i="20"/>
  <c r="BF165" i="22"/>
  <c r="BR165" i="22"/>
  <c r="L181" i="20"/>
  <c r="BF85" i="22"/>
  <c r="BR85" i="22"/>
  <c r="L101" i="20"/>
  <c r="BF69" i="22"/>
  <c r="BR69" i="22"/>
  <c r="L85" i="20"/>
  <c r="BF476" i="22"/>
  <c r="BR476" i="22"/>
  <c r="L492" i="20"/>
  <c r="BF460" i="22"/>
  <c r="BR460" i="22"/>
  <c r="L476" i="20"/>
  <c r="BF455" i="22"/>
  <c r="BR455" i="22"/>
  <c r="L471" i="20"/>
  <c r="BF417" i="22"/>
  <c r="BR417" i="22"/>
  <c r="L433" i="20"/>
  <c r="BF406" i="22"/>
  <c r="BR406" i="22"/>
  <c r="L422" i="20"/>
  <c r="BF358" i="22"/>
  <c r="BR358" i="22"/>
  <c r="L374" i="20"/>
  <c r="BF352" i="22"/>
  <c r="BR352" i="22"/>
  <c r="L368" i="20"/>
  <c r="BF342" i="22"/>
  <c r="BR342" i="22"/>
  <c r="L358" i="20"/>
  <c r="BF336" i="22"/>
  <c r="BR336" i="22"/>
  <c r="L352" i="20"/>
  <c r="BF326" i="22"/>
  <c r="BR326" i="22"/>
  <c r="L342" i="20"/>
  <c r="BF320" i="22"/>
  <c r="BR320" i="22"/>
  <c r="L336" i="20"/>
  <c r="BF310" i="22"/>
  <c r="BR310" i="22"/>
  <c r="L326" i="20"/>
  <c r="BF288" i="22"/>
  <c r="BR288" i="22"/>
  <c r="L304" i="20"/>
  <c r="BF272" i="22"/>
  <c r="BR272" i="22"/>
  <c r="L288" i="20"/>
  <c r="BF253" i="22"/>
  <c r="BR253" i="22"/>
  <c r="L269" i="20"/>
  <c r="BF233" i="22"/>
  <c r="BR233" i="22"/>
  <c r="L249" i="20"/>
  <c r="BF217" i="22"/>
  <c r="BR217" i="22"/>
  <c r="L233" i="20"/>
  <c r="BF174" i="22"/>
  <c r="BR174" i="22"/>
  <c r="L190" i="20"/>
  <c r="BF166" i="22"/>
  <c r="BR166" i="22"/>
  <c r="L182" i="20"/>
  <c r="BF156" i="22"/>
  <c r="BR156" i="22"/>
  <c r="L172" i="20"/>
  <c r="BF152" i="22"/>
  <c r="BR152" i="22"/>
  <c r="L168" i="20"/>
  <c r="BF150" i="22"/>
  <c r="BR150" i="22"/>
  <c r="L166" i="20"/>
  <c r="BF149" i="22"/>
  <c r="BR149" i="22"/>
  <c r="L165" i="20"/>
  <c r="BF96" i="22"/>
  <c r="BR96" i="22"/>
  <c r="L112" i="20"/>
  <c r="BF47" i="22"/>
  <c r="BR47" i="22"/>
  <c r="L63" i="20"/>
  <c r="BF31" i="22"/>
  <c r="BR31" i="22"/>
  <c r="L47" i="20"/>
  <c r="BF25" i="22"/>
  <c r="BR25" i="22"/>
  <c r="L41" i="20"/>
  <c r="BF478" i="22"/>
  <c r="BR478" i="22"/>
  <c r="L494" i="20"/>
  <c r="BF462" i="22"/>
  <c r="BR462" i="22"/>
  <c r="L478" i="20"/>
  <c r="BF452" i="22"/>
  <c r="BR452" i="22"/>
  <c r="L468" i="20"/>
  <c r="BF436" i="22"/>
  <c r="BR436" i="22"/>
  <c r="L452" i="20"/>
  <c r="BF420" i="22"/>
  <c r="BR420" i="22"/>
  <c r="L436" i="20"/>
  <c r="BF372" i="22"/>
  <c r="BR372" i="22"/>
  <c r="L388" i="20"/>
  <c r="BF486" i="22"/>
  <c r="BR486" i="22"/>
  <c r="L502" i="20"/>
  <c r="BF502" i="22"/>
  <c r="BR502" i="22"/>
  <c r="L518" i="20"/>
  <c r="BF500" i="22"/>
  <c r="BR500" i="22"/>
  <c r="L516" i="20"/>
  <c r="BF484" i="22"/>
  <c r="BR484" i="22"/>
  <c r="L500" i="20"/>
  <c r="BF443" i="22"/>
  <c r="BR443" i="22"/>
  <c r="L459" i="20"/>
  <c r="BF494" i="22"/>
  <c r="BR494" i="22"/>
  <c r="L510" i="20"/>
  <c r="BF432" i="22"/>
  <c r="BR432" i="22"/>
  <c r="L448" i="20"/>
  <c r="BF448" i="22"/>
  <c r="BR448" i="22"/>
  <c r="L464" i="20"/>
  <c r="BF416" i="22"/>
  <c r="BR416" i="22"/>
  <c r="L432" i="20"/>
  <c r="BF400" i="22"/>
  <c r="BR400" i="22"/>
  <c r="L416" i="20"/>
  <c r="BF384" i="22"/>
  <c r="BR384" i="22"/>
  <c r="L400" i="20"/>
  <c r="BF493" i="22"/>
  <c r="BR493" i="22"/>
  <c r="L509" i="20"/>
  <c r="BF405" i="22"/>
  <c r="BR405" i="22"/>
  <c r="L421" i="20"/>
  <c r="BF389" i="22"/>
  <c r="BR389" i="22"/>
  <c r="L405" i="20"/>
  <c r="BF373" i="22"/>
  <c r="BR373" i="22"/>
  <c r="L389" i="20"/>
  <c r="BF289" i="22"/>
  <c r="BR289" i="22"/>
  <c r="L305" i="20"/>
  <c r="BF269" i="22"/>
  <c r="BR269" i="22"/>
  <c r="L285" i="20"/>
  <c r="BF507" i="22"/>
  <c r="BR507" i="22"/>
  <c r="L523" i="20"/>
  <c r="BF491" i="22"/>
  <c r="BR491" i="22"/>
  <c r="L507" i="20"/>
  <c r="BF471" i="22"/>
  <c r="BR471" i="22"/>
  <c r="L487" i="20"/>
  <c r="K11" i="23"/>
  <c r="R11" i="23"/>
  <c r="T11" i="23"/>
  <c r="K17" i="23"/>
  <c r="F10" i="23"/>
  <c r="U11" i="23"/>
  <c r="G10" i="23"/>
  <c r="K14" i="23"/>
  <c r="K12" i="23"/>
  <c r="K15" i="23"/>
  <c r="K16" i="23"/>
  <c r="BF481" i="22"/>
  <c r="BR481" i="22"/>
  <c r="L497" i="20"/>
  <c r="BF473" i="22"/>
  <c r="BR473" i="22"/>
  <c r="L489" i="20"/>
  <c r="BF265" i="22"/>
  <c r="BR265" i="22"/>
  <c r="L281" i="20"/>
  <c r="BF173" i="22"/>
  <c r="BR173" i="22"/>
  <c r="L189" i="20"/>
  <c r="BF77" i="22"/>
  <c r="BR77" i="22"/>
  <c r="L93" i="20"/>
  <c r="BF61" i="22"/>
  <c r="BR61" i="22"/>
  <c r="L77" i="20"/>
  <c r="BF508" i="22"/>
  <c r="BR508" i="22"/>
  <c r="L524" i="20"/>
  <c r="BF492" i="22"/>
  <c r="BR492" i="22"/>
  <c r="L508" i="20"/>
  <c r="BF431" i="22"/>
  <c r="BR431" i="22"/>
  <c r="L447" i="20"/>
  <c r="BF409" i="22"/>
  <c r="BR409" i="22"/>
  <c r="L425" i="20"/>
  <c r="BF344" i="22"/>
  <c r="BR344" i="22"/>
  <c r="L360" i="20"/>
  <c r="BF334" i="22"/>
  <c r="BR334" i="22"/>
  <c r="L350" i="20"/>
  <c r="BF328" i="22"/>
  <c r="BR328" i="22"/>
  <c r="L344" i="20"/>
  <c r="BF225" i="22"/>
  <c r="BR225" i="22"/>
  <c r="L241" i="20"/>
  <c r="BF209" i="22"/>
  <c r="BR209" i="22"/>
  <c r="L225" i="20"/>
  <c r="BF202" i="22"/>
  <c r="BR202" i="22"/>
  <c r="L218" i="20"/>
  <c r="BF158" i="22"/>
  <c r="BR158" i="22"/>
  <c r="L174" i="20"/>
  <c r="BF157" i="22"/>
  <c r="BR157" i="22"/>
  <c r="L173" i="20"/>
  <c r="BF104" i="22"/>
  <c r="BR104" i="22"/>
  <c r="L120" i="20"/>
  <c r="BF88" i="22"/>
  <c r="BR88" i="22"/>
  <c r="L104" i="20"/>
  <c r="BF55" i="22"/>
  <c r="BR55" i="22"/>
  <c r="L71" i="20"/>
  <c r="BF45" i="22"/>
  <c r="BR45" i="22"/>
  <c r="L61" i="20"/>
  <c r="BF39" i="22"/>
  <c r="BR39" i="22"/>
  <c r="L55" i="20"/>
  <c r="BF23" i="22"/>
  <c r="BR23" i="22"/>
  <c r="L39" i="20"/>
  <c r="BF17" i="22"/>
  <c r="BR17" i="22"/>
  <c r="L33" i="20"/>
  <c r="BF451" i="22"/>
  <c r="BR451" i="22"/>
  <c r="L467" i="20"/>
  <c r="BF423" i="22"/>
  <c r="BR423" i="22"/>
  <c r="L439" i="20"/>
  <c r="BF398" i="22"/>
  <c r="BR398" i="22"/>
  <c r="L414" i="20"/>
  <c r="BF382" i="22"/>
  <c r="BR382" i="22"/>
  <c r="L398" i="20"/>
  <c r="BF366" i="22"/>
  <c r="BR366" i="22"/>
  <c r="L382" i="20"/>
  <c r="BF350" i="22"/>
  <c r="BR350" i="22"/>
  <c r="L366" i="20"/>
  <c r="BF318" i="22"/>
  <c r="BR318" i="22"/>
  <c r="L334" i="20"/>
  <c r="BF312" i="22"/>
  <c r="BR312" i="22"/>
  <c r="L328" i="20"/>
  <c r="BF479" i="22"/>
  <c r="BR479" i="22"/>
  <c r="L495" i="20"/>
  <c r="BF367" i="22"/>
  <c r="BR367" i="22"/>
  <c r="L383" i="20"/>
  <c r="BF275" i="22"/>
  <c r="BR275" i="22"/>
  <c r="L291" i="20"/>
  <c r="BF259" i="22"/>
  <c r="BR259" i="22"/>
  <c r="L275" i="20"/>
  <c r="BF71" i="22"/>
  <c r="BR71" i="22"/>
  <c r="L87" i="20"/>
  <c r="BF456" i="22"/>
  <c r="BR456" i="22"/>
  <c r="L472" i="20"/>
  <c r="BF440" i="22"/>
  <c r="BR440" i="22"/>
  <c r="L456" i="20"/>
  <c r="BF424" i="22"/>
  <c r="BR424" i="22"/>
  <c r="L440" i="20"/>
  <c r="BF408" i="22"/>
  <c r="BR408" i="22"/>
  <c r="L424" i="20"/>
  <c r="BF392" i="22"/>
  <c r="BR392" i="22"/>
  <c r="L408" i="20"/>
  <c r="BF376" i="22"/>
  <c r="BR376" i="22"/>
  <c r="L392" i="20"/>
  <c r="BF236" i="22"/>
  <c r="BR236" i="22"/>
  <c r="L252" i="20"/>
  <c r="BF501" i="22"/>
  <c r="BR501" i="22"/>
  <c r="L517" i="20"/>
  <c r="BF485" i="22"/>
  <c r="BR485" i="22"/>
  <c r="L501" i="20"/>
  <c r="BF381" i="22"/>
  <c r="BR381" i="22"/>
  <c r="L397" i="20"/>
  <c r="BF365" i="22"/>
  <c r="BR365" i="22"/>
  <c r="L381" i="20"/>
  <c r="BF281" i="22"/>
  <c r="BR281" i="22"/>
  <c r="L297" i="20"/>
  <c r="BF439" i="22"/>
  <c r="BR439" i="22"/>
  <c r="L455" i="20"/>
  <c r="BF427" i="22"/>
  <c r="BR427" i="22"/>
  <c r="L443" i="20"/>
  <c r="BF413" i="22"/>
  <c r="BR413" i="22"/>
  <c r="L429" i="20"/>
  <c r="BF370" i="22"/>
  <c r="BR370" i="22"/>
  <c r="L386" i="20"/>
  <c r="BF348" i="22"/>
  <c r="BR348" i="22"/>
  <c r="L364" i="20"/>
  <c r="BF332" i="22"/>
  <c r="BR332" i="22"/>
  <c r="L348" i="20"/>
  <c r="BF316" i="22"/>
  <c r="BR316" i="22"/>
  <c r="L332" i="20"/>
  <c r="BF300" i="22"/>
  <c r="BR300" i="22"/>
  <c r="L316" i="20"/>
  <c r="BF284" i="22"/>
  <c r="BR284" i="22"/>
  <c r="L300" i="20"/>
  <c r="BF257" i="22"/>
  <c r="BR257" i="22"/>
  <c r="L273" i="20"/>
  <c r="BF247" i="22"/>
  <c r="BR247" i="22"/>
  <c r="L263" i="20"/>
  <c r="BF237" i="22"/>
  <c r="BR237" i="22"/>
  <c r="L253" i="20"/>
  <c r="BE366" i="22"/>
  <c r="BQ366" i="22"/>
  <c r="K382" i="20"/>
  <c r="BE184" i="22"/>
  <c r="BQ184" i="22"/>
  <c r="K200" i="20"/>
  <c r="I500" i="20"/>
  <c r="BE398" i="22"/>
  <c r="BQ398" i="22"/>
  <c r="K414" i="20"/>
  <c r="BE266" i="22"/>
  <c r="BQ266" i="22"/>
  <c r="K282" i="20"/>
  <c r="K484" i="20"/>
  <c r="BD376" i="22"/>
  <c r="BP376" i="22"/>
  <c r="J392" i="20"/>
  <c r="C517" i="20"/>
  <c r="G481" i="20"/>
  <c r="BC228" i="22"/>
  <c r="BO228" i="22"/>
  <c r="I244" i="20"/>
  <c r="BD291" i="22"/>
  <c r="BP291" i="22"/>
  <c r="J307" i="20"/>
  <c r="BA200" i="22"/>
  <c r="BM200" i="22"/>
  <c r="G216" i="20"/>
  <c r="BB184" i="22"/>
  <c r="BN184" i="22"/>
  <c r="H200" i="20"/>
  <c r="BC150" i="22"/>
  <c r="BO150" i="22"/>
  <c r="I166" i="20"/>
  <c r="BD225" i="22"/>
  <c r="BP225" i="22"/>
  <c r="J241" i="20"/>
  <c r="BE69" i="22"/>
  <c r="BQ69" i="22"/>
  <c r="K85" i="20"/>
  <c r="BE53" i="22"/>
  <c r="BQ53" i="22"/>
  <c r="K69" i="20"/>
  <c r="BD51" i="22"/>
  <c r="BP51" i="22"/>
  <c r="J67" i="20"/>
  <c r="BE37" i="22"/>
  <c r="BQ37" i="22"/>
  <c r="K53" i="20"/>
  <c r="BE21" i="22"/>
  <c r="BQ21" i="22"/>
  <c r="K37" i="20"/>
  <c r="BE15" i="22"/>
  <c r="BQ15" i="22"/>
  <c r="K31" i="20"/>
  <c r="BS8" i="22"/>
  <c r="M24" i="20"/>
  <c r="J481" i="20"/>
  <c r="J459" i="20"/>
  <c r="J479" i="20"/>
  <c r="J509" i="20"/>
  <c r="J501" i="20"/>
  <c r="BE156" i="22"/>
  <c r="BQ156" i="22"/>
  <c r="K172" i="20"/>
  <c r="J517" i="20"/>
  <c r="J507" i="20"/>
  <c r="J497" i="20"/>
  <c r="J523" i="20"/>
  <c r="BE428" i="22"/>
  <c r="BQ428" i="22"/>
  <c r="K444" i="20"/>
  <c r="BE405" i="22"/>
  <c r="BQ405" i="22"/>
  <c r="K421" i="20"/>
  <c r="BE238" i="22"/>
  <c r="BQ238" i="22"/>
  <c r="K254" i="20"/>
  <c r="BE382" i="22"/>
  <c r="BQ382" i="22"/>
  <c r="K398" i="20"/>
  <c r="BE348" i="22"/>
  <c r="BQ348" i="22"/>
  <c r="K364" i="20"/>
  <c r="BC253" i="22"/>
  <c r="BO253" i="22"/>
  <c r="I269" i="20"/>
  <c r="I381" i="20"/>
  <c r="BE364" i="22"/>
  <c r="BQ364" i="22"/>
  <c r="K380" i="20"/>
  <c r="BE300" i="22"/>
  <c r="BQ300" i="22"/>
  <c r="K316" i="20"/>
  <c r="BE220" i="22"/>
  <c r="BQ220" i="22"/>
  <c r="K236" i="20"/>
  <c r="BE391" i="22"/>
  <c r="BQ391" i="22"/>
  <c r="K407" i="20"/>
  <c r="BE389" i="22"/>
  <c r="BQ389" i="22"/>
  <c r="K405" i="20"/>
  <c r="BE375" i="22"/>
  <c r="BQ375" i="22"/>
  <c r="K391" i="20"/>
  <c r="BE359" i="22"/>
  <c r="BQ359" i="22"/>
  <c r="K375" i="20"/>
  <c r="BC278" i="22"/>
  <c r="BO278" i="22"/>
  <c r="I294" i="20"/>
  <c r="BC212" i="22"/>
  <c r="BO212" i="22"/>
  <c r="I228" i="20"/>
  <c r="BE85" i="22"/>
  <c r="BQ85" i="22"/>
  <c r="K101" i="20"/>
  <c r="BE71" i="22"/>
  <c r="BQ71" i="22"/>
  <c r="K87" i="20"/>
  <c r="BE55" i="22"/>
  <c r="BQ55" i="22"/>
  <c r="K71" i="20"/>
  <c r="BE39" i="22"/>
  <c r="BQ39" i="22"/>
  <c r="K55" i="20"/>
  <c r="BE23" i="22"/>
  <c r="BQ23" i="22"/>
  <c r="K39" i="20"/>
  <c r="BD195" i="22"/>
  <c r="BP195" i="22"/>
  <c r="J211" i="20"/>
  <c r="BD179" i="22"/>
  <c r="BP179" i="22"/>
  <c r="J195" i="20"/>
  <c r="BD163" i="22"/>
  <c r="BP163" i="22"/>
  <c r="J179" i="20"/>
  <c r="H508" i="20"/>
  <c r="H478" i="20"/>
  <c r="BE365" i="22"/>
  <c r="BQ365" i="22"/>
  <c r="K381" i="20"/>
  <c r="BE356" i="22"/>
  <c r="BQ356" i="22"/>
  <c r="K372" i="20"/>
  <c r="BE340" i="22"/>
  <c r="BQ340" i="22"/>
  <c r="K356" i="20"/>
  <c r="BE294" i="22"/>
  <c r="BQ294" i="22"/>
  <c r="K310" i="20"/>
  <c r="BE253" i="22"/>
  <c r="BQ253" i="22"/>
  <c r="K269" i="20"/>
  <c r="F501" i="20"/>
  <c r="BE228" i="22"/>
  <c r="BQ228" i="22"/>
  <c r="K244" i="20"/>
  <c r="BE212" i="22"/>
  <c r="BQ212" i="22"/>
  <c r="K228" i="20"/>
  <c r="BE79" i="22"/>
  <c r="BQ79" i="22"/>
  <c r="K95" i="20"/>
  <c r="G414" i="20"/>
  <c r="H432" i="20"/>
  <c r="G421" i="20"/>
  <c r="G380" i="20"/>
  <c r="H460" i="20"/>
  <c r="BE61" i="22"/>
  <c r="BQ61" i="22"/>
  <c r="K77" i="20"/>
  <c r="BE45" i="22"/>
  <c r="BQ45" i="22"/>
  <c r="K61" i="20"/>
  <c r="BE29" i="22"/>
  <c r="BQ29" i="22"/>
  <c r="K45" i="20"/>
  <c r="BE13" i="22"/>
  <c r="BQ13" i="22"/>
  <c r="K29" i="20"/>
  <c r="F495" i="20"/>
  <c r="G405" i="20"/>
  <c r="BB258" i="22"/>
  <c r="BN258" i="22"/>
  <c r="H274" i="20"/>
  <c r="K524" i="20"/>
  <c r="I523" i="20"/>
  <c r="E523" i="20"/>
  <c r="K518" i="20"/>
  <c r="I517" i="20"/>
  <c r="E517" i="20"/>
  <c r="K508" i="20"/>
  <c r="I507" i="20"/>
  <c r="E507" i="20"/>
  <c r="K502" i="20"/>
  <c r="I501" i="20"/>
  <c r="E501" i="20"/>
  <c r="I497" i="20"/>
  <c r="I495" i="20"/>
  <c r="K494" i="20"/>
  <c r="I481" i="20"/>
  <c r="E481" i="20"/>
  <c r="E479" i="20"/>
  <c r="K478" i="20"/>
  <c r="BE452" i="22"/>
  <c r="BQ452" i="22"/>
  <c r="K468" i="20"/>
  <c r="F517" i="20"/>
  <c r="F507" i="20"/>
  <c r="F481" i="20"/>
  <c r="F479" i="20"/>
  <c r="H443" i="20"/>
  <c r="D443" i="20"/>
  <c r="H523" i="20"/>
  <c r="D523" i="20"/>
  <c r="H517" i="20"/>
  <c r="D517" i="20"/>
  <c r="J508" i="20"/>
  <c r="H507" i="20"/>
  <c r="J506" i="20"/>
  <c r="H501" i="20"/>
  <c r="D501" i="20"/>
  <c r="H497" i="20"/>
  <c r="D497" i="20"/>
  <c r="H495" i="20"/>
  <c r="D495" i="20"/>
  <c r="H487" i="20"/>
  <c r="H481" i="20"/>
  <c r="D481" i="20"/>
  <c r="H479" i="20"/>
  <c r="D479" i="20"/>
  <c r="J478" i="20"/>
  <c r="J468" i="20"/>
  <c r="F468" i="20"/>
  <c r="J460" i="20"/>
  <c r="H459" i="20"/>
  <c r="I444" i="20"/>
  <c r="J443" i="20"/>
  <c r="F443" i="20"/>
  <c r="J432" i="20"/>
  <c r="K523" i="20"/>
  <c r="K517" i="20"/>
  <c r="G517" i="20"/>
  <c r="I508" i="20"/>
  <c r="K507" i="20"/>
  <c r="G507" i="20"/>
  <c r="K501" i="20"/>
  <c r="G501" i="20"/>
  <c r="K497" i="20"/>
  <c r="G497" i="20"/>
  <c r="K495" i="20"/>
  <c r="G495" i="20"/>
  <c r="K487" i="20"/>
  <c r="K481" i="20"/>
  <c r="K479" i="20"/>
  <c r="G479" i="20"/>
  <c r="I478" i="20"/>
  <c r="I468" i="20"/>
  <c r="E468" i="20"/>
  <c r="H407" i="20"/>
  <c r="D468" i="20"/>
  <c r="G437" i="20"/>
  <c r="E381" i="20"/>
  <c r="BE174" i="22"/>
  <c r="BQ174" i="22"/>
  <c r="K190" i="20"/>
  <c r="BA142" i="22"/>
  <c r="BM142" i="22"/>
  <c r="G158" i="20"/>
  <c r="BE444" i="22"/>
  <c r="BQ444" i="22"/>
  <c r="K460" i="20"/>
  <c r="I459" i="20"/>
  <c r="E459" i="20"/>
  <c r="J444" i="20"/>
  <c r="BE427" i="22"/>
  <c r="BQ427" i="22"/>
  <c r="K443" i="20"/>
  <c r="G443" i="20"/>
  <c r="J437" i="20"/>
  <c r="F437" i="20"/>
  <c r="BE416" i="22"/>
  <c r="BQ416" i="22"/>
  <c r="K432" i="20"/>
  <c r="H429" i="20"/>
  <c r="H422" i="20"/>
  <c r="BD405" i="22"/>
  <c r="BP405" i="22"/>
  <c r="J421" i="20"/>
  <c r="F421" i="20"/>
  <c r="BD398" i="22"/>
  <c r="BP398" i="22"/>
  <c r="J414" i="20"/>
  <c r="I392" i="20"/>
  <c r="H381" i="20"/>
  <c r="BD364" i="22"/>
  <c r="BP364" i="22"/>
  <c r="J380" i="20"/>
  <c r="F380" i="20"/>
  <c r="BE336" i="22"/>
  <c r="BQ336" i="22"/>
  <c r="K352" i="20"/>
  <c r="BE320" i="22"/>
  <c r="BQ320" i="22"/>
  <c r="K336" i="20"/>
  <c r="BE315" i="22"/>
  <c r="BQ315" i="22"/>
  <c r="K331" i="20"/>
  <c r="BB278" i="22"/>
  <c r="BN278" i="22"/>
  <c r="H294" i="20"/>
  <c r="BC154" i="22"/>
  <c r="BO154" i="22"/>
  <c r="I170" i="20"/>
  <c r="I421" i="20"/>
  <c r="E421" i="20"/>
  <c r="I414" i="20"/>
  <c r="I407" i="20"/>
  <c r="I405" i="20"/>
  <c r="H392" i="20"/>
  <c r="E391" i="20"/>
  <c r="G381" i="20"/>
  <c r="I380" i="20"/>
  <c r="E380" i="20"/>
  <c r="E375" i="20"/>
  <c r="G349" i="20"/>
  <c r="BC316" i="22"/>
  <c r="BO316" i="22"/>
  <c r="I332" i="20"/>
  <c r="BC300" i="22"/>
  <c r="BO300" i="22"/>
  <c r="I316" i="20"/>
  <c r="BB291" i="22"/>
  <c r="BN291" i="22"/>
  <c r="H307" i="20"/>
  <c r="BC220" i="22"/>
  <c r="BO220" i="22"/>
  <c r="I236" i="20"/>
  <c r="I460" i="20"/>
  <c r="BE443" i="22"/>
  <c r="BQ443" i="22"/>
  <c r="K459" i="20"/>
  <c r="G459" i="20"/>
  <c r="H444" i="20"/>
  <c r="I443" i="20"/>
  <c r="E443" i="20"/>
  <c r="H437" i="20"/>
  <c r="I432" i="20"/>
  <c r="J429" i="20"/>
  <c r="BD406" i="22"/>
  <c r="BP406" i="22"/>
  <c r="J422" i="20"/>
  <c r="H421" i="20"/>
  <c r="H414" i="20"/>
  <c r="BE392" i="22"/>
  <c r="BQ392" i="22"/>
  <c r="K408" i="20"/>
  <c r="H405" i="20"/>
  <c r="BE378" i="22"/>
  <c r="BQ378" i="22"/>
  <c r="K394" i="20"/>
  <c r="BE376" i="22"/>
  <c r="BQ376" i="22"/>
  <c r="K392" i="20"/>
  <c r="G392" i="20"/>
  <c r="BD365" i="22"/>
  <c r="BP365" i="22"/>
  <c r="J381" i="20"/>
  <c r="F381" i="20"/>
  <c r="H380" i="20"/>
  <c r="H375" i="20"/>
  <c r="BE328" i="22"/>
  <c r="BQ328" i="22"/>
  <c r="K344" i="20"/>
  <c r="BB284" i="22"/>
  <c r="BN284" i="22"/>
  <c r="H300" i="20"/>
  <c r="BD300" i="22"/>
  <c r="BP300" i="22"/>
  <c r="J316" i="20"/>
  <c r="BC291" i="22"/>
  <c r="BO291" i="22"/>
  <c r="I307" i="20"/>
  <c r="BE288" i="22"/>
  <c r="BQ288" i="22"/>
  <c r="K304" i="20"/>
  <c r="BD284" i="22"/>
  <c r="BP284" i="22"/>
  <c r="J300" i="20"/>
  <c r="F300" i="20"/>
  <c r="BE281" i="22"/>
  <c r="BQ281" i="22"/>
  <c r="K297" i="20"/>
  <c r="BE274" i="22"/>
  <c r="BQ274" i="22"/>
  <c r="K290" i="20"/>
  <c r="BE272" i="22"/>
  <c r="BQ272" i="22"/>
  <c r="K288" i="20"/>
  <c r="BE267" i="22"/>
  <c r="BQ267" i="22"/>
  <c r="K283" i="20"/>
  <c r="BE258" i="22"/>
  <c r="BQ258" i="22"/>
  <c r="K274" i="20"/>
  <c r="BE233" i="22"/>
  <c r="BQ233" i="22"/>
  <c r="K249" i="20"/>
  <c r="BB228" i="22"/>
  <c r="BN228" i="22"/>
  <c r="H244" i="20"/>
  <c r="BD220" i="22"/>
  <c r="BP220" i="22"/>
  <c r="J236" i="20"/>
  <c r="BE217" i="22"/>
  <c r="BQ217" i="22"/>
  <c r="K233" i="20"/>
  <c r="BB212" i="22"/>
  <c r="BN212" i="22"/>
  <c r="H228" i="20"/>
  <c r="BD174" i="22"/>
  <c r="BP174" i="22"/>
  <c r="J190" i="20"/>
  <c r="BC163" i="22"/>
  <c r="BO163" i="22"/>
  <c r="I179" i="20"/>
  <c r="BD158" i="22"/>
  <c r="BP158" i="22"/>
  <c r="J174" i="20"/>
  <c r="BD156" i="22"/>
  <c r="BP156" i="22"/>
  <c r="J172" i="20"/>
  <c r="BE155" i="22"/>
  <c r="BQ155" i="22"/>
  <c r="K171" i="20"/>
  <c r="BB148" i="22"/>
  <c r="BN148" i="22"/>
  <c r="H164" i="20"/>
  <c r="BC131" i="22"/>
  <c r="BO131" i="22"/>
  <c r="I147" i="20"/>
  <c r="BE91" i="22"/>
  <c r="BQ91" i="22"/>
  <c r="K107" i="20"/>
  <c r="BE75" i="22"/>
  <c r="BQ75" i="22"/>
  <c r="K91" i="20"/>
  <c r="BE73" i="22"/>
  <c r="BQ73" i="22"/>
  <c r="K89" i="20"/>
  <c r="BE57" i="22"/>
  <c r="BQ57" i="22"/>
  <c r="K73" i="20"/>
  <c r="BD55" i="22"/>
  <c r="BP55" i="22"/>
  <c r="J71" i="20"/>
  <c r="BE41" i="22"/>
  <c r="BQ41" i="22"/>
  <c r="K57" i="20"/>
  <c r="BC284" i="22"/>
  <c r="BO284" i="22"/>
  <c r="I300" i="20"/>
  <c r="E300" i="20"/>
  <c r="BD281" i="22"/>
  <c r="BP281" i="22"/>
  <c r="J297" i="20"/>
  <c r="G294" i="20"/>
  <c r="C294" i="20"/>
  <c r="BD274" i="22"/>
  <c r="BP274" i="22"/>
  <c r="J290" i="20"/>
  <c r="BD267" i="22"/>
  <c r="BP267" i="22"/>
  <c r="J283" i="20"/>
  <c r="BD258" i="22"/>
  <c r="BP258" i="22"/>
  <c r="J274" i="20"/>
  <c r="D264" i="20"/>
  <c r="BD233" i="22"/>
  <c r="BP233" i="22"/>
  <c r="J249" i="20"/>
  <c r="BD217" i="22"/>
  <c r="BP217" i="22"/>
  <c r="J233" i="20"/>
  <c r="BD203" i="22"/>
  <c r="BP203" i="22"/>
  <c r="J219" i="20"/>
  <c r="BD192" i="22"/>
  <c r="BP192" i="22"/>
  <c r="J208" i="20"/>
  <c r="BC181" i="22"/>
  <c r="BO181" i="22"/>
  <c r="I197" i="20"/>
  <c r="BB161" i="22"/>
  <c r="BN161" i="22"/>
  <c r="H177" i="20"/>
  <c r="BA148" i="22"/>
  <c r="BM148" i="22"/>
  <c r="G164" i="20"/>
  <c r="BB147" i="22"/>
  <c r="BN147" i="22"/>
  <c r="H163" i="20"/>
  <c r="BD80" i="22"/>
  <c r="BP80" i="22"/>
  <c r="J96" i="20"/>
  <c r="BE291" i="22"/>
  <c r="BQ291" i="22"/>
  <c r="K307" i="20"/>
  <c r="BC281" i="22"/>
  <c r="BO281" i="22"/>
  <c r="I297" i="20"/>
  <c r="BD278" i="22"/>
  <c r="BP278" i="22"/>
  <c r="J294" i="20"/>
  <c r="F294" i="20"/>
  <c r="BE273" i="22"/>
  <c r="BQ273" i="22"/>
  <c r="K289" i="20"/>
  <c r="BC267" i="22"/>
  <c r="BO267" i="22"/>
  <c r="I283" i="20"/>
  <c r="BC258" i="22"/>
  <c r="BO258" i="22"/>
  <c r="I274" i="20"/>
  <c r="BE257" i="22"/>
  <c r="BQ257" i="22"/>
  <c r="K273" i="20"/>
  <c r="BD253" i="22"/>
  <c r="BP253" i="22"/>
  <c r="J269" i="20"/>
  <c r="BE250" i="22"/>
  <c r="BQ250" i="22"/>
  <c r="K266" i="20"/>
  <c r="BE248" i="22"/>
  <c r="BQ248" i="22"/>
  <c r="K264" i="20"/>
  <c r="BE243" i="22"/>
  <c r="BQ243" i="22"/>
  <c r="K259" i="20"/>
  <c r="BE234" i="22"/>
  <c r="BQ234" i="22"/>
  <c r="K250" i="20"/>
  <c r="BC233" i="22"/>
  <c r="BO233" i="22"/>
  <c r="I249" i="20"/>
  <c r="BD228" i="22"/>
  <c r="BP228" i="22"/>
  <c r="J244" i="20"/>
  <c r="BE225" i="22"/>
  <c r="BQ225" i="22"/>
  <c r="K241" i="20"/>
  <c r="BB220" i="22"/>
  <c r="BN220" i="22"/>
  <c r="H236" i="20"/>
  <c r="BD212" i="22"/>
  <c r="BP212" i="22"/>
  <c r="J228" i="20"/>
  <c r="BE209" i="22"/>
  <c r="BQ209" i="22"/>
  <c r="K225" i="20"/>
  <c r="BE202" i="22"/>
  <c r="BQ202" i="22"/>
  <c r="K218" i="20"/>
  <c r="BE200" i="22"/>
  <c r="BQ200" i="22"/>
  <c r="K216" i="20"/>
  <c r="BE195" i="22"/>
  <c r="BQ195" i="22"/>
  <c r="K211" i="20"/>
  <c r="BC187" i="22"/>
  <c r="BO187" i="22"/>
  <c r="I203" i="20"/>
  <c r="BE186" i="22"/>
  <c r="BQ186" i="22"/>
  <c r="K202" i="20"/>
  <c r="BE179" i="22"/>
  <c r="BQ179" i="22"/>
  <c r="K195" i="20"/>
  <c r="BE168" i="22"/>
  <c r="BQ168" i="22"/>
  <c r="K184" i="20"/>
  <c r="BE163" i="22"/>
  <c r="BQ163" i="22"/>
  <c r="K179" i="20"/>
  <c r="BE154" i="22"/>
  <c r="BQ154" i="22"/>
  <c r="K170" i="20"/>
  <c r="BE152" i="22"/>
  <c r="BQ152" i="22"/>
  <c r="K168" i="20"/>
  <c r="BD150" i="22"/>
  <c r="BP150" i="22"/>
  <c r="J166" i="20"/>
  <c r="BD148" i="22"/>
  <c r="BP148" i="22"/>
  <c r="J164" i="20"/>
  <c r="BE83" i="22"/>
  <c r="BQ83" i="22"/>
  <c r="K99" i="20"/>
  <c r="BE81" i="22"/>
  <c r="BQ81" i="22"/>
  <c r="K97" i="20"/>
  <c r="BD79" i="22"/>
  <c r="BP79" i="22"/>
  <c r="J95" i="20"/>
  <c r="BE67" i="22"/>
  <c r="BQ67" i="22"/>
  <c r="K83" i="20"/>
  <c r="BE51" i="22"/>
  <c r="BQ51" i="22"/>
  <c r="K67" i="20"/>
  <c r="BD47" i="22"/>
  <c r="BP47" i="22"/>
  <c r="J63" i="20"/>
  <c r="BE25" i="22"/>
  <c r="BQ25" i="22"/>
  <c r="K41" i="20"/>
  <c r="BD23" i="22"/>
  <c r="BP23" i="22"/>
  <c r="J39" i="20"/>
  <c r="BD9" i="22"/>
  <c r="BP9" i="22"/>
  <c r="J25" i="20"/>
  <c r="BE35" i="22"/>
  <c r="BQ35" i="22"/>
  <c r="K51" i="20"/>
  <c r="BD31" i="22"/>
  <c r="BP31" i="22"/>
  <c r="J47" i="20"/>
  <c r="BE19" i="22"/>
  <c r="BQ19" i="22"/>
  <c r="K35" i="20"/>
  <c r="AX50" i="22"/>
  <c r="BJ50" i="22"/>
  <c r="D66" i="20"/>
  <c r="C421" i="20"/>
  <c r="C405" i="20"/>
  <c r="C391" i="20"/>
  <c r="D381" i="20"/>
  <c r="D365" i="20"/>
  <c r="D294" i="20"/>
  <c r="D437" i="20"/>
  <c r="D421" i="20"/>
  <c r="D405" i="20"/>
  <c r="D380" i="20"/>
  <c r="D332" i="20"/>
  <c r="C523" i="20"/>
  <c r="C501" i="20"/>
  <c r="C479" i="20"/>
  <c r="C459" i="20"/>
  <c r="D300" i="20"/>
  <c r="C468" i="20"/>
  <c r="C443" i="20"/>
  <c r="H11" i="23"/>
  <c r="F6" i="25"/>
  <c r="D5" i="21"/>
  <c r="E5" i="25"/>
  <c r="L74" i="20"/>
  <c r="BD21" i="22"/>
  <c r="BP21" i="22"/>
  <c r="J37" i="20"/>
  <c r="BB25" i="22"/>
  <c r="BN25" i="22"/>
  <c r="H41" i="20"/>
  <c r="BD37" i="22"/>
  <c r="BP37" i="22"/>
  <c r="J53" i="20"/>
  <c r="BD69" i="22"/>
  <c r="BP69" i="22"/>
  <c r="J85" i="20"/>
  <c r="BD81" i="22"/>
  <c r="BP81" i="22"/>
  <c r="J97" i="20"/>
  <c r="BE9" i="22"/>
  <c r="BQ9" i="22"/>
  <c r="K25" i="20"/>
  <c r="BD36" i="22"/>
  <c r="BP36" i="22"/>
  <c r="J52" i="20"/>
  <c r="BE97" i="22"/>
  <c r="BQ97" i="22"/>
  <c r="K113" i="20"/>
  <c r="BA36" i="22"/>
  <c r="BM36" i="22"/>
  <c r="G52" i="20"/>
  <c r="BE108" i="22"/>
  <c r="BQ108" i="22"/>
  <c r="K124" i="20"/>
  <c r="D213" i="20"/>
  <c r="BB237" i="22"/>
  <c r="BN237" i="22"/>
  <c r="H253" i="20"/>
  <c r="I422" i="20"/>
  <c r="BD20" i="22"/>
  <c r="BP20" i="22"/>
  <c r="J36" i="20"/>
  <c r="BE115" i="22"/>
  <c r="BQ115" i="22"/>
  <c r="K131" i="20"/>
  <c r="BE129" i="22"/>
  <c r="BQ129" i="22"/>
  <c r="K145" i="20"/>
  <c r="BD286" i="22"/>
  <c r="BP286" i="22"/>
  <c r="J302" i="20"/>
  <c r="H416" i="20"/>
  <c r="BD140" i="22"/>
  <c r="BP140" i="22"/>
  <c r="J156" i="20"/>
  <c r="BE161" i="22"/>
  <c r="BQ161" i="22"/>
  <c r="K177" i="20"/>
  <c r="H327" i="20"/>
  <c r="F331" i="20"/>
  <c r="BE355" i="22"/>
  <c r="BQ355" i="22"/>
  <c r="K371" i="20"/>
  <c r="BE437" i="22"/>
  <c r="BQ437" i="22"/>
  <c r="K453" i="20"/>
  <c r="I461" i="20"/>
  <c r="BD236" i="22"/>
  <c r="BP236" i="22"/>
  <c r="J252" i="20"/>
  <c r="BD270" i="22"/>
  <c r="BP270" i="22"/>
  <c r="J286" i="20"/>
  <c r="J453" i="20"/>
  <c r="J472" i="20"/>
  <c r="I479" i="20"/>
  <c r="E495" i="20"/>
  <c r="BE406" i="22"/>
  <c r="BQ406" i="22"/>
  <c r="K422" i="20"/>
  <c r="J495" i="20"/>
  <c r="I397" i="20"/>
  <c r="I440" i="20"/>
  <c r="BE445" i="22"/>
  <c r="BQ445" i="22"/>
  <c r="K461" i="20"/>
  <c r="BE339" i="22"/>
  <c r="BQ339" i="22"/>
  <c r="K355" i="20"/>
  <c r="H511" i="20"/>
  <c r="I493" i="20"/>
  <c r="G514" i="20"/>
  <c r="J493" i="20"/>
  <c r="BF355" i="22"/>
  <c r="BR355" i="22"/>
  <c r="L371" i="20"/>
  <c r="BA223" i="22"/>
  <c r="BM223" i="22"/>
  <c r="G239" i="20"/>
  <c r="BF140" i="22"/>
  <c r="BR140" i="22"/>
  <c r="L156" i="20"/>
  <c r="BC140" i="22"/>
  <c r="BO140" i="22"/>
  <c r="I156" i="20"/>
  <c r="BB140" i="22"/>
  <c r="BN140" i="22"/>
  <c r="H156" i="20"/>
  <c r="BF142" i="22"/>
  <c r="BR142" i="22"/>
  <c r="L158" i="20"/>
  <c r="BB142" i="22"/>
  <c r="BN142" i="22"/>
  <c r="H158" i="20"/>
  <c r="BC142" i="22"/>
  <c r="BO142" i="22"/>
  <c r="I158" i="20"/>
  <c r="BF146" i="22"/>
  <c r="BR146" i="22"/>
  <c r="L162" i="20"/>
  <c r="BE146" i="22"/>
  <c r="BQ146" i="22"/>
  <c r="K162" i="20"/>
  <c r="BE251" i="22"/>
  <c r="BQ251" i="22"/>
  <c r="K267" i="20"/>
  <c r="BF251" i="22"/>
  <c r="BR251" i="22"/>
  <c r="L267" i="20"/>
  <c r="BC251" i="22"/>
  <c r="BO251" i="22"/>
  <c r="I267" i="20"/>
  <c r="BE177" i="22"/>
  <c r="BQ177" i="22"/>
  <c r="K193" i="20"/>
  <c r="BF177" i="22"/>
  <c r="BR177" i="22"/>
  <c r="L193" i="20"/>
  <c r="BC177" i="22"/>
  <c r="BO177" i="22"/>
  <c r="I193" i="20"/>
  <c r="BB177" i="22"/>
  <c r="BN177" i="22"/>
  <c r="H193" i="20"/>
  <c r="BD177" i="22"/>
  <c r="BP177" i="22"/>
  <c r="J193" i="20"/>
  <c r="BF307" i="22"/>
  <c r="BR307" i="22"/>
  <c r="L323" i="20"/>
  <c r="BD307" i="22"/>
  <c r="BP307" i="22"/>
  <c r="J323" i="20"/>
  <c r="J475" i="20"/>
  <c r="I475" i="20"/>
  <c r="K475" i="20"/>
  <c r="F475" i="20"/>
  <c r="E475" i="20"/>
  <c r="H475" i="20"/>
  <c r="G475" i="20"/>
  <c r="BF459" i="22"/>
  <c r="BR459" i="22"/>
  <c r="L475" i="20"/>
  <c r="I491" i="20"/>
  <c r="H491" i="20"/>
  <c r="J491" i="20"/>
  <c r="K491" i="20"/>
  <c r="C491" i="20"/>
  <c r="BF475" i="22"/>
  <c r="BR475" i="22"/>
  <c r="L491" i="20"/>
  <c r="BF304" i="22"/>
  <c r="BR304" i="22"/>
  <c r="L320" i="20"/>
  <c r="BE304" i="22"/>
  <c r="BQ304" i="22"/>
  <c r="K320" i="20"/>
  <c r="BF327" i="22"/>
  <c r="BR327" i="22"/>
  <c r="L343" i="20"/>
  <c r="BE327" i="22"/>
  <c r="BQ327" i="22"/>
  <c r="K343" i="20"/>
  <c r="BF331" i="22"/>
  <c r="BR331" i="22"/>
  <c r="L347" i="20"/>
  <c r="BE331" i="22"/>
  <c r="BQ331" i="22"/>
  <c r="K347" i="20"/>
  <c r="E347" i="20"/>
  <c r="G347" i="20"/>
  <c r="BF343" i="22"/>
  <c r="BR343" i="22"/>
  <c r="L359" i="20"/>
  <c r="BE343" i="22"/>
  <c r="BQ343" i="22"/>
  <c r="K359" i="20"/>
  <c r="F359" i="20"/>
  <c r="G427" i="20"/>
  <c r="I427" i="20"/>
  <c r="C427" i="20"/>
  <c r="J427" i="20"/>
  <c r="BF411" i="22"/>
  <c r="BR411" i="22"/>
  <c r="L427" i="20"/>
  <c r="D427" i="20"/>
  <c r="E427" i="20"/>
  <c r="BF429" i="22"/>
  <c r="BR429" i="22"/>
  <c r="L445" i="20"/>
  <c r="J445" i="20"/>
  <c r="I445" i="20"/>
  <c r="BF437" i="22"/>
  <c r="BR437" i="22"/>
  <c r="L453" i="20"/>
  <c r="F453" i="20"/>
  <c r="H453" i="20"/>
  <c r="G453" i="20"/>
  <c r="D453" i="20"/>
  <c r="I453" i="20"/>
  <c r="E453" i="20"/>
  <c r="BF453" i="22"/>
  <c r="BR453" i="22"/>
  <c r="L469" i="20"/>
  <c r="I469" i="20"/>
  <c r="BE453" i="22"/>
  <c r="BQ453" i="22"/>
  <c r="K469" i="20"/>
  <c r="H469" i="20"/>
  <c r="J496" i="20"/>
  <c r="I496" i="20"/>
  <c r="BF480" i="22"/>
  <c r="BR480" i="22"/>
  <c r="L496" i="20"/>
  <c r="E496" i="20"/>
  <c r="C385" i="20"/>
  <c r="BF369" i="22"/>
  <c r="BR369" i="22"/>
  <c r="L385" i="20"/>
  <c r="BF401" i="22"/>
  <c r="BR401" i="22"/>
  <c r="L417" i="20"/>
  <c r="BE401" i="22"/>
  <c r="BQ401" i="22"/>
  <c r="K417" i="20"/>
  <c r="E343" i="20"/>
  <c r="H427" i="20"/>
  <c r="BD339" i="22"/>
  <c r="BP339" i="22"/>
  <c r="J355" i="20"/>
  <c r="F239" i="20"/>
  <c r="BD142" i="22"/>
  <c r="BP142" i="22"/>
  <c r="J158" i="20"/>
  <c r="BE394" i="22"/>
  <c r="BQ394" i="22"/>
  <c r="K410" i="20"/>
  <c r="BE236" i="22"/>
  <c r="BQ236" i="22"/>
  <c r="K252" i="20"/>
  <c r="F469" i="20"/>
  <c r="F427" i="20"/>
  <c r="H493" i="20"/>
  <c r="E469" i="20"/>
  <c r="BF223" i="22"/>
  <c r="BR223" i="22"/>
  <c r="L239" i="20"/>
  <c r="C239" i="20"/>
  <c r="BB223" i="22"/>
  <c r="BN223" i="22"/>
  <c r="H239" i="20"/>
  <c r="BD223" i="22"/>
  <c r="BP223" i="22"/>
  <c r="J239" i="20"/>
  <c r="D239" i="20"/>
  <c r="BF161" i="22"/>
  <c r="BR161" i="22"/>
  <c r="L177" i="20"/>
  <c r="BC161" i="22"/>
  <c r="BO161" i="22"/>
  <c r="I177" i="20"/>
  <c r="BF311" i="22"/>
  <c r="BR311" i="22"/>
  <c r="L327" i="20"/>
  <c r="BE311" i="22"/>
  <c r="BQ311" i="22"/>
  <c r="K327" i="20"/>
  <c r="BE323" i="22"/>
  <c r="BQ323" i="22"/>
  <c r="K339" i="20"/>
  <c r="BF323" i="22"/>
  <c r="BR323" i="22"/>
  <c r="L339" i="20"/>
  <c r="BF464" i="22"/>
  <c r="BR464" i="22"/>
  <c r="L480" i="20"/>
  <c r="K480" i="20"/>
  <c r="BF496" i="22"/>
  <c r="BR496" i="22"/>
  <c r="L512" i="20"/>
  <c r="I512" i="20"/>
  <c r="BE385" i="22"/>
  <c r="BQ385" i="22"/>
  <c r="K401" i="20"/>
  <c r="BF385" i="22"/>
  <c r="BR385" i="22"/>
  <c r="L401" i="20"/>
  <c r="BF497" i="22"/>
  <c r="BR497" i="22"/>
  <c r="L513" i="20"/>
  <c r="I513" i="20"/>
  <c r="H513" i="20"/>
  <c r="K513" i="20"/>
  <c r="BF270" i="22"/>
  <c r="BR270" i="22"/>
  <c r="L286" i="20"/>
  <c r="BE270" i="22"/>
  <c r="BQ270" i="22"/>
  <c r="K286" i="20"/>
  <c r="BF290" i="22"/>
  <c r="BR290" i="22"/>
  <c r="L306" i="20"/>
  <c r="BD290" i="22"/>
  <c r="BP290" i="22"/>
  <c r="J306" i="20"/>
  <c r="BE290" i="22"/>
  <c r="BQ290" i="22"/>
  <c r="K306" i="20"/>
  <c r="BE396" i="22"/>
  <c r="BQ396" i="22"/>
  <c r="K412" i="20"/>
  <c r="BF396" i="22"/>
  <c r="BR396" i="22"/>
  <c r="L412" i="20"/>
  <c r="BD396" i="22"/>
  <c r="BP396" i="22"/>
  <c r="J412" i="20"/>
  <c r="I412" i="20"/>
  <c r="H412" i="20"/>
  <c r="K482" i="20"/>
  <c r="H482" i="20"/>
  <c r="J482" i="20"/>
  <c r="BF482" i="22"/>
  <c r="BR482" i="22"/>
  <c r="L498" i="20"/>
  <c r="K498" i="20"/>
  <c r="J514" i="20"/>
  <c r="E514" i="20"/>
  <c r="H514" i="20"/>
  <c r="K514" i="20"/>
  <c r="F514" i="20"/>
  <c r="BF498" i="22"/>
  <c r="BR498" i="22"/>
  <c r="L514" i="20"/>
  <c r="D514" i="20"/>
  <c r="BF495" i="22"/>
  <c r="BR495" i="22"/>
  <c r="L511" i="20"/>
  <c r="J511" i="20"/>
  <c r="D511" i="20"/>
  <c r="G511" i="20"/>
  <c r="E511" i="20"/>
  <c r="C511" i="20"/>
  <c r="I511" i="20"/>
  <c r="BF461" i="22"/>
  <c r="BR461" i="22"/>
  <c r="L477" i="20"/>
  <c r="BF477" i="22"/>
  <c r="BR477" i="22"/>
  <c r="L493" i="20"/>
  <c r="BF315" i="22"/>
  <c r="BR315" i="22"/>
  <c r="L331" i="20"/>
  <c r="BE307" i="22"/>
  <c r="BQ307" i="22"/>
  <c r="K323" i="20"/>
  <c r="BE411" i="22"/>
  <c r="BQ411" i="22"/>
  <c r="K427" i="20"/>
  <c r="H445" i="20"/>
  <c r="D469" i="20"/>
  <c r="F511" i="20"/>
  <c r="G343" i="20"/>
  <c r="BF445" i="22"/>
  <c r="BR445" i="22"/>
  <c r="L461" i="20"/>
  <c r="BF466" i="22"/>
  <c r="BR466" i="22"/>
  <c r="L482" i="20"/>
  <c r="BE140" i="22"/>
  <c r="BQ140" i="22"/>
  <c r="K156" i="20"/>
  <c r="BE142" i="22"/>
  <c r="BQ142" i="22"/>
  <c r="K158" i="20"/>
  <c r="BD261" i="22"/>
  <c r="BP261" i="22"/>
  <c r="J277" i="20"/>
  <c r="BE429" i="22"/>
  <c r="BQ429" i="22"/>
  <c r="K445" i="20"/>
  <c r="C453" i="20"/>
  <c r="J469" i="20"/>
  <c r="BE110" i="22"/>
  <c r="BQ110" i="22"/>
  <c r="K126" i="20"/>
  <c r="BE114" i="22"/>
  <c r="BQ114" i="22"/>
  <c r="K130" i="20"/>
  <c r="BE120" i="22"/>
  <c r="BQ120" i="22"/>
  <c r="K136" i="20"/>
  <c r="BE122" i="22"/>
  <c r="BQ122" i="22"/>
  <c r="K138" i="20"/>
  <c r="BC126" i="22"/>
  <c r="BO126" i="22"/>
  <c r="I142" i="20"/>
  <c r="BE130" i="22"/>
  <c r="BQ130" i="22"/>
  <c r="K146" i="20"/>
  <c r="BD132" i="22"/>
  <c r="BP132" i="22"/>
  <c r="J148" i="20"/>
  <c r="BE136" i="22"/>
  <c r="BQ136" i="22"/>
  <c r="K152" i="20"/>
  <c r="BD138" i="22"/>
  <c r="BP138" i="22"/>
  <c r="J154" i="20"/>
  <c r="BC195" i="22"/>
  <c r="BO195" i="22"/>
  <c r="I211" i="20"/>
  <c r="BE369" i="22"/>
  <c r="BQ369" i="22"/>
  <c r="K385" i="20"/>
  <c r="BE149" i="22"/>
  <c r="BQ149" i="22"/>
  <c r="K165" i="20"/>
  <c r="BD155" i="22"/>
  <c r="BP155" i="22"/>
  <c r="J171" i="20"/>
  <c r="BC193" i="22"/>
  <c r="BO193" i="22"/>
  <c r="I209" i="20"/>
  <c r="BE172" i="22"/>
  <c r="BQ172" i="22"/>
  <c r="K188" i="20"/>
  <c r="BE204" i="22"/>
  <c r="BQ204" i="22"/>
  <c r="K220" i="20"/>
  <c r="BE214" i="22"/>
  <c r="BQ214" i="22"/>
  <c r="K230" i="20"/>
  <c r="BE222" i="22"/>
  <c r="BQ222" i="22"/>
  <c r="K238" i="20"/>
  <c r="D246" i="20"/>
  <c r="BE244" i="22"/>
  <c r="BQ244" i="22"/>
  <c r="K260" i="20"/>
  <c r="BE252" i="22"/>
  <c r="BQ252" i="22"/>
  <c r="K268" i="20"/>
  <c r="BB280" i="22"/>
  <c r="BN280" i="22"/>
  <c r="H296" i="20"/>
  <c r="E363" i="20"/>
  <c r="BC355" i="22"/>
  <c r="BO355" i="22"/>
  <c r="I371" i="20"/>
  <c r="BE368" i="22"/>
  <c r="BQ368" i="22"/>
  <c r="K384" i="20"/>
  <c r="BD303" i="22"/>
  <c r="BP303" i="22"/>
  <c r="J319" i="20"/>
  <c r="F375" i="20"/>
  <c r="BD375" i="22"/>
  <c r="BP375" i="22"/>
  <c r="J391" i="20"/>
  <c r="BD391" i="22"/>
  <c r="BP391" i="22"/>
  <c r="J407" i="20"/>
  <c r="BC148" i="22"/>
  <c r="BO148" i="22"/>
  <c r="I164" i="20"/>
  <c r="BE150" i="22"/>
  <c r="BQ150" i="22"/>
  <c r="K166" i="20"/>
  <c r="BD154" i="22"/>
  <c r="BP154" i="22"/>
  <c r="J170" i="20"/>
  <c r="BE158" i="22"/>
  <c r="BQ158" i="22"/>
  <c r="K174" i="20"/>
  <c r="BD171" i="22"/>
  <c r="BP171" i="22"/>
  <c r="J187" i="20"/>
  <c r="BE194" i="22"/>
  <c r="BQ194" i="22"/>
  <c r="K210" i="20"/>
  <c r="BE213" i="22"/>
  <c r="BQ213" i="22"/>
  <c r="K229" i="20"/>
  <c r="BD247" i="22"/>
  <c r="BP247" i="22"/>
  <c r="J263" i="20"/>
  <c r="BB264" i="22"/>
  <c r="BN264" i="22"/>
  <c r="H280" i="20"/>
  <c r="BD280" i="22"/>
  <c r="BP280" i="22"/>
  <c r="J296" i="20"/>
  <c r="BD283" i="22"/>
  <c r="BP283" i="22"/>
  <c r="J299" i="20"/>
  <c r="BD299" i="22"/>
  <c r="BP299" i="22"/>
  <c r="J315" i="20"/>
  <c r="BE283" i="22"/>
  <c r="BQ283" i="22"/>
  <c r="K299" i="20"/>
  <c r="BE400" i="22"/>
  <c r="BQ400" i="22"/>
  <c r="K416" i="20"/>
  <c r="H440" i="20"/>
  <c r="F433" i="20"/>
  <c r="G440" i="20"/>
  <c r="BE370" i="22"/>
  <c r="BQ370" i="22"/>
  <c r="K386" i="20"/>
  <c r="BD269" i="22"/>
  <c r="BP269" i="22"/>
  <c r="J285" i="20"/>
  <c r="BE280" i="22"/>
  <c r="BQ280" i="22"/>
  <c r="K296" i="20"/>
  <c r="BB172" i="22"/>
  <c r="BN172" i="22"/>
  <c r="H188" i="20"/>
  <c r="BC165" i="22"/>
  <c r="BO165" i="22"/>
  <c r="I181" i="20"/>
  <c r="BD181" i="22"/>
  <c r="BP181" i="22"/>
  <c r="J197" i="20"/>
  <c r="BE424" i="22"/>
  <c r="BQ424" i="22"/>
  <c r="K440" i="20"/>
  <c r="BC172" i="22"/>
  <c r="BO172" i="22"/>
  <c r="I188" i="20"/>
  <c r="I428" i="20"/>
  <c r="BE326" i="22"/>
  <c r="BQ326" i="22"/>
  <c r="K342" i="20"/>
  <c r="BE381" i="22"/>
  <c r="BQ381" i="22"/>
  <c r="K397" i="20"/>
  <c r="C384" i="20"/>
  <c r="BE286" i="22"/>
  <c r="BQ286" i="22"/>
  <c r="K302" i="20"/>
  <c r="BD264" i="22"/>
  <c r="BP264" i="22"/>
  <c r="J280" i="20"/>
  <c r="BE230" i="22"/>
  <c r="BQ230" i="22"/>
  <c r="K246" i="20"/>
  <c r="BD252" i="22"/>
  <c r="BP252" i="22"/>
  <c r="J268" i="20"/>
  <c r="I384" i="20"/>
  <c r="BE193" i="22"/>
  <c r="BQ193" i="22"/>
  <c r="K209" i="20"/>
  <c r="BC299" i="22"/>
  <c r="BO299" i="22"/>
  <c r="I315" i="20"/>
  <c r="BD165" i="22"/>
  <c r="BP165" i="22"/>
  <c r="J181" i="20"/>
  <c r="BE299" i="22"/>
  <c r="BQ299" i="22"/>
  <c r="K315" i="20"/>
  <c r="G433" i="20"/>
  <c r="F363" i="20"/>
  <c r="BE247" i="22"/>
  <c r="BQ247" i="22"/>
  <c r="K263" i="20"/>
  <c r="D384" i="20"/>
  <c r="BD389" i="22"/>
  <c r="BP389" i="22"/>
  <c r="J405" i="20"/>
  <c r="F384" i="20"/>
  <c r="D440" i="20"/>
  <c r="BE412" i="22"/>
  <c r="BQ412" i="22"/>
  <c r="K428" i="20"/>
  <c r="J433" i="20"/>
  <c r="BD193" i="22"/>
  <c r="BP193" i="22"/>
  <c r="J209" i="20"/>
  <c r="J440" i="20"/>
  <c r="BB174" i="22"/>
  <c r="BN174" i="22"/>
  <c r="H190" i="20"/>
  <c r="BD206" i="22"/>
  <c r="BP206" i="22"/>
  <c r="J222" i="20"/>
  <c r="BE211" i="22"/>
  <c r="BQ211" i="22"/>
  <c r="K227" i="20"/>
  <c r="BD219" i="22"/>
  <c r="BP219" i="22"/>
  <c r="J235" i="20"/>
  <c r="BE227" i="22"/>
  <c r="BQ227" i="22"/>
  <c r="K243" i="20"/>
  <c r="BD167" i="22"/>
  <c r="BP167" i="22"/>
  <c r="J183" i="20"/>
  <c r="BD363" i="22"/>
  <c r="BP363" i="22"/>
  <c r="J379" i="20"/>
  <c r="BE264" i="22"/>
  <c r="BQ264" i="22"/>
  <c r="K280" i="20"/>
  <c r="BD310" i="22"/>
  <c r="BP310" i="22"/>
  <c r="J326" i="20"/>
  <c r="BB193" i="22"/>
  <c r="BN193" i="22"/>
  <c r="H209" i="20"/>
  <c r="BD172" i="22"/>
  <c r="BP172" i="22"/>
  <c r="J188" i="20"/>
  <c r="BC264" i="22"/>
  <c r="BO264" i="22"/>
  <c r="I280" i="20"/>
  <c r="I386" i="20"/>
  <c r="BD381" i="22"/>
  <c r="BP381" i="22"/>
  <c r="J397" i="20"/>
  <c r="H428" i="20"/>
  <c r="BE417" i="22"/>
  <c r="BQ417" i="22"/>
  <c r="K433" i="20"/>
  <c r="BD368" i="22"/>
  <c r="BP368" i="22"/>
  <c r="J384" i="20"/>
  <c r="BD400" i="22"/>
  <c r="BP400" i="22"/>
  <c r="J416" i="20"/>
  <c r="BE347" i="22"/>
  <c r="BQ347" i="22"/>
  <c r="K363" i="20"/>
  <c r="H397" i="20"/>
  <c r="E433" i="20"/>
  <c r="E440" i="20"/>
  <c r="D433" i="20"/>
  <c r="F440" i="20"/>
  <c r="C416" i="20"/>
  <c r="BD214" i="22"/>
  <c r="BP214" i="22"/>
  <c r="J230" i="20"/>
  <c r="BC297" i="22"/>
  <c r="BO297" i="22"/>
  <c r="I313" i="20"/>
  <c r="BD370" i="22"/>
  <c r="BP370" i="22"/>
  <c r="J386" i="20"/>
  <c r="I433" i="20"/>
  <c r="BD302" i="22"/>
  <c r="BP302" i="22"/>
  <c r="J318" i="20"/>
  <c r="BD222" i="22"/>
  <c r="BP222" i="22"/>
  <c r="J238" i="20"/>
  <c r="BC230" i="22"/>
  <c r="BO230" i="22"/>
  <c r="I246" i="20"/>
  <c r="BD244" i="22"/>
  <c r="BP244" i="22"/>
  <c r="J260" i="20"/>
  <c r="BD199" i="22"/>
  <c r="BP199" i="22"/>
  <c r="J215" i="20"/>
  <c r="BE379" i="22"/>
  <c r="BQ379" i="22"/>
  <c r="K395" i="20"/>
  <c r="BD297" i="22"/>
  <c r="BP297" i="22"/>
  <c r="J313" i="20"/>
  <c r="BD186" i="22"/>
  <c r="BP186" i="22"/>
  <c r="J202" i="20"/>
  <c r="BD209" i="22"/>
  <c r="BP209" i="22"/>
  <c r="J225" i="20"/>
  <c r="F280" i="20"/>
  <c r="BD318" i="22"/>
  <c r="BP318" i="22"/>
  <c r="J334" i="20"/>
  <c r="BD322" i="22"/>
  <c r="BP322" i="22"/>
  <c r="J338" i="20"/>
  <c r="BD342" i="22"/>
  <c r="BP342" i="22"/>
  <c r="J358" i="20"/>
  <c r="BD161" i="22"/>
  <c r="BP161" i="22"/>
  <c r="J177" i="20"/>
  <c r="E239" i="20"/>
  <c r="BC311" i="22"/>
  <c r="BO311" i="22"/>
  <c r="I327" i="20"/>
  <c r="H331" i="20"/>
  <c r="BD323" i="22"/>
  <c r="BP323" i="22"/>
  <c r="J339" i="20"/>
  <c r="BD327" i="22"/>
  <c r="BP327" i="22"/>
  <c r="J343" i="20"/>
  <c r="BD331" i="22"/>
  <c r="BP331" i="22"/>
  <c r="J347" i="20"/>
  <c r="BC339" i="22"/>
  <c r="BO339" i="22"/>
  <c r="I355" i="20"/>
  <c r="BC343" i="22"/>
  <c r="BO343" i="22"/>
  <c r="I359" i="20"/>
  <c r="H363" i="20"/>
  <c r="H371" i="20"/>
  <c r="F327" i="20"/>
  <c r="E331" i="20"/>
  <c r="H343" i="20"/>
  <c r="BC331" i="22"/>
  <c r="BO331" i="22"/>
  <c r="I347" i="20"/>
  <c r="BC347" i="22"/>
  <c r="BO347" i="22"/>
  <c r="I363" i="20"/>
  <c r="BD315" i="22"/>
  <c r="BP315" i="22"/>
  <c r="J331" i="20"/>
  <c r="BC327" i="22"/>
  <c r="BO327" i="22"/>
  <c r="I343" i="20"/>
  <c r="H355" i="20"/>
  <c r="BD347" i="22"/>
  <c r="BP347" i="22"/>
  <c r="J363" i="20"/>
  <c r="G331" i="20"/>
  <c r="BC323" i="22"/>
  <c r="BO323" i="22"/>
  <c r="I339" i="20"/>
  <c r="BD343" i="22"/>
  <c r="BP343" i="22"/>
  <c r="J359" i="20"/>
  <c r="H347" i="20"/>
  <c r="BD355" i="22"/>
  <c r="BP355" i="22"/>
  <c r="J371" i="20"/>
  <c r="D359" i="20"/>
  <c r="BD311" i="22"/>
  <c r="BP311" i="22"/>
  <c r="J327" i="20"/>
  <c r="BC315" i="22"/>
  <c r="BO315" i="22"/>
  <c r="I331" i="20"/>
  <c r="E327" i="20"/>
  <c r="F347" i="20"/>
  <c r="E359" i="20"/>
  <c r="F343" i="20"/>
  <c r="G363" i="20"/>
  <c r="G359" i="20"/>
  <c r="G327" i="20"/>
  <c r="C359" i="20"/>
  <c r="H359" i="20"/>
  <c r="H339" i="20"/>
  <c r="D331" i="20"/>
  <c r="D391" i="20"/>
  <c r="E416" i="20"/>
  <c r="I375" i="20"/>
  <c r="I391" i="20"/>
  <c r="G375" i="20"/>
  <c r="G391" i="20"/>
  <c r="H391" i="20"/>
  <c r="I416" i="20"/>
  <c r="BD359" i="22"/>
  <c r="BP359" i="22"/>
  <c r="J375" i="20"/>
  <c r="D375" i="20"/>
  <c r="C375" i="20"/>
  <c r="F416" i="20"/>
  <c r="F391" i="20"/>
  <c r="F405" i="20"/>
  <c r="BB297" i="22"/>
  <c r="BN297" i="22"/>
  <c r="H313" i="20"/>
  <c r="BD127" i="22"/>
  <c r="BP127" i="22"/>
  <c r="J143" i="20"/>
  <c r="BA181" i="22"/>
  <c r="BM181" i="22"/>
  <c r="G197" i="20"/>
  <c r="BC265" i="22"/>
  <c r="BO265" i="22"/>
  <c r="I281" i="20"/>
  <c r="E405" i="20"/>
  <c r="G416" i="20"/>
  <c r="D416" i="20"/>
  <c r="BB307" i="22"/>
  <c r="BN307" i="22"/>
  <c r="H323" i="20"/>
  <c r="H326" i="20"/>
  <c r="C342" i="20"/>
  <c r="D358" i="20"/>
  <c r="BB274" i="22"/>
  <c r="BN274" i="22"/>
  <c r="H290" i="20"/>
  <c r="D306" i="20"/>
  <c r="E358" i="20"/>
  <c r="BB281" i="22"/>
  <c r="BN281" i="22"/>
  <c r="H297" i="20"/>
  <c r="BB300" i="22"/>
  <c r="BN300" i="22"/>
  <c r="H316" i="20"/>
  <c r="AZ84" i="22"/>
  <c r="BL84" i="22"/>
  <c r="F100" i="20"/>
  <c r="BB122" i="22"/>
  <c r="BN122" i="22"/>
  <c r="H138" i="20"/>
  <c r="C469" i="20"/>
  <c r="BA168" i="22"/>
  <c r="BM168" i="22"/>
  <c r="G184" i="20"/>
  <c r="C228" i="20"/>
  <c r="BA220" i="22"/>
  <c r="BM220" i="22"/>
  <c r="G236" i="20"/>
  <c r="C274" i="20"/>
  <c r="D236" i="20"/>
  <c r="F228" i="20"/>
  <c r="BA212" i="22"/>
  <c r="BM212" i="22"/>
  <c r="G228" i="20"/>
  <c r="F236" i="20"/>
  <c r="D228" i="20"/>
  <c r="E228" i="20"/>
  <c r="E236" i="20"/>
  <c r="BA159" i="22"/>
  <c r="BM159" i="22"/>
  <c r="G175" i="20"/>
  <c r="D202" i="20"/>
  <c r="E218" i="20"/>
  <c r="F269" i="20"/>
  <c r="BB57" i="22"/>
  <c r="BN57" i="22"/>
  <c r="H73" i="20"/>
  <c r="BB61" i="22"/>
  <c r="BN61" i="22"/>
  <c r="H77" i="20"/>
  <c r="BA67" i="22"/>
  <c r="BM67" i="22"/>
  <c r="G83" i="20"/>
  <c r="BB71" i="22"/>
  <c r="BN71" i="22"/>
  <c r="H87" i="20"/>
  <c r="BD149" i="22"/>
  <c r="BP149" i="22"/>
  <c r="J165" i="20"/>
  <c r="BE153" i="22"/>
  <c r="BQ153" i="22"/>
  <c r="K169" i="20"/>
  <c r="BD137" i="22"/>
  <c r="BP137" i="22"/>
  <c r="J153" i="20"/>
  <c r="BB41" i="22"/>
  <c r="BN41" i="22"/>
  <c r="H57" i="20"/>
  <c r="BB9" i="22"/>
  <c r="BN9" i="22"/>
  <c r="H25" i="20"/>
  <c r="BC19" i="22"/>
  <c r="BO19" i="22"/>
  <c r="I35" i="20"/>
  <c r="BB21" i="22"/>
  <c r="BN21" i="22"/>
  <c r="H37" i="20"/>
  <c r="BC29" i="22"/>
  <c r="BO29" i="22"/>
  <c r="I45" i="20"/>
  <c r="BC61" i="22"/>
  <c r="BO61" i="22"/>
  <c r="I77" i="20"/>
  <c r="BC73" i="22"/>
  <c r="BO73" i="22"/>
  <c r="I89" i="20"/>
  <c r="BC81" i="22"/>
  <c r="BO81" i="22"/>
  <c r="I97" i="20"/>
  <c r="BD13" i="22"/>
  <c r="BP13" i="22"/>
  <c r="J29" i="20"/>
  <c r="BD15" i="22"/>
  <c r="BP15" i="22"/>
  <c r="J31" i="20"/>
  <c r="BD19" i="22"/>
  <c r="BP19" i="22"/>
  <c r="J35" i="20"/>
  <c r="BD25" i="22"/>
  <c r="BP25" i="22"/>
  <c r="J41" i="20"/>
  <c r="BD29" i="22"/>
  <c r="BP29" i="22"/>
  <c r="J45" i="20"/>
  <c r="BD35" i="22"/>
  <c r="BP35" i="22"/>
  <c r="J51" i="20"/>
  <c r="BD39" i="22"/>
  <c r="BP39" i="22"/>
  <c r="J55" i="20"/>
  <c r="BD41" i="22"/>
  <c r="BP41" i="22"/>
  <c r="J57" i="20"/>
  <c r="BD45" i="22"/>
  <c r="BP45" i="22"/>
  <c r="J61" i="20"/>
  <c r="BD53" i="22"/>
  <c r="BP53" i="22"/>
  <c r="J69" i="20"/>
  <c r="BD57" i="22"/>
  <c r="BP57" i="22"/>
  <c r="J73" i="20"/>
  <c r="BD61" i="22"/>
  <c r="BP61" i="22"/>
  <c r="J77" i="20"/>
  <c r="BD63" i="22"/>
  <c r="BP63" i="22"/>
  <c r="J79" i="20"/>
  <c r="BD67" i="22"/>
  <c r="BP67" i="22"/>
  <c r="J83" i="20"/>
  <c r="BD71" i="22"/>
  <c r="BP71" i="22"/>
  <c r="J87" i="20"/>
  <c r="BD73" i="22"/>
  <c r="BP73" i="22"/>
  <c r="J89" i="20"/>
  <c r="BD75" i="22"/>
  <c r="BP75" i="22"/>
  <c r="J91" i="20"/>
  <c r="BD83" i="22"/>
  <c r="BP83" i="22"/>
  <c r="J99" i="20"/>
  <c r="BD85" i="22"/>
  <c r="BP85" i="22"/>
  <c r="J101" i="20"/>
  <c r="BD89" i="22"/>
  <c r="BP89" i="22"/>
  <c r="J105" i="20"/>
  <c r="BD91" i="22"/>
  <c r="BP91" i="22"/>
  <c r="J107" i="20"/>
  <c r="BD97" i="22"/>
  <c r="BP97" i="22"/>
  <c r="J113" i="20"/>
  <c r="BD99" i="22"/>
  <c r="BP99" i="22"/>
  <c r="J115" i="20"/>
  <c r="BD101" i="22"/>
  <c r="BP101" i="22"/>
  <c r="J117" i="20"/>
  <c r="BA35" i="22"/>
  <c r="BM35" i="22"/>
  <c r="G51" i="20"/>
  <c r="BA57" i="22"/>
  <c r="BM57" i="22"/>
  <c r="G73" i="20"/>
  <c r="BA71" i="22"/>
  <c r="BM71" i="22"/>
  <c r="G87" i="20"/>
  <c r="BA73" i="22"/>
  <c r="BM73" i="22"/>
  <c r="G89" i="20"/>
  <c r="AZ101" i="22"/>
  <c r="BL101" i="22"/>
  <c r="F117" i="20"/>
  <c r="AZ111" i="22"/>
  <c r="BL111" i="22"/>
  <c r="F127" i="20"/>
  <c r="BE145" i="22"/>
  <c r="BQ145" i="22"/>
  <c r="K161" i="20"/>
  <c r="BB30" i="22"/>
  <c r="BN30" i="22"/>
  <c r="H46" i="20"/>
  <c r="BD95" i="22"/>
  <c r="BP95" i="22"/>
  <c r="J111" i="20"/>
  <c r="BE89" i="22"/>
  <c r="BQ89" i="22"/>
  <c r="K105" i="20"/>
  <c r="BE95" i="22"/>
  <c r="BQ95" i="22"/>
  <c r="K111" i="20"/>
  <c r="BE101" i="22"/>
  <c r="BQ101" i="22"/>
  <c r="K117" i="20"/>
  <c r="BA14" i="22"/>
  <c r="BM14" i="22"/>
  <c r="G30" i="20"/>
  <c r="BB20" i="22"/>
  <c r="BN20" i="22"/>
  <c r="H36" i="20"/>
  <c r="BB22" i="22"/>
  <c r="BN22" i="22"/>
  <c r="H38" i="20"/>
  <c r="BA24" i="22"/>
  <c r="BM24" i="22"/>
  <c r="G40" i="20"/>
  <c r="BA30" i="22"/>
  <c r="BM30" i="22"/>
  <c r="G46" i="20"/>
  <c r="BB91" i="22"/>
  <c r="BN91" i="22"/>
  <c r="H107" i="20"/>
  <c r="BB95" i="22"/>
  <c r="BN95" i="22"/>
  <c r="H111" i="20"/>
  <c r="BB97" i="22"/>
  <c r="BN97" i="22"/>
  <c r="H113" i="20"/>
  <c r="BA99" i="22"/>
  <c r="BM99" i="22"/>
  <c r="G115" i="20"/>
  <c r="BA101" i="22"/>
  <c r="BM101" i="22"/>
  <c r="G117" i="20"/>
  <c r="AY41" i="22"/>
  <c r="BK41" i="22"/>
  <c r="E57" i="20"/>
  <c r="AX51" i="22"/>
  <c r="BJ51" i="22"/>
  <c r="D67" i="20"/>
  <c r="AY55" i="22"/>
  <c r="BK55" i="22"/>
  <c r="E71" i="20"/>
  <c r="AY57" i="22"/>
  <c r="BK57" i="22"/>
  <c r="E73" i="20"/>
  <c r="AX67" i="22"/>
  <c r="BJ67" i="22"/>
  <c r="D83" i="20"/>
  <c r="AY71" i="22"/>
  <c r="BK71" i="22"/>
  <c r="E87" i="20"/>
  <c r="BC83" i="22"/>
  <c r="BO83" i="22"/>
  <c r="I99" i="20"/>
  <c r="BA85" i="22"/>
  <c r="BM85" i="22"/>
  <c r="G101" i="20"/>
  <c r="BC89" i="22"/>
  <c r="BO89" i="22"/>
  <c r="I105" i="20"/>
  <c r="BC91" i="22"/>
  <c r="BO91" i="22"/>
  <c r="I107" i="20"/>
  <c r="BC95" i="22"/>
  <c r="BO95" i="22"/>
  <c r="I111" i="20"/>
  <c r="BC97" i="22"/>
  <c r="BO97" i="22"/>
  <c r="I113" i="20"/>
  <c r="BC99" i="22"/>
  <c r="BO99" i="22"/>
  <c r="I115" i="20"/>
  <c r="AY111" i="22"/>
  <c r="BK111" i="22"/>
  <c r="E127" i="20"/>
  <c r="AZ121" i="22"/>
  <c r="BL121" i="22"/>
  <c r="F137" i="20"/>
  <c r="BB132" i="22"/>
  <c r="BN132" i="22"/>
  <c r="H148" i="20"/>
  <c r="BB134" i="22"/>
  <c r="BN134" i="22"/>
  <c r="H150" i="20"/>
  <c r="AZ143" i="22"/>
  <c r="BL143" i="22"/>
  <c r="F159" i="20"/>
  <c r="BA147" i="22"/>
  <c r="BM147" i="22"/>
  <c r="G163" i="20"/>
  <c r="AZ153" i="22"/>
  <c r="BL153" i="22"/>
  <c r="F169" i="20"/>
  <c r="BE99" i="22"/>
  <c r="BQ99" i="22"/>
  <c r="K115" i="20"/>
  <c r="AY153" i="22"/>
  <c r="BK153" i="22"/>
  <c r="E169" i="20"/>
  <c r="BC101" i="22"/>
  <c r="BO101" i="22"/>
  <c r="I117" i="20"/>
  <c r="BD153" i="22"/>
  <c r="BP153" i="22"/>
  <c r="J169" i="20"/>
  <c r="BC106" i="22"/>
  <c r="BO106" i="22"/>
  <c r="I122" i="20"/>
  <c r="BD118" i="22"/>
  <c r="BP118" i="22"/>
  <c r="J134" i="20"/>
  <c r="BB150" i="22"/>
  <c r="BN150" i="22"/>
  <c r="H166" i="20"/>
  <c r="BB154" i="22"/>
  <c r="BN154" i="22"/>
  <c r="H170" i="20"/>
  <c r="BB156" i="22"/>
  <c r="BN156" i="22"/>
  <c r="H172" i="20"/>
  <c r="BD305" i="22"/>
  <c r="BP305" i="22"/>
  <c r="J321" i="20"/>
  <c r="C406" i="20"/>
  <c r="BB124" i="22"/>
  <c r="BN124" i="22"/>
  <c r="H140" i="20"/>
  <c r="AY85" i="22"/>
  <c r="BK85" i="22"/>
  <c r="E101" i="20"/>
  <c r="AY89" i="22"/>
  <c r="BK89" i="22"/>
  <c r="E105" i="20"/>
  <c r="AZ95" i="22"/>
  <c r="BL95" i="22"/>
  <c r="F111" i="20"/>
  <c r="AX99" i="22"/>
  <c r="BJ99" i="22"/>
  <c r="D115" i="20"/>
  <c r="BE16" i="22"/>
  <c r="BQ16" i="22"/>
  <c r="K32" i="20"/>
  <c r="BE24" i="22"/>
  <c r="BQ24" i="22"/>
  <c r="K40" i="20"/>
  <c r="BD30" i="22"/>
  <c r="BP30" i="22"/>
  <c r="J46" i="20"/>
  <c r="AZ50" i="22"/>
  <c r="BL50" i="22"/>
  <c r="F66" i="20"/>
  <c r="AY66" i="22"/>
  <c r="BK66" i="22"/>
  <c r="E82" i="20"/>
  <c r="BD68" i="22"/>
  <c r="BP68" i="22"/>
  <c r="J84" i="20"/>
  <c r="BB72" i="22"/>
  <c r="BN72" i="22"/>
  <c r="H88" i="20"/>
  <c r="BC80" i="22"/>
  <c r="BO80" i="22"/>
  <c r="I96" i="20"/>
  <c r="BE82" i="22"/>
  <c r="BQ82" i="22"/>
  <c r="K98" i="20"/>
  <c r="AY84" i="22"/>
  <c r="BK84" i="22"/>
  <c r="E100" i="20"/>
  <c r="BC90" i="22"/>
  <c r="BO90" i="22"/>
  <c r="I106" i="20"/>
  <c r="BD102" i="22"/>
  <c r="BP102" i="22"/>
  <c r="J118" i="20"/>
  <c r="BB108" i="22"/>
  <c r="BN108" i="22"/>
  <c r="H124" i="20"/>
  <c r="BC110" i="22"/>
  <c r="BO110" i="22"/>
  <c r="I126" i="20"/>
  <c r="C147" i="20"/>
  <c r="AY133" i="22"/>
  <c r="BK133" i="22"/>
  <c r="E149" i="20"/>
  <c r="BC137" i="22"/>
  <c r="BO137" i="22"/>
  <c r="I153" i="20"/>
  <c r="BD185" i="22"/>
  <c r="BP185" i="22"/>
  <c r="J201" i="20"/>
  <c r="BB197" i="22"/>
  <c r="BN197" i="22"/>
  <c r="H213" i="20"/>
  <c r="BB206" i="22"/>
  <c r="BN206" i="22"/>
  <c r="H222" i="20"/>
  <c r="BC235" i="22"/>
  <c r="BO235" i="22"/>
  <c r="I251" i="20"/>
  <c r="BC241" i="22"/>
  <c r="BO241" i="22"/>
  <c r="I257" i="20"/>
  <c r="BB175" i="22"/>
  <c r="BN175" i="22"/>
  <c r="H191" i="20"/>
  <c r="D196" i="20"/>
  <c r="BD182" i="22"/>
  <c r="BP182" i="22"/>
  <c r="J198" i="20"/>
  <c r="C217" i="20"/>
  <c r="C243" i="20"/>
  <c r="BA232" i="22"/>
  <c r="BM232" i="22"/>
  <c r="G248" i="20"/>
  <c r="E299" i="20"/>
  <c r="D378" i="20"/>
  <c r="D317" i="20"/>
  <c r="BC313" i="22"/>
  <c r="BO313" i="22"/>
  <c r="I329" i="20"/>
  <c r="AY142" i="22"/>
  <c r="BK142" i="22"/>
  <c r="E158" i="20"/>
  <c r="D126" i="20"/>
  <c r="BA20" i="22"/>
  <c r="BM20" i="22"/>
  <c r="G36" i="20"/>
  <c r="BA106" i="22"/>
  <c r="BM106" i="22"/>
  <c r="G122" i="20"/>
  <c r="BE305" i="22"/>
  <c r="BQ305" i="22"/>
  <c r="K321" i="20"/>
  <c r="BA118" i="22"/>
  <c r="BM118" i="22"/>
  <c r="G134" i="20"/>
  <c r="BB118" i="22"/>
  <c r="BN118" i="22"/>
  <c r="H134" i="20"/>
  <c r="BA195" i="22"/>
  <c r="BM195" i="22"/>
  <c r="G211" i="20"/>
  <c r="BA202" i="22"/>
  <c r="BM202" i="22"/>
  <c r="G218" i="20"/>
  <c r="BD66" i="22"/>
  <c r="BP66" i="22"/>
  <c r="J82" i="20"/>
  <c r="BB106" i="22"/>
  <c r="BN106" i="22"/>
  <c r="H122" i="20"/>
  <c r="BA180" i="22"/>
  <c r="BM180" i="22"/>
  <c r="G196" i="20"/>
  <c r="D243" i="20"/>
  <c r="BB301" i="22"/>
  <c r="BN301" i="22"/>
  <c r="H317" i="20"/>
  <c r="C196" i="20"/>
  <c r="BC50" i="22"/>
  <c r="BO50" i="22"/>
  <c r="I66" i="20"/>
  <c r="C126" i="20"/>
  <c r="BA150" i="22"/>
  <c r="BM150" i="22"/>
  <c r="G166" i="20"/>
  <c r="BD108" i="22"/>
  <c r="BP108" i="22"/>
  <c r="J124" i="20"/>
  <c r="AY143" i="22"/>
  <c r="BK143" i="22"/>
  <c r="E159" i="20"/>
  <c r="AW19" i="22"/>
  <c r="BI19" i="22"/>
  <c r="C35" i="20"/>
  <c r="AX29" i="22"/>
  <c r="BJ29" i="22"/>
  <c r="D45" i="20"/>
  <c r="AX35" i="22"/>
  <c r="BJ35" i="22"/>
  <c r="D51" i="20"/>
  <c r="AY39" i="22"/>
  <c r="BK39" i="22"/>
  <c r="E55" i="20"/>
  <c r="AZ39" i="22"/>
  <c r="BL39" i="22"/>
  <c r="F55" i="20"/>
  <c r="AZ51" i="22"/>
  <c r="BL51" i="22"/>
  <c r="F67" i="20"/>
  <c r="AZ71" i="22"/>
  <c r="BL71" i="22"/>
  <c r="F87" i="20"/>
  <c r="AZ79" i="22"/>
  <c r="BL79" i="22"/>
  <c r="F95" i="20"/>
  <c r="AZ25" i="22"/>
  <c r="BL25" i="22"/>
  <c r="F41" i="20"/>
  <c r="AZ29" i="22"/>
  <c r="BL29" i="22"/>
  <c r="F45" i="20"/>
  <c r="AX83" i="22"/>
  <c r="BJ83" i="22"/>
  <c r="D99" i="20"/>
  <c r="AX85" i="22"/>
  <c r="BJ85" i="22"/>
  <c r="D101" i="20"/>
  <c r="AY101" i="22"/>
  <c r="BK101" i="22"/>
  <c r="E117" i="20"/>
  <c r="BE10" i="22"/>
  <c r="BQ10" i="22"/>
  <c r="K26" i="20"/>
  <c r="BE14" i="22"/>
  <c r="BQ14" i="22"/>
  <c r="K30" i="20"/>
  <c r="BD24" i="22"/>
  <c r="BP24" i="22"/>
  <c r="J40" i="20"/>
  <c r="BE26" i="22"/>
  <c r="BQ26" i="22"/>
  <c r="K42" i="20"/>
  <c r="BE30" i="22"/>
  <c r="BQ30" i="22"/>
  <c r="K46" i="20"/>
  <c r="BE32" i="22"/>
  <c r="BQ32" i="22"/>
  <c r="K48" i="20"/>
  <c r="BD38" i="22"/>
  <c r="BP38" i="22"/>
  <c r="J54" i="20"/>
  <c r="BB40" i="22"/>
  <c r="BN40" i="22"/>
  <c r="H56" i="20"/>
  <c r="BE42" i="22"/>
  <c r="BQ42" i="22"/>
  <c r="K58" i="20"/>
  <c r="BD50" i="22"/>
  <c r="BP50" i="22"/>
  <c r="J66" i="20"/>
  <c r="BE58" i="22"/>
  <c r="BQ58" i="22"/>
  <c r="BE64" i="22"/>
  <c r="BQ64" i="22"/>
  <c r="K80" i="20"/>
  <c r="BC66" i="22"/>
  <c r="BO66" i="22"/>
  <c r="I82" i="20"/>
  <c r="BC72" i="22"/>
  <c r="BO72" i="22"/>
  <c r="I88" i="20"/>
  <c r="BE74" i="22"/>
  <c r="BQ74" i="22"/>
  <c r="K90" i="20"/>
  <c r="BD78" i="22"/>
  <c r="BP78" i="22"/>
  <c r="J94" i="20"/>
  <c r="AX80" i="22"/>
  <c r="BJ80" i="22"/>
  <c r="D96" i="20"/>
  <c r="BD84" i="22"/>
  <c r="BP84" i="22"/>
  <c r="J100" i="20"/>
  <c r="BC88" i="22"/>
  <c r="BO88" i="22"/>
  <c r="I104" i="20"/>
  <c r="BD90" i="22"/>
  <c r="BP90" i="22"/>
  <c r="J106" i="20"/>
  <c r="BC92" i="22"/>
  <c r="BO92" i="22"/>
  <c r="I108" i="20"/>
  <c r="BE98" i="22"/>
  <c r="BQ98" i="22"/>
  <c r="K114" i="20"/>
  <c r="AZ100" i="22"/>
  <c r="BL100" i="22"/>
  <c r="F116" i="20"/>
  <c r="BA102" i="22"/>
  <c r="BM102" i="22"/>
  <c r="G118" i="20"/>
  <c r="BE104" i="22"/>
  <c r="BQ104" i="22"/>
  <c r="K120" i="20"/>
  <c r="BD107" i="22"/>
  <c r="BP107" i="22"/>
  <c r="J123" i="20"/>
  <c r="BA111" i="22"/>
  <c r="BM111" i="22"/>
  <c r="G127" i="20"/>
  <c r="BB113" i="22"/>
  <c r="BN113" i="22"/>
  <c r="H129" i="20"/>
  <c r="BD121" i="22"/>
  <c r="BP121" i="22"/>
  <c r="J137" i="20"/>
  <c r="BD123" i="22"/>
  <c r="BP123" i="22"/>
  <c r="J139" i="20"/>
  <c r="AY121" i="22"/>
  <c r="BK121" i="22"/>
  <c r="E137" i="20"/>
  <c r="BC129" i="22"/>
  <c r="BO129" i="22"/>
  <c r="I145" i="20"/>
  <c r="D149" i="20"/>
  <c r="BB145" i="22"/>
  <c r="BN145" i="22"/>
  <c r="H161" i="20"/>
  <c r="BC149" i="22"/>
  <c r="BO149" i="22"/>
  <c r="I165" i="20"/>
  <c r="BC151" i="22"/>
  <c r="BO151" i="22"/>
  <c r="I167" i="20"/>
  <c r="BB153" i="22"/>
  <c r="BN153" i="22"/>
  <c r="H169" i="20"/>
  <c r="D179" i="20"/>
  <c r="BA172" i="22"/>
  <c r="BM172" i="22"/>
  <c r="G188" i="20"/>
  <c r="BC174" i="22"/>
  <c r="BO174" i="22"/>
  <c r="I190" i="20"/>
  <c r="AZ197" i="22"/>
  <c r="BL197" i="22"/>
  <c r="F213" i="20"/>
  <c r="BC219" i="22"/>
  <c r="BO219" i="22"/>
  <c r="I235" i="20"/>
  <c r="BC227" i="22"/>
  <c r="BO227" i="22"/>
  <c r="I243" i="20"/>
  <c r="BA241" i="22"/>
  <c r="BM241" i="22"/>
  <c r="G257" i="20"/>
  <c r="BB249" i="22"/>
  <c r="BN249" i="22"/>
  <c r="H265" i="20"/>
  <c r="G285" i="20"/>
  <c r="G289" i="20"/>
  <c r="BD159" i="22"/>
  <c r="BP159" i="22"/>
  <c r="J175" i="20"/>
  <c r="BB164" i="22"/>
  <c r="BN164" i="22"/>
  <c r="H180" i="20"/>
  <c r="BA166" i="22"/>
  <c r="BM166" i="22"/>
  <c r="G182" i="20"/>
  <c r="AZ169" i="22"/>
  <c r="BL169" i="22"/>
  <c r="F185" i="20"/>
  <c r="BB171" i="22"/>
  <c r="BN171" i="22"/>
  <c r="H187" i="20"/>
  <c r="AZ175" i="22"/>
  <c r="BL175" i="22"/>
  <c r="F191" i="20"/>
  <c r="BB180" i="22"/>
  <c r="BN180" i="22"/>
  <c r="H196" i="20"/>
  <c r="AZ185" i="22"/>
  <c r="BL185" i="22"/>
  <c r="F201" i="20"/>
  <c r="BB187" i="22"/>
  <c r="BN187" i="22"/>
  <c r="H203" i="20"/>
  <c r="AZ191" i="22"/>
  <c r="BL191" i="22"/>
  <c r="F207" i="20"/>
  <c r="D212" i="20"/>
  <c r="BB203" i="22"/>
  <c r="BN203" i="22"/>
  <c r="H219" i="20"/>
  <c r="BE229" i="22"/>
  <c r="BQ229" i="22"/>
  <c r="K245" i="20"/>
  <c r="E263" i="20"/>
  <c r="BB252" i="22"/>
  <c r="BN252" i="22"/>
  <c r="H268" i="20"/>
  <c r="BD273" i="22"/>
  <c r="BP273" i="22"/>
  <c r="J289" i="20"/>
  <c r="G299" i="20"/>
  <c r="BC302" i="22"/>
  <c r="BO302" i="22"/>
  <c r="I318" i="20"/>
  <c r="BB294" i="22"/>
  <c r="BN294" i="22"/>
  <c r="H310" i="20"/>
  <c r="BD349" i="22"/>
  <c r="BP349" i="22"/>
  <c r="J365" i="20"/>
  <c r="BB155" i="22"/>
  <c r="BN155" i="22"/>
  <c r="H171" i="20"/>
  <c r="D353" i="20"/>
  <c r="AZ142" i="22"/>
  <c r="BL142" i="22"/>
  <c r="F158" i="20"/>
  <c r="BE171" i="22"/>
  <c r="BQ171" i="22"/>
  <c r="K187" i="20"/>
  <c r="BC185" i="22"/>
  <c r="BO185" i="22"/>
  <c r="I201" i="20"/>
  <c r="BE187" i="22"/>
  <c r="BQ187" i="22"/>
  <c r="K203" i="20"/>
  <c r="BE203" i="22"/>
  <c r="BQ203" i="22"/>
  <c r="K219" i="20"/>
  <c r="BD251" i="22"/>
  <c r="BP251" i="22"/>
  <c r="J267" i="20"/>
  <c r="BB254" i="22"/>
  <c r="BN254" i="22"/>
  <c r="H270" i="20"/>
  <c r="BE259" i="22"/>
  <c r="BQ259" i="22"/>
  <c r="K275" i="20"/>
  <c r="BC269" i="22"/>
  <c r="BO269" i="22"/>
  <c r="I285" i="20"/>
  <c r="BD275" i="22"/>
  <c r="BP275" i="22"/>
  <c r="J291" i="20"/>
  <c r="BD292" i="22"/>
  <c r="BP292" i="22"/>
  <c r="J308" i="20"/>
  <c r="BB308" i="22"/>
  <c r="BN308" i="22"/>
  <c r="H324" i="20"/>
  <c r="D348" i="20"/>
  <c r="BE383" i="22"/>
  <c r="BQ383" i="22"/>
  <c r="K399" i="20"/>
  <c r="BE399" i="22"/>
  <c r="BQ399" i="22"/>
  <c r="K415" i="20"/>
  <c r="BC236" i="22"/>
  <c r="BO236" i="22"/>
  <c r="I252" i="20"/>
  <c r="BB267" i="22"/>
  <c r="BN267" i="22"/>
  <c r="H283" i="20"/>
  <c r="G283" i="20"/>
  <c r="BD289" i="22"/>
  <c r="BP289" i="22"/>
  <c r="J305" i="20"/>
  <c r="F315" i="20"/>
  <c r="BB299" i="22"/>
  <c r="BN299" i="22"/>
  <c r="H315" i="20"/>
  <c r="BE333" i="22"/>
  <c r="BQ333" i="22"/>
  <c r="K349" i="20"/>
  <c r="BD333" i="22"/>
  <c r="BP333" i="22"/>
  <c r="J349" i="20"/>
  <c r="BE358" i="22"/>
  <c r="BQ358" i="22"/>
  <c r="K374" i="20"/>
  <c r="BD358" i="22"/>
  <c r="BP358" i="22"/>
  <c r="J374" i="20"/>
  <c r="F401" i="20"/>
  <c r="I401" i="20"/>
  <c r="H401" i="20"/>
  <c r="E401" i="20"/>
  <c r="D401" i="20"/>
  <c r="G401" i="20"/>
  <c r="E417" i="20"/>
  <c r="H417" i="20"/>
  <c r="G417" i="20"/>
  <c r="I417" i="20"/>
  <c r="BE415" i="22"/>
  <c r="BQ415" i="22"/>
  <c r="K431" i="20"/>
  <c r="I431" i="20"/>
  <c r="H431" i="20"/>
  <c r="G431" i="20"/>
  <c r="F431" i="20"/>
  <c r="E431" i="20"/>
  <c r="J431" i="20"/>
  <c r="I455" i="20"/>
  <c r="BE439" i="22"/>
  <c r="BQ439" i="22"/>
  <c r="K455" i="20"/>
  <c r="BF353" i="22"/>
  <c r="BR353" i="22"/>
  <c r="L369" i="20"/>
  <c r="BE353" i="22"/>
  <c r="BQ353" i="22"/>
  <c r="K369" i="20"/>
  <c r="H402" i="20"/>
  <c r="BF386" i="22"/>
  <c r="BR386" i="22"/>
  <c r="L402" i="20"/>
  <c r="BE386" i="22"/>
  <c r="BQ386" i="22"/>
  <c r="K402" i="20"/>
  <c r="BD386" i="22"/>
  <c r="BP386" i="22"/>
  <c r="J402" i="20"/>
  <c r="I402" i="20"/>
  <c r="G402" i="20"/>
  <c r="I413" i="20"/>
  <c r="H413" i="20"/>
  <c r="BD397" i="22"/>
  <c r="BP397" i="22"/>
  <c r="J413" i="20"/>
  <c r="F449" i="20"/>
  <c r="J449" i="20"/>
  <c r="H449" i="20"/>
  <c r="D449" i="20"/>
  <c r="I449" i="20"/>
  <c r="BF433" i="22"/>
  <c r="BR433" i="22"/>
  <c r="L449" i="20"/>
  <c r="E449" i="20"/>
  <c r="G449" i="20"/>
  <c r="BE433" i="22"/>
  <c r="BQ433" i="22"/>
  <c r="K449" i="20"/>
  <c r="BF488" i="22"/>
  <c r="BR488" i="22"/>
  <c r="L504" i="20"/>
  <c r="G504" i="20"/>
  <c r="H504" i="20"/>
  <c r="F504" i="20"/>
  <c r="I504" i="20"/>
  <c r="BF285" i="22"/>
  <c r="BR285" i="22"/>
  <c r="L301" i="20"/>
  <c r="BC285" i="22"/>
  <c r="BO285" i="22"/>
  <c r="I301" i="20"/>
  <c r="BB285" i="22"/>
  <c r="BN285" i="22"/>
  <c r="H301" i="20"/>
  <c r="E333" i="20"/>
  <c r="H333" i="20"/>
  <c r="BC317" i="22"/>
  <c r="BO317" i="22"/>
  <c r="I333" i="20"/>
  <c r="G333" i="20"/>
  <c r="F333" i="20"/>
  <c r="BC333" i="22"/>
  <c r="BO333" i="22"/>
  <c r="I349" i="20"/>
  <c r="E349" i="20"/>
  <c r="H349" i="20"/>
  <c r="BC349" i="22"/>
  <c r="BO349" i="22"/>
  <c r="I365" i="20"/>
  <c r="H365" i="20"/>
  <c r="G365" i="20"/>
  <c r="F365" i="20"/>
  <c r="H415" i="20"/>
  <c r="I415" i="20"/>
  <c r="G415" i="20"/>
  <c r="F415" i="20"/>
  <c r="BD399" i="22"/>
  <c r="BP399" i="22"/>
  <c r="J415" i="20"/>
  <c r="AZ138" i="22"/>
  <c r="BL138" i="22"/>
  <c r="F154" i="20"/>
  <c r="AY138" i="22"/>
  <c r="BK138" i="22"/>
  <c r="E154" i="20"/>
  <c r="D176" i="20"/>
  <c r="BF196" i="22"/>
  <c r="BR196" i="22"/>
  <c r="L212" i="20"/>
  <c r="BE196" i="22"/>
  <c r="BQ196" i="22"/>
  <c r="K212" i="20"/>
  <c r="AZ206" i="22"/>
  <c r="BL206" i="22"/>
  <c r="F222" i="20"/>
  <c r="E222" i="20"/>
  <c r="BD213" i="22"/>
  <c r="BP213" i="22"/>
  <c r="J229" i="20"/>
  <c r="BC213" i="22"/>
  <c r="BO213" i="22"/>
  <c r="I229" i="20"/>
  <c r="BD235" i="22"/>
  <c r="BP235" i="22"/>
  <c r="J251" i="20"/>
  <c r="BB246" i="22"/>
  <c r="BN246" i="22"/>
  <c r="H262" i="20"/>
  <c r="D321" i="20"/>
  <c r="BC305" i="22"/>
  <c r="BO305" i="22"/>
  <c r="I321" i="20"/>
  <c r="BB305" i="22"/>
  <c r="BN305" i="22"/>
  <c r="H321" i="20"/>
  <c r="E321" i="20"/>
  <c r="E332" i="20"/>
  <c r="BD316" i="22"/>
  <c r="BP316" i="22"/>
  <c r="J332" i="20"/>
  <c r="F332" i="20"/>
  <c r="H332" i="20"/>
  <c r="BD328" i="22"/>
  <c r="BP328" i="22"/>
  <c r="J344" i="20"/>
  <c r="H344" i="20"/>
  <c r="BC328" i="22"/>
  <c r="BO328" i="22"/>
  <c r="I344" i="20"/>
  <c r="BF506" i="22"/>
  <c r="BR506" i="22"/>
  <c r="L522" i="20"/>
  <c r="H522" i="20"/>
  <c r="K522" i="20"/>
  <c r="I522" i="20"/>
  <c r="BF503" i="22"/>
  <c r="BR503" i="22"/>
  <c r="L519" i="20"/>
  <c r="K519" i="20"/>
  <c r="H519" i="20"/>
  <c r="AW50" i="22"/>
  <c r="BI50" i="22"/>
  <c r="C66" i="20"/>
  <c r="D269" i="20"/>
  <c r="D333" i="20"/>
  <c r="C222" i="20"/>
  <c r="BB14" i="22"/>
  <c r="BN14" i="22"/>
  <c r="H30" i="20"/>
  <c r="BC24" i="22"/>
  <c r="BO24" i="22"/>
  <c r="I40" i="20"/>
  <c r="BE106" i="22"/>
  <c r="BQ106" i="22"/>
  <c r="K122" i="20"/>
  <c r="BD111" i="22"/>
  <c r="BP111" i="22"/>
  <c r="J127" i="20"/>
  <c r="BC123" i="22"/>
  <c r="BO123" i="22"/>
  <c r="I139" i="20"/>
  <c r="BB133" i="22"/>
  <c r="BN133" i="22"/>
  <c r="H149" i="20"/>
  <c r="BA138" i="22"/>
  <c r="BM138" i="22"/>
  <c r="G154" i="20"/>
  <c r="BB149" i="22"/>
  <c r="BN149" i="22"/>
  <c r="H165" i="20"/>
  <c r="BC153" i="22"/>
  <c r="BO153" i="22"/>
  <c r="I169" i="20"/>
  <c r="AZ159" i="22"/>
  <c r="BL159" i="22"/>
  <c r="F175" i="20"/>
  <c r="E185" i="20"/>
  <c r="E201" i="20"/>
  <c r="BD207" i="22"/>
  <c r="BP207" i="22"/>
  <c r="J223" i="20"/>
  <c r="BE218" i="22"/>
  <c r="BQ218" i="22"/>
  <c r="K234" i="20"/>
  <c r="BB236" i="22"/>
  <c r="BN236" i="22"/>
  <c r="H252" i="20"/>
  <c r="BC249" i="22"/>
  <c r="BO249" i="22"/>
  <c r="I265" i="20"/>
  <c r="BD285" i="22"/>
  <c r="BP285" i="22"/>
  <c r="J301" i="20"/>
  <c r="BB24" i="22"/>
  <c r="BN24" i="22"/>
  <c r="H40" i="20"/>
  <c r="BC85" i="22"/>
  <c r="BO85" i="22"/>
  <c r="I101" i="20"/>
  <c r="BB99" i="22"/>
  <c r="BN99" i="22"/>
  <c r="H115" i="20"/>
  <c r="BC133" i="22"/>
  <c r="BO133" i="22"/>
  <c r="I149" i="20"/>
  <c r="D154" i="20"/>
  <c r="BA143" i="22"/>
  <c r="BM143" i="22"/>
  <c r="G159" i="20"/>
  <c r="BA175" i="22"/>
  <c r="BM175" i="22"/>
  <c r="G191" i="20"/>
  <c r="BB227" i="22"/>
  <c r="BN227" i="22"/>
  <c r="H243" i="20"/>
  <c r="BC40" i="22"/>
  <c r="BO40" i="22"/>
  <c r="I56" i="20"/>
  <c r="AZ78" i="22"/>
  <c r="BL78" i="22"/>
  <c r="F94" i="20"/>
  <c r="AZ85" i="22"/>
  <c r="BL85" i="22"/>
  <c r="F101" i="20"/>
  <c r="BD110" i="22"/>
  <c r="BP110" i="22"/>
  <c r="J126" i="20"/>
  <c r="BE121" i="22"/>
  <c r="BQ121" i="22"/>
  <c r="K137" i="20"/>
  <c r="BE169" i="22"/>
  <c r="BQ169" i="22"/>
  <c r="K185" i="20"/>
  <c r="BB230" i="22"/>
  <c r="BN230" i="22"/>
  <c r="H246" i="20"/>
  <c r="G315" i="20"/>
  <c r="BB241" i="22"/>
  <c r="BN241" i="22"/>
  <c r="H257" i="20"/>
  <c r="BC138" i="22"/>
  <c r="BO138" i="22"/>
  <c r="I154" i="20"/>
  <c r="BE126" i="22"/>
  <c r="BQ126" i="22"/>
  <c r="K142" i="20"/>
  <c r="E415" i="20"/>
  <c r="BB105" i="22"/>
  <c r="BN105" i="22"/>
  <c r="H121" i="20"/>
  <c r="BA105" i="22"/>
  <c r="BM105" i="22"/>
  <c r="G121" i="20"/>
  <c r="AZ83" i="22"/>
  <c r="BL83" i="22"/>
  <c r="F99" i="20"/>
  <c r="AY83" i="22"/>
  <c r="BK83" i="22"/>
  <c r="E99" i="20"/>
  <c r="C105" i="20"/>
  <c r="C121" i="20"/>
  <c r="AX105" i="22"/>
  <c r="BJ105" i="22"/>
  <c r="D121" i="20"/>
  <c r="BE20" i="22"/>
  <c r="BQ20" i="22"/>
  <c r="K36" i="20"/>
  <c r="BC20" i="22"/>
  <c r="BO20" i="22"/>
  <c r="I36" i="20"/>
  <c r="BE22" i="22"/>
  <c r="BQ22" i="22"/>
  <c r="K38" i="20"/>
  <c r="BC22" i="22"/>
  <c r="BO22" i="22"/>
  <c r="I38" i="20"/>
  <c r="BC38" i="22"/>
  <c r="BO38" i="22"/>
  <c r="I54" i="20"/>
  <c r="BE38" i="22"/>
  <c r="BQ38" i="22"/>
  <c r="K54" i="20"/>
  <c r="BB38" i="22"/>
  <c r="BN38" i="22"/>
  <c r="H54" i="20"/>
  <c r="BD42" i="22"/>
  <c r="BP42" i="22"/>
  <c r="J58" i="20"/>
  <c r="BE48" i="22"/>
  <c r="BQ48" i="22"/>
  <c r="K64" i="20"/>
  <c r="BB52" i="22"/>
  <c r="BN52" i="22"/>
  <c r="H68" i="20"/>
  <c r="BE52" i="22"/>
  <c r="BQ52" i="22"/>
  <c r="K68" i="20"/>
  <c r="BE60" i="22"/>
  <c r="BQ60" i="22"/>
  <c r="K76" i="20"/>
  <c r="BA60" i="22"/>
  <c r="BM60" i="22"/>
  <c r="G76" i="20"/>
  <c r="BD60" i="22"/>
  <c r="BP60" i="22"/>
  <c r="J76" i="20"/>
  <c r="BB60" i="22"/>
  <c r="BN60" i="22"/>
  <c r="H76" i="20"/>
  <c r="AZ60" i="22"/>
  <c r="BL60" i="22"/>
  <c r="F76" i="20"/>
  <c r="BC68" i="22"/>
  <c r="BO68" i="22"/>
  <c r="I84" i="20"/>
  <c r="BE68" i="22"/>
  <c r="BQ68" i="22"/>
  <c r="K84" i="20"/>
  <c r="AY72" i="22"/>
  <c r="BK72" i="22"/>
  <c r="E88" i="20"/>
  <c r="BB80" i="22"/>
  <c r="BN80" i="22"/>
  <c r="H96" i="20"/>
  <c r="BE80" i="22"/>
  <c r="BQ80" i="22"/>
  <c r="K96" i="20"/>
  <c r="BA80" i="22"/>
  <c r="BM80" i="22"/>
  <c r="G96" i="20"/>
  <c r="BE84" i="22"/>
  <c r="BQ84" i="22"/>
  <c r="K100" i="20"/>
  <c r="BC84" i="22"/>
  <c r="BO84" i="22"/>
  <c r="I100" i="20"/>
  <c r="BB84" i="22"/>
  <c r="BN84" i="22"/>
  <c r="H100" i="20"/>
  <c r="BE92" i="22"/>
  <c r="BQ92" i="22"/>
  <c r="K108" i="20"/>
  <c r="BA92" i="22"/>
  <c r="BM92" i="22"/>
  <c r="G108" i="20"/>
  <c r="BB92" i="22"/>
  <c r="BN92" i="22"/>
  <c r="H108" i="20"/>
  <c r="BD92" i="22"/>
  <c r="BP92" i="22"/>
  <c r="J108" i="20"/>
  <c r="BC100" i="22"/>
  <c r="BO100" i="22"/>
  <c r="I116" i="20"/>
  <c r="BE100" i="22"/>
  <c r="BQ100" i="22"/>
  <c r="K116" i="20"/>
  <c r="BB100" i="22"/>
  <c r="BN100" i="22"/>
  <c r="H116" i="20"/>
  <c r="AY100" i="22"/>
  <c r="BK100" i="22"/>
  <c r="E116" i="20"/>
  <c r="BE102" i="22"/>
  <c r="BQ102" i="22"/>
  <c r="K118" i="20"/>
  <c r="BC102" i="22"/>
  <c r="BO102" i="22"/>
  <c r="I118" i="20"/>
  <c r="BB102" i="22"/>
  <c r="BN102" i="22"/>
  <c r="H118" i="20"/>
  <c r="BE118" i="22"/>
  <c r="BQ118" i="22"/>
  <c r="K134" i="20"/>
  <c r="BC118" i="22"/>
  <c r="BO118" i="22"/>
  <c r="I134" i="20"/>
  <c r="BD122" i="22"/>
  <c r="BP122" i="22"/>
  <c r="J138" i="20"/>
  <c r="BC122" i="22"/>
  <c r="BO122" i="22"/>
  <c r="I138" i="20"/>
  <c r="AZ122" i="22"/>
  <c r="BL122" i="22"/>
  <c r="F138" i="20"/>
  <c r="BE132" i="22"/>
  <c r="BQ132" i="22"/>
  <c r="K148" i="20"/>
  <c r="BC132" i="22"/>
  <c r="BO132" i="22"/>
  <c r="I148" i="20"/>
  <c r="BA149" i="22"/>
  <c r="BM149" i="22"/>
  <c r="G165" i="20"/>
  <c r="AZ149" i="22"/>
  <c r="BL149" i="22"/>
  <c r="F165" i="20"/>
  <c r="C169" i="20"/>
  <c r="D169" i="20"/>
  <c r="BA153" i="22"/>
  <c r="BM153" i="22"/>
  <c r="G169" i="20"/>
  <c r="BF105" i="22"/>
  <c r="BR105" i="22"/>
  <c r="L121" i="20"/>
  <c r="BD105" i="22"/>
  <c r="BP105" i="22"/>
  <c r="J121" i="20"/>
  <c r="BF107" i="22"/>
  <c r="BR107" i="22"/>
  <c r="L123" i="20"/>
  <c r="BE107" i="22"/>
  <c r="BQ107" i="22"/>
  <c r="K123" i="20"/>
  <c r="BB107" i="22"/>
  <c r="BN107" i="22"/>
  <c r="H123" i="20"/>
  <c r="BE111" i="22"/>
  <c r="BQ111" i="22"/>
  <c r="K127" i="20"/>
  <c r="BF111" i="22"/>
  <c r="BR111" i="22"/>
  <c r="L127" i="20"/>
  <c r="BC111" i="22"/>
  <c r="BO111" i="22"/>
  <c r="I127" i="20"/>
  <c r="BB111" i="22"/>
  <c r="BN111" i="22"/>
  <c r="H127" i="20"/>
  <c r="BF123" i="22"/>
  <c r="BR123" i="22"/>
  <c r="L139" i="20"/>
  <c r="BE123" i="22"/>
  <c r="BQ123" i="22"/>
  <c r="K139" i="20"/>
  <c r="BF127" i="22"/>
  <c r="BR127" i="22"/>
  <c r="L143" i="20"/>
  <c r="BE127" i="22"/>
  <c r="BQ127" i="22"/>
  <c r="K143" i="20"/>
  <c r="BF143" i="22"/>
  <c r="BR143" i="22"/>
  <c r="L159" i="20"/>
  <c r="BE143" i="22"/>
  <c r="BQ143" i="22"/>
  <c r="K159" i="20"/>
  <c r="BF147" i="22"/>
  <c r="BR147" i="22"/>
  <c r="L163" i="20"/>
  <c r="BD147" i="22"/>
  <c r="BP147" i="22"/>
  <c r="J163" i="20"/>
  <c r="BE197" i="22"/>
  <c r="BQ197" i="22"/>
  <c r="K213" i="20"/>
  <c r="BD197" i="22"/>
  <c r="BP197" i="22"/>
  <c r="J213" i="20"/>
  <c r="BF206" i="22"/>
  <c r="BR206" i="22"/>
  <c r="L222" i="20"/>
  <c r="BE206" i="22"/>
  <c r="BQ206" i="22"/>
  <c r="K222" i="20"/>
  <c r="BD211" i="22"/>
  <c r="BP211" i="22"/>
  <c r="J227" i="20"/>
  <c r="BF211" i="22"/>
  <c r="BR211" i="22"/>
  <c r="L227" i="20"/>
  <c r="BC214" i="22"/>
  <c r="BO214" i="22"/>
  <c r="I230" i="20"/>
  <c r="BB214" i="22"/>
  <c r="BN214" i="22"/>
  <c r="H230" i="20"/>
  <c r="BF219" i="22"/>
  <c r="BR219" i="22"/>
  <c r="L235" i="20"/>
  <c r="BE219" i="22"/>
  <c r="BQ219" i="22"/>
  <c r="K235" i="20"/>
  <c r="BF227" i="22"/>
  <c r="BR227" i="22"/>
  <c r="L243" i="20"/>
  <c r="BD227" i="22"/>
  <c r="BP227" i="22"/>
  <c r="J243" i="20"/>
  <c r="E269" i="20"/>
  <c r="BB253" i="22"/>
  <c r="BN253" i="22"/>
  <c r="H269" i="20"/>
  <c r="BA253" i="22"/>
  <c r="BM253" i="22"/>
  <c r="G269" i="20"/>
  <c r="BB259" i="22"/>
  <c r="BN259" i="22"/>
  <c r="H275" i="20"/>
  <c r="BC259" i="22"/>
  <c r="BO259" i="22"/>
  <c r="I275" i="20"/>
  <c r="BC262" i="22"/>
  <c r="BO262" i="22"/>
  <c r="I278" i="20"/>
  <c r="BB262" i="22"/>
  <c r="BN262" i="22"/>
  <c r="H278" i="20"/>
  <c r="BD265" i="22"/>
  <c r="BP265" i="22"/>
  <c r="J281" i="20"/>
  <c r="BE265" i="22"/>
  <c r="BQ265" i="22"/>
  <c r="K281" i="20"/>
  <c r="G295" i="20"/>
  <c r="BB279" i="22"/>
  <c r="BN279" i="22"/>
  <c r="H295" i="20"/>
  <c r="BC279" i="22"/>
  <c r="BO279" i="22"/>
  <c r="I295" i="20"/>
  <c r="BA108" i="22"/>
  <c r="BM108" i="22"/>
  <c r="G124" i="20"/>
  <c r="AZ131" i="22"/>
  <c r="BL131" i="22"/>
  <c r="F147" i="20"/>
  <c r="AY131" i="22"/>
  <c r="BK131" i="22"/>
  <c r="E147" i="20"/>
  <c r="BB139" i="22"/>
  <c r="BN139" i="22"/>
  <c r="H155" i="20"/>
  <c r="BC143" i="22"/>
  <c r="BO143" i="22"/>
  <c r="I159" i="20"/>
  <c r="BF185" i="22"/>
  <c r="BR185" i="22"/>
  <c r="L201" i="20"/>
  <c r="BE185" i="22"/>
  <c r="BQ185" i="22"/>
  <c r="K201" i="20"/>
  <c r="BE182" i="22"/>
  <c r="BQ182" i="22"/>
  <c r="K198" i="20"/>
  <c r="BC182" i="22"/>
  <c r="BO182" i="22"/>
  <c r="I198" i="20"/>
  <c r="BB182" i="22"/>
  <c r="BN182" i="22"/>
  <c r="H198" i="20"/>
  <c r="BF191" i="22"/>
  <c r="BR191" i="22"/>
  <c r="L207" i="20"/>
  <c r="BE191" i="22"/>
  <c r="BQ191" i="22"/>
  <c r="K207" i="20"/>
  <c r="BB191" i="22"/>
  <c r="BN191" i="22"/>
  <c r="H207" i="20"/>
  <c r="C212" i="20"/>
  <c r="E212" i="20"/>
  <c r="BB196" i="22"/>
  <c r="BN196" i="22"/>
  <c r="H212" i="20"/>
  <c r="BA196" i="22"/>
  <c r="BM196" i="22"/>
  <c r="G212" i="20"/>
  <c r="AZ201" i="22"/>
  <c r="BL201" i="22"/>
  <c r="F217" i="20"/>
  <c r="BA213" i="22"/>
  <c r="BM213" i="22"/>
  <c r="G229" i="20"/>
  <c r="F229" i="20"/>
  <c r="F243" i="20"/>
  <c r="E243" i="20"/>
  <c r="F248" i="20"/>
  <c r="BC232" i="22"/>
  <c r="BO232" i="22"/>
  <c r="I248" i="20"/>
  <c r="E248" i="20"/>
  <c r="BD241" i="22"/>
  <c r="BP241" i="22"/>
  <c r="J257" i="20"/>
  <c r="BD249" i="22"/>
  <c r="BP249" i="22"/>
  <c r="J265" i="20"/>
  <c r="BE249" i="22"/>
  <c r="BQ249" i="22"/>
  <c r="K265" i="20"/>
  <c r="BC286" i="22"/>
  <c r="BO286" i="22"/>
  <c r="I302" i="20"/>
  <c r="BE292" i="22"/>
  <c r="BQ292" i="22"/>
  <c r="K308" i="20"/>
  <c r="BE317" i="22"/>
  <c r="BQ317" i="22"/>
  <c r="K333" i="20"/>
  <c r="BD317" i="22"/>
  <c r="BP317" i="22"/>
  <c r="J333" i="20"/>
  <c r="BD329" i="22"/>
  <c r="BP329" i="22"/>
  <c r="J345" i="20"/>
  <c r="BE329" i="22"/>
  <c r="BQ329" i="22"/>
  <c r="K345" i="20"/>
  <c r="BF363" i="22"/>
  <c r="BR363" i="22"/>
  <c r="L379" i="20"/>
  <c r="F379" i="20"/>
  <c r="BE363" i="22"/>
  <c r="BQ363" i="22"/>
  <c r="K379" i="20"/>
  <c r="H379" i="20"/>
  <c r="G379" i="20"/>
  <c r="E379" i="20"/>
  <c r="I379" i="20"/>
  <c r="BF379" i="22"/>
  <c r="BR379" i="22"/>
  <c r="L395" i="20"/>
  <c r="H395" i="20"/>
  <c r="G395" i="20"/>
  <c r="BD379" i="22"/>
  <c r="BP379" i="22"/>
  <c r="J395" i="20"/>
  <c r="E395" i="20"/>
  <c r="F395" i="20"/>
  <c r="I395" i="20"/>
  <c r="BF395" i="22"/>
  <c r="BR395" i="22"/>
  <c r="L411" i="20"/>
  <c r="H411" i="20"/>
  <c r="D411" i="20"/>
  <c r="BD395" i="22"/>
  <c r="BP395" i="22"/>
  <c r="J411" i="20"/>
  <c r="BE395" i="22"/>
  <c r="BQ395" i="22"/>
  <c r="K411" i="20"/>
  <c r="F411" i="20"/>
  <c r="I411" i="20"/>
  <c r="E411" i="20"/>
  <c r="G411" i="20"/>
  <c r="I423" i="20"/>
  <c r="BF407" i="22"/>
  <c r="BR407" i="22"/>
  <c r="L423" i="20"/>
  <c r="BE407" i="22"/>
  <c r="BQ407" i="22"/>
  <c r="K423" i="20"/>
  <c r="H423" i="20"/>
  <c r="BD407" i="22"/>
  <c r="BP407" i="22"/>
  <c r="J423" i="20"/>
  <c r="H447" i="20"/>
  <c r="I447" i="20"/>
  <c r="BE431" i="22"/>
  <c r="BQ431" i="22"/>
  <c r="K447" i="20"/>
  <c r="F447" i="20"/>
  <c r="G447" i="20"/>
  <c r="E447" i="20"/>
  <c r="J447" i="20"/>
  <c r="J463" i="20"/>
  <c r="F463" i="20"/>
  <c r="I463" i="20"/>
  <c r="H463" i="20"/>
  <c r="E463" i="20"/>
  <c r="BE447" i="22"/>
  <c r="BQ447" i="22"/>
  <c r="K463" i="20"/>
  <c r="G463" i="20"/>
  <c r="H471" i="20"/>
  <c r="BE455" i="22"/>
  <c r="BQ455" i="22"/>
  <c r="K471" i="20"/>
  <c r="BF362" i="22"/>
  <c r="BR362" i="22"/>
  <c r="L378" i="20"/>
  <c r="E378" i="20"/>
  <c r="G378" i="20"/>
  <c r="H378" i="20"/>
  <c r="I378" i="20"/>
  <c r="BE362" i="22"/>
  <c r="BQ362" i="22"/>
  <c r="K378" i="20"/>
  <c r="BF402" i="22"/>
  <c r="BR402" i="22"/>
  <c r="L418" i="20"/>
  <c r="BE402" i="22"/>
  <c r="BQ402" i="22"/>
  <c r="K418" i="20"/>
  <c r="J465" i="20"/>
  <c r="BF449" i="22"/>
  <c r="BR449" i="22"/>
  <c r="L465" i="20"/>
  <c r="I465" i="20"/>
  <c r="D465" i="20"/>
  <c r="BE449" i="22"/>
  <c r="BQ449" i="22"/>
  <c r="K465" i="20"/>
  <c r="E465" i="20"/>
  <c r="H465" i="20"/>
  <c r="F465" i="20"/>
  <c r="BF472" i="22"/>
  <c r="BR472" i="22"/>
  <c r="L488" i="20"/>
  <c r="H488" i="20"/>
  <c r="I488" i="20"/>
  <c r="J488" i="20"/>
  <c r="C305" i="20"/>
  <c r="F305" i="20"/>
  <c r="E305" i="20"/>
  <c r="BB289" i="22"/>
  <c r="BN289" i="22"/>
  <c r="H305" i="20"/>
  <c r="G311" i="20"/>
  <c r="BB295" i="22"/>
  <c r="BN295" i="22"/>
  <c r="H311" i="20"/>
  <c r="BD295" i="22"/>
  <c r="BP295" i="22"/>
  <c r="J311" i="20"/>
  <c r="BC301" i="22"/>
  <c r="BO301" i="22"/>
  <c r="I317" i="20"/>
  <c r="BF301" i="22"/>
  <c r="BR301" i="22"/>
  <c r="L317" i="20"/>
  <c r="BE301" i="22"/>
  <c r="BQ301" i="22"/>
  <c r="K317" i="20"/>
  <c r="E317" i="20"/>
  <c r="F337" i="20"/>
  <c r="BC321" i="22"/>
  <c r="BO321" i="22"/>
  <c r="I337" i="20"/>
  <c r="H337" i="20"/>
  <c r="E337" i="20"/>
  <c r="D337" i="20"/>
  <c r="C337" i="20"/>
  <c r="H345" i="20"/>
  <c r="BC329" i="22"/>
  <c r="BO329" i="22"/>
  <c r="I345" i="20"/>
  <c r="G388" i="20"/>
  <c r="BE372" i="22"/>
  <c r="BQ372" i="22"/>
  <c r="K388" i="20"/>
  <c r="E399" i="20"/>
  <c r="BD383" i="22"/>
  <c r="BP383" i="22"/>
  <c r="J399" i="20"/>
  <c r="I399" i="20"/>
  <c r="H399" i="20"/>
  <c r="G399" i="20"/>
  <c r="C399" i="20"/>
  <c r="I404" i="20"/>
  <c r="BD388" i="22"/>
  <c r="BP388" i="22"/>
  <c r="J404" i="20"/>
  <c r="H404" i="20"/>
  <c r="BE388" i="22"/>
  <c r="BQ388" i="22"/>
  <c r="K404" i="20"/>
  <c r="I420" i="20"/>
  <c r="BD404" i="22"/>
  <c r="BP404" i="22"/>
  <c r="J420" i="20"/>
  <c r="H420" i="20"/>
  <c r="C436" i="20"/>
  <c r="I436" i="20"/>
  <c r="G436" i="20"/>
  <c r="H436" i="20"/>
  <c r="J436" i="20"/>
  <c r="F436" i="20"/>
  <c r="I462" i="20"/>
  <c r="J462" i="20"/>
  <c r="BE446" i="22"/>
  <c r="BQ446" i="22"/>
  <c r="K462" i="20"/>
  <c r="F485" i="20"/>
  <c r="I485" i="20"/>
  <c r="BF469" i="22"/>
  <c r="BR469" i="22"/>
  <c r="L485" i="20"/>
  <c r="E485" i="20"/>
  <c r="J485" i="20"/>
  <c r="G485" i="20"/>
  <c r="H485" i="20"/>
  <c r="D485" i="20"/>
  <c r="K485" i="20"/>
  <c r="C164" i="20"/>
  <c r="AY148" i="22"/>
  <c r="BK148" i="22"/>
  <c r="E164" i="20"/>
  <c r="BB169" i="22"/>
  <c r="BN169" i="22"/>
  <c r="H185" i="20"/>
  <c r="BA169" i="22"/>
  <c r="BM169" i="22"/>
  <c r="G185" i="20"/>
  <c r="BA201" i="22"/>
  <c r="BM201" i="22"/>
  <c r="G217" i="20"/>
  <c r="BA229" i="22"/>
  <c r="BM229" i="22"/>
  <c r="G245" i="20"/>
  <c r="BD229" i="22"/>
  <c r="BP229" i="22"/>
  <c r="J245" i="20"/>
  <c r="BC229" i="22"/>
  <c r="BO229" i="22"/>
  <c r="I245" i="20"/>
  <c r="F245" i="20"/>
  <c r="E245" i="20"/>
  <c r="BB238" i="22"/>
  <c r="BN238" i="22"/>
  <c r="H254" i="20"/>
  <c r="BF240" i="22"/>
  <c r="BR240" i="22"/>
  <c r="L256" i="20"/>
  <c r="BE240" i="22"/>
  <c r="BQ240" i="22"/>
  <c r="K256" i="20"/>
  <c r="BF248" i="22"/>
  <c r="BR248" i="22"/>
  <c r="L264" i="20"/>
  <c r="BB248" i="22"/>
  <c r="BN248" i="22"/>
  <c r="H264" i="20"/>
  <c r="E264" i="20"/>
  <c r="BF256" i="22"/>
  <c r="BR256" i="22"/>
  <c r="L272" i="20"/>
  <c r="BE256" i="22"/>
  <c r="BQ256" i="22"/>
  <c r="K272" i="20"/>
  <c r="BF262" i="22"/>
  <c r="BR262" i="22"/>
  <c r="L278" i="20"/>
  <c r="BE262" i="22"/>
  <c r="BQ262" i="22"/>
  <c r="K278" i="20"/>
  <c r="BB286" i="22"/>
  <c r="BN286" i="22"/>
  <c r="H302" i="20"/>
  <c r="BE295" i="22"/>
  <c r="BQ295" i="22"/>
  <c r="K311" i="20"/>
  <c r="BB302" i="22"/>
  <c r="BN302" i="22"/>
  <c r="H318" i="20"/>
  <c r="H340" i="20"/>
  <c r="G340" i="20"/>
  <c r="BD324" i="22"/>
  <c r="BP324" i="22"/>
  <c r="J340" i="20"/>
  <c r="G364" i="20"/>
  <c r="BD348" i="22"/>
  <c r="BP348" i="22"/>
  <c r="J364" i="20"/>
  <c r="F364" i="20"/>
  <c r="BC348" i="22"/>
  <c r="BO348" i="22"/>
  <c r="I364" i="20"/>
  <c r="E364" i="20"/>
  <c r="H364" i="20"/>
  <c r="BF360" i="22"/>
  <c r="BR360" i="22"/>
  <c r="L376" i="20"/>
  <c r="I376" i="20"/>
  <c r="BE360" i="22"/>
  <c r="BQ360" i="22"/>
  <c r="K376" i="20"/>
  <c r="H376" i="20"/>
  <c r="G376" i="20"/>
  <c r="BF426" i="22"/>
  <c r="BR426" i="22"/>
  <c r="L442" i="20"/>
  <c r="J442" i="20"/>
  <c r="G442" i="20"/>
  <c r="BE426" i="22"/>
  <c r="BQ426" i="22"/>
  <c r="K442" i="20"/>
  <c r="H458" i="20"/>
  <c r="BF442" i="22"/>
  <c r="BR442" i="22"/>
  <c r="L458" i="20"/>
  <c r="I458" i="20"/>
  <c r="K490" i="20"/>
  <c r="G490" i="20"/>
  <c r="BF474" i="22"/>
  <c r="BR474" i="22"/>
  <c r="L490" i="20"/>
  <c r="C411" i="20"/>
  <c r="C137" i="20"/>
  <c r="D158" i="20"/>
  <c r="AX100" i="22"/>
  <c r="BJ100" i="22"/>
  <c r="D116" i="20"/>
  <c r="D285" i="20"/>
  <c r="D349" i="20"/>
  <c r="D399" i="20"/>
  <c r="AX89" i="22"/>
  <c r="BJ89" i="22"/>
  <c r="D105" i="20"/>
  <c r="BD22" i="22"/>
  <c r="BP22" i="22"/>
  <c r="J38" i="20"/>
  <c r="BA40" i="22"/>
  <c r="BM40" i="22"/>
  <c r="G56" i="20"/>
  <c r="BD52" i="22"/>
  <c r="BP52" i="22"/>
  <c r="J68" i="20"/>
  <c r="BA72" i="22"/>
  <c r="BM72" i="22"/>
  <c r="G88" i="20"/>
  <c r="BB78" i="22"/>
  <c r="BN78" i="22"/>
  <c r="H94" i="20"/>
  <c r="BA83" i="22"/>
  <c r="BM83" i="22"/>
  <c r="G99" i="20"/>
  <c r="BB85" i="22"/>
  <c r="BN85" i="22"/>
  <c r="H101" i="20"/>
  <c r="BE90" i="22"/>
  <c r="BQ90" i="22"/>
  <c r="K106" i="20"/>
  <c r="BD100" i="22"/>
  <c r="BP100" i="22"/>
  <c r="J116" i="20"/>
  <c r="AY105" i="22"/>
  <c r="BK105" i="22"/>
  <c r="E121" i="20"/>
  <c r="BC107" i="22"/>
  <c r="BO107" i="22"/>
  <c r="I123" i="20"/>
  <c r="BE113" i="22"/>
  <c r="BQ113" i="22"/>
  <c r="K129" i="20"/>
  <c r="BA131" i="22"/>
  <c r="BM131" i="22"/>
  <c r="G147" i="20"/>
  <c r="BD134" i="22"/>
  <c r="BP134" i="22"/>
  <c r="J150" i="20"/>
  <c r="BE138" i="22"/>
  <c r="BQ138" i="22"/>
  <c r="K154" i="20"/>
  <c r="BE147" i="22"/>
  <c r="BQ147" i="22"/>
  <c r="K163" i="20"/>
  <c r="BD164" i="22"/>
  <c r="BP164" i="22"/>
  <c r="J180" i="20"/>
  <c r="BC169" i="22"/>
  <c r="BO169" i="22"/>
  <c r="I185" i="20"/>
  <c r="AZ180" i="22"/>
  <c r="BL180" i="22"/>
  <c r="F196" i="20"/>
  <c r="BD191" i="22"/>
  <c r="BP191" i="22"/>
  <c r="J207" i="20"/>
  <c r="AZ196" i="22"/>
  <c r="BL196" i="22"/>
  <c r="F212" i="20"/>
  <c r="E217" i="20"/>
  <c r="BC203" i="22"/>
  <c r="BO203" i="22"/>
  <c r="I219" i="20"/>
  <c r="BB229" i="22"/>
  <c r="BN229" i="22"/>
  <c r="H245" i="20"/>
  <c r="BD246" i="22"/>
  <c r="BP246" i="22"/>
  <c r="J262" i="20"/>
  <c r="E283" i="20"/>
  <c r="G305" i="20"/>
  <c r="BD294" i="22"/>
  <c r="BP294" i="22"/>
  <c r="J310" i="20"/>
  <c r="F317" i="20"/>
  <c r="BD308" i="22"/>
  <c r="BP308" i="22"/>
  <c r="J324" i="20"/>
  <c r="BC60" i="22"/>
  <c r="BO60" i="22"/>
  <c r="I76" i="20"/>
  <c r="BA68" i="22"/>
  <c r="BM68" i="22"/>
  <c r="G84" i="20"/>
  <c r="BC78" i="22"/>
  <c r="BO78" i="22"/>
  <c r="I94" i="20"/>
  <c r="BB83" i="22"/>
  <c r="BN83" i="22"/>
  <c r="H99" i="20"/>
  <c r="AZ89" i="22"/>
  <c r="BL89" i="22"/>
  <c r="F105" i="20"/>
  <c r="BA95" i="22"/>
  <c r="BM95" i="22"/>
  <c r="G111" i="20"/>
  <c r="BA100" i="22"/>
  <c r="BM100" i="22"/>
  <c r="G116" i="20"/>
  <c r="AZ105" i="22"/>
  <c r="BL105" i="22"/>
  <c r="F121" i="20"/>
  <c r="BC108" i="22"/>
  <c r="BO108" i="22"/>
  <c r="I124" i="20"/>
  <c r="BB129" i="22"/>
  <c r="BN129" i="22"/>
  <c r="H145" i="20"/>
  <c r="BA134" i="22"/>
  <c r="BM134" i="22"/>
  <c r="G150" i="20"/>
  <c r="BB138" i="22"/>
  <c r="BN138" i="22"/>
  <c r="H154" i="20"/>
  <c r="AY149" i="22"/>
  <c r="BK149" i="22"/>
  <c r="E165" i="20"/>
  <c r="BA182" i="22"/>
  <c r="BM182" i="22"/>
  <c r="G198" i="20"/>
  <c r="BD187" i="22"/>
  <c r="BP187" i="22"/>
  <c r="J203" i="20"/>
  <c r="BB195" i="22"/>
  <c r="BN195" i="22"/>
  <c r="H211" i="20"/>
  <c r="E229" i="20"/>
  <c r="D248" i="20"/>
  <c r="BC238" i="22"/>
  <c r="BO238" i="22"/>
  <c r="I254" i="20"/>
  <c r="BC252" i="22"/>
  <c r="BO252" i="22"/>
  <c r="I268" i="20"/>
  <c r="D305" i="20"/>
  <c r="BE105" i="22"/>
  <c r="BQ105" i="22"/>
  <c r="K121" i="20"/>
  <c r="BD126" i="22"/>
  <c r="BP126" i="22"/>
  <c r="J142" i="20"/>
  <c r="BB143" i="22"/>
  <c r="BN143" i="22"/>
  <c r="H159" i="20"/>
  <c r="BC248" i="22"/>
  <c r="BO248" i="22"/>
  <c r="I264" i="20"/>
  <c r="F399" i="20"/>
  <c r="BC295" i="22"/>
  <c r="BO295" i="22"/>
  <c r="I311" i="20"/>
  <c r="D417" i="20"/>
  <c r="BE442" i="22"/>
  <c r="BQ442" i="22"/>
  <c r="K458" i="20"/>
  <c r="BF349" i="22"/>
  <c r="BR349" i="22"/>
  <c r="L365" i="20"/>
  <c r="BB89" i="22"/>
  <c r="BN89" i="22"/>
  <c r="H105" i="20"/>
  <c r="BA89" i="22"/>
  <c r="BM89" i="22"/>
  <c r="G105" i="20"/>
  <c r="AY95" i="22"/>
  <c r="BK95" i="22"/>
  <c r="E111" i="20"/>
  <c r="AZ99" i="22"/>
  <c r="BL99" i="22"/>
  <c r="F115" i="20"/>
  <c r="AY99" i="22"/>
  <c r="BK99" i="22"/>
  <c r="E115" i="20"/>
  <c r="D131" i="20"/>
  <c r="AZ115" i="22"/>
  <c r="BL115" i="22"/>
  <c r="F131" i="20"/>
  <c r="BC36" i="22"/>
  <c r="BO36" i="22"/>
  <c r="I52" i="20"/>
  <c r="BE36" i="22"/>
  <c r="BQ36" i="22"/>
  <c r="K52" i="20"/>
  <c r="BB36" i="22"/>
  <c r="BN36" i="22"/>
  <c r="H52" i="20"/>
  <c r="BD40" i="22"/>
  <c r="BP40" i="22"/>
  <c r="J56" i="20"/>
  <c r="BA50" i="22"/>
  <c r="BM50" i="22"/>
  <c r="G66" i="20"/>
  <c r="BB50" i="22"/>
  <c r="BN50" i="22"/>
  <c r="H66" i="20"/>
  <c r="BC54" i="22"/>
  <c r="BO54" i="22"/>
  <c r="I70" i="20"/>
  <c r="BE54" i="22"/>
  <c r="BQ54" i="22"/>
  <c r="K70" i="20"/>
  <c r="BB54" i="22"/>
  <c r="BN54" i="22"/>
  <c r="H70" i="20"/>
  <c r="BB66" i="22"/>
  <c r="BN66" i="22"/>
  <c r="H82" i="20"/>
  <c r="BE66" i="22"/>
  <c r="BQ66" i="22"/>
  <c r="K82" i="20"/>
  <c r="BA66" i="22"/>
  <c r="BM66" i="22"/>
  <c r="G82" i="20"/>
  <c r="BA74" i="22"/>
  <c r="BM74" i="22"/>
  <c r="G90" i="20"/>
  <c r="BE78" i="22"/>
  <c r="BQ78" i="22"/>
  <c r="K94" i="20"/>
  <c r="BA78" i="22"/>
  <c r="BM78" i="22"/>
  <c r="G94" i="20"/>
  <c r="BA124" i="22"/>
  <c r="BM124" i="22"/>
  <c r="G140" i="20"/>
  <c r="BE124" i="22"/>
  <c r="BQ124" i="22"/>
  <c r="K140" i="20"/>
  <c r="BC124" i="22"/>
  <c r="BO124" i="22"/>
  <c r="I140" i="20"/>
  <c r="BD124" i="22"/>
  <c r="BP124" i="22"/>
  <c r="J140" i="20"/>
  <c r="BE134" i="22"/>
  <c r="BQ134" i="22"/>
  <c r="K150" i="20"/>
  <c r="BC134" i="22"/>
  <c r="BO134" i="22"/>
  <c r="I150" i="20"/>
  <c r="C163" i="20"/>
  <c r="AZ147" i="22"/>
  <c r="BL147" i="22"/>
  <c r="F163" i="20"/>
  <c r="AY147" i="22"/>
  <c r="BK147" i="22"/>
  <c r="E163" i="20"/>
  <c r="E175" i="20"/>
  <c r="BB159" i="22"/>
  <c r="BN159" i="22"/>
  <c r="H175" i="20"/>
  <c r="BF113" i="22"/>
  <c r="BR113" i="22"/>
  <c r="L129" i="20"/>
  <c r="BD113" i="22"/>
  <c r="BP113" i="22"/>
  <c r="J129" i="20"/>
  <c r="BC113" i="22"/>
  <c r="BO113" i="22"/>
  <c r="I129" i="20"/>
  <c r="BF115" i="22"/>
  <c r="BR115" i="22"/>
  <c r="L131" i="20"/>
  <c r="BD115" i="22"/>
  <c r="BP115" i="22"/>
  <c r="J131" i="20"/>
  <c r="BC115" i="22"/>
  <c r="BO115" i="22"/>
  <c r="I131" i="20"/>
  <c r="BE117" i="22"/>
  <c r="BQ117" i="22"/>
  <c r="K133" i="20"/>
  <c r="BF117" i="22"/>
  <c r="BR117" i="22"/>
  <c r="L133" i="20"/>
  <c r="BD117" i="22"/>
  <c r="BP117" i="22"/>
  <c r="J133" i="20"/>
  <c r="BF121" i="22"/>
  <c r="BR121" i="22"/>
  <c r="L137" i="20"/>
  <c r="BB121" i="22"/>
  <c r="BN121" i="22"/>
  <c r="H137" i="20"/>
  <c r="BF125" i="22"/>
  <c r="BR125" i="22"/>
  <c r="L141" i="20"/>
  <c r="BD125" i="22"/>
  <c r="BP125" i="22"/>
  <c r="J141" i="20"/>
  <c r="BF129" i="22"/>
  <c r="BR129" i="22"/>
  <c r="L145" i="20"/>
  <c r="BD129" i="22"/>
  <c r="BP129" i="22"/>
  <c r="J145" i="20"/>
  <c r="BF131" i="22"/>
  <c r="BR131" i="22"/>
  <c r="L147" i="20"/>
  <c r="BD131" i="22"/>
  <c r="BP131" i="22"/>
  <c r="J147" i="20"/>
  <c r="BF133" i="22"/>
  <c r="BR133" i="22"/>
  <c r="L149" i="20"/>
  <c r="BE133" i="22"/>
  <c r="BQ133" i="22"/>
  <c r="K149" i="20"/>
  <c r="BD133" i="22"/>
  <c r="BP133" i="22"/>
  <c r="J149" i="20"/>
  <c r="BF137" i="22"/>
  <c r="BR137" i="22"/>
  <c r="L153" i="20"/>
  <c r="BE137" i="22"/>
  <c r="BQ137" i="22"/>
  <c r="K153" i="20"/>
  <c r="BF145" i="22"/>
  <c r="BR145" i="22"/>
  <c r="L161" i="20"/>
  <c r="BD145" i="22"/>
  <c r="BP145" i="22"/>
  <c r="J161" i="20"/>
  <c r="BF162" i="22"/>
  <c r="BR162" i="22"/>
  <c r="L178" i="20"/>
  <c r="BE162" i="22"/>
  <c r="BQ162" i="22"/>
  <c r="K178" i="20"/>
  <c r="BF178" i="22"/>
  <c r="BR178" i="22"/>
  <c r="L194" i="20"/>
  <c r="BE178" i="22"/>
  <c r="BQ178" i="22"/>
  <c r="K194" i="20"/>
  <c r="BC204" i="22"/>
  <c r="BO204" i="22"/>
  <c r="I220" i="20"/>
  <c r="BD204" i="22"/>
  <c r="BP204" i="22"/>
  <c r="J220" i="20"/>
  <c r="D249" i="20"/>
  <c r="BA233" i="22"/>
  <c r="BM233" i="22"/>
  <c r="G249" i="20"/>
  <c r="BF255" i="22"/>
  <c r="BR255" i="22"/>
  <c r="L271" i="20"/>
  <c r="BD255" i="22"/>
  <c r="BP255" i="22"/>
  <c r="J271" i="20"/>
  <c r="BB275" i="22"/>
  <c r="BN275" i="22"/>
  <c r="H291" i="20"/>
  <c r="BC275" i="22"/>
  <c r="BO275" i="22"/>
  <c r="I291" i="20"/>
  <c r="BA110" i="22"/>
  <c r="BM110" i="22"/>
  <c r="G126" i="20"/>
  <c r="BA133" i="22"/>
  <c r="BM133" i="22"/>
  <c r="G149" i="20"/>
  <c r="AZ133" i="22"/>
  <c r="BL133" i="22"/>
  <c r="F149" i="20"/>
  <c r="D153" i="20"/>
  <c r="BB137" i="22"/>
  <c r="BN137" i="22"/>
  <c r="H153" i="20"/>
  <c r="BA137" i="22"/>
  <c r="BM137" i="22"/>
  <c r="G153" i="20"/>
  <c r="BC145" i="22"/>
  <c r="BO145" i="22"/>
  <c r="I161" i="20"/>
  <c r="BE192" i="22"/>
  <c r="BQ192" i="22"/>
  <c r="K208" i="20"/>
  <c r="BC192" i="22"/>
  <c r="BO192" i="22"/>
  <c r="I208" i="20"/>
  <c r="D211" i="20"/>
  <c r="AZ195" i="22"/>
  <c r="BL195" i="22"/>
  <c r="F211" i="20"/>
  <c r="E211" i="20"/>
  <c r="BF201" i="22"/>
  <c r="BR201" i="22"/>
  <c r="L217" i="20"/>
  <c r="BE201" i="22"/>
  <c r="BQ201" i="22"/>
  <c r="K217" i="20"/>
  <c r="BA204" i="22"/>
  <c r="BM204" i="22"/>
  <c r="G220" i="20"/>
  <c r="BC206" i="22"/>
  <c r="BO206" i="22"/>
  <c r="I222" i="20"/>
  <c r="BA206" i="22"/>
  <c r="BM206" i="22"/>
  <c r="G222" i="20"/>
  <c r="D227" i="20"/>
  <c r="F227" i="20"/>
  <c r="BC211" i="22"/>
  <c r="BO211" i="22"/>
  <c r="I227" i="20"/>
  <c r="BB211" i="22"/>
  <c r="BN211" i="22"/>
  <c r="H227" i="20"/>
  <c r="E227" i="20"/>
  <c r="BB219" i="22"/>
  <c r="BN219" i="22"/>
  <c r="H235" i="20"/>
  <c r="BB235" i="22"/>
  <c r="BN235" i="22"/>
  <c r="H251" i="20"/>
  <c r="F257" i="20"/>
  <c r="E257" i="20"/>
  <c r="D257" i="20"/>
  <c r="BA244" i="22"/>
  <c r="BM244" i="22"/>
  <c r="G260" i="20"/>
  <c r="BE254" i="22"/>
  <c r="BQ254" i="22"/>
  <c r="K270" i="20"/>
  <c r="BC254" i="22"/>
  <c r="BO254" i="22"/>
  <c r="I270" i="20"/>
  <c r="BD254" i="22"/>
  <c r="BP254" i="22"/>
  <c r="J270" i="20"/>
  <c r="F273" i="20"/>
  <c r="C273" i="20"/>
  <c r="E273" i="20"/>
  <c r="BB257" i="22"/>
  <c r="BN257" i="22"/>
  <c r="H273" i="20"/>
  <c r="BB265" i="22"/>
  <c r="BN265" i="22"/>
  <c r="H281" i="20"/>
  <c r="F285" i="20"/>
  <c r="BB269" i="22"/>
  <c r="BN269" i="22"/>
  <c r="H285" i="20"/>
  <c r="E285" i="20"/>
  <c r="F289" i="20"/>
  <c r="E289" i="20"/>
  <c r="BE159" i="22"/>
  <c r="BQ159" i="22"/>
  <c r="K175" i="20"/>
  <c r="BF159" i="22"/>
  <c r="BR159" i="22"/>
  <c r="L175" i="20"/>
  <c r="BC166" i="22"/>
  <c r="BO166" i="22"/>
  <c r="I182" i="20"/>
  <c r="BE166" i="22"/>
  <c r="BQ166" i="22"/>
  <c r="K182" i="20"/>
  <c r="BB166" i="22"/>
  <c r="BN166" i="22"/>
  <c r="H182" i="20"/>
  <c r="C185" i="20"/>
  <c r="D185" i="20"/>
  <c r="BF175" i="22"/>
  <c r="BR175" i="22"/>
  <c r="L191" i="20"/>
  <c r="BC175" i="22"/>
  <c r="BO175" i="22"/>
  <c r="I191" i="20"/>
  <c r="BC244" i="22"/>
  <c r="BO244" i="22"/>
  <c r="I260" i="20"/>
  <c r="BB244" i="22"/>
  <c r="BN244" i="22"/>
  <c r="H260" i="20"/>
  <c r="BF263" i="22"/>
  <c r="BR263" i="22"/>
  <c r="L279" i="20"/>
  <c r="BE263" i="22"/>
  <c r="BQ263" i="22"/>
  <c r="K279" i="20"/>
  <c r="BD263" i="22"/>
  <c r="BP263" i="22"/>
  <c r="J279" i="20"/>
  <c r="E279" i="20"/>
  <c r="G286" i="20"/>
  <c r="BC270" i="22"/>
  <c r="BO270" i="22"/>
  <c r="I286" i="20"/>
  <c r="BB270" i="22"/>
  <c r="BN270" i="22"/>
  <c r="H286" i="20"/>
  <c r="BD313" i="22"/>
  <c r="BP313" i="22"/>
  <c r="J329" i="20"/>
  <c r="BE313" i="22"/>
  <c r="BQ313" i="22"/>
  <c r="K329" i="20"/>
  <c r="BD337" i="22"/>
  <c r="BP337" i="22"/>
  <c r="J353" i="20"/>
  <c r="BE337" i="22"/>
  <c r="BQ337" i="22"/>
  <c r="K353" i="20"/>
  <c r="BE345" i="22"/>
  <c r="BQ345" i="22"/>
  <c r="K361" i="20"/>
  <c r="BD345" i="22"/>
  <c r="BP345" i="22"/>
  <c r="J361" i="20"/>
  <c r="BD369" i="22"/>
  <c r="BP369" i="22"/>
  <c r="J385" i="20"/>
  <c r="E385" i="20"/>
  <c r="H385" i="20"/>
  <c r="G385" i="20"/>
  <c r="D385" i="20"/>
  <c r="F385" i="20"/>
  <c r="I385" i="20"/>
  <c r="I406" i="20"/>
  <c r="H406" i="20"/>
  <c r="BD390" i="22"/>
  <c r="BP390" i="22"/>
  <c r="J406" i="20"/>
  <c r="BE441" i="22"/>
  <c r="BQ441" i="22"/>
  <c r="K457" i="20"/>
  <c r="BF441" i="22"/>
  <c r="BR441" i="22"/>
  <c r="L457" i="20"/>
  <c r="BC292" i="22"/>
  <c r="BO292" i="22"/>
  <c r="I308" i="20"/>
  <c r="BB292" i="22"/>
  <c r="BN292" i="22"/>
  <c r="H308" i="20"/>
  <c r="H329" i="20"/>
  <c r="F353" i="20"/>
  <c r="BC337" i="22"/>
  <c r="BO337" i="22"/>
  <c r="I353" i="20"/>
  <c r="E353" i="20"/>
  <c r="H353" i="20"/>
  <c r="G353" i="20"/>
  <c r="BC345" i="22"/>
  <c r="BO345" i="22"/>
  <c r="I361" i="20"/>
  <c r="H361" i="20"/>
  <c r="D369" i="20"/>
  <c r="G369" i="20"/>
  <c r="BC353" i="22"/>
  <c r="BO353" i="22"/>
  <c r="I369" i="20"/>
  <c r="H369" i="20"/>
  <c r="F369" i="20"/>
  <c r="E369" i="20"/>
  <c r="BF361" i="22"/>
  <c r="BR361" i="22"/>
  <c r="L377" i="20"/>
  <c r="BE361" i="22"/>
  <c r="BQ361" i="22"/>
  <c r="K377" i="20"/>
  <c r="BD361" i="22"/>
  <c r="BP361" i="22"/>
  <c r="J377" i="20"/>
  <c r="H454" i="20"/>
  <c r="J454" i="20"/>
  <c r="BE438" i="22"/>
  <c r="BQ438" i="22"/>
  <c r="K454" i="20"/>
  <c r="D472" i="20"/>
  <c r="BE456" i="22"/>
  <c r="BQ456" i="22"/>
  <c r="K472" i="20"/>
  <c r="AZ158" i="22"/>
  <c r="BL158" i="22"/>
  <c r="F174" i="20"/>
  <c r="BB185" i="22"/>
  <c r="BN185" i="22"/>
  <c r="H201" i="20"/>
  <c r="BA185" i="22"/>
  <c r="BM185" i="22"/>
  <c r="G201" i="20"/>
  <c r="BB192" i="22"/>
  <c r="BN192" i="22"/>
  <c r="H208" i="20"/>
  <c r="BF210" i="22"/>
  <c r="BR210" i="22"/>
  <c r="L226" i="20"/>
  <c r="BE210" i="22"/>
  <c r="BQ210" i="22"/>
  <c r="K226" i="20"/>
  <c r="BD221" i="22"/>
  <c r="BP221" i="22"/>
  <c r="J237" i="20"/>
  <c r="BD243" i="22"/>
  <c r="BP243" i="22"/>
  <c r="J259" i="20"/>
  <c r="BC243" i="22"/>
  <c r="BO243" i="22"/>
  <c r="I259" i="20"/>
  <c r="BB251" i="22"/>
  <c r="BN251" i="22"/>
  <c r="H267" i="20"/>
  <c r="F267" i="20"/>
  <c r="BA251" i="22"/>
  <c r="BM251" i="22"/>
  <c r="G267" i="20"/>
  <c r="BE279" i="22"/>
  <c r="BQ279" i="22"/>
  <c r="K295" i="20"/>
  <c r="BC289" i="22"/>
  <c r="BO289" i="22"/>
  <c r="I305" i="20"/>
  <c r="BC332" i="22"/>
  <c r="BO332" i="22"/>
  <c r="I348" i="20"/>
  <c r="BD332" i="22"/>
  <c r="BP332" i="22"/>
  <c r="J348" i="20"/>
  <c r="E348" i="20"/>
  <c r="F348" i="20"/>
  <c r="H348" i="20"/>
  <c r="BD371" i="22"/>
  <c r="BP371" i="22"/>
  <c r="J387" i="20"/>
  <c r="I387" i="20"/>
  <c r="H387" i="20"/>
  <c r="BE371" i="22"/>
  <c r="BQ371" i="22"/>
  <c r="K387" i="20"/>
  <c r="BD378" i="22"/>
  <c r="BP378" i="22"/>
  <c r="J394" i="20"/>
  <c r="I394" i="20"/>
  <c r="H394" i="20"/>
  <c r="I410" i="20"/>
  <c r="H410" i="20"/>
  <c r="BF418" i="22"/>
  <c r="BR418" i="22"/>
  <c r="L434" i="20"/>
  <c r="BE418" i="22"/>
  <c r="BQ418" i="22"/>
  <c r="K434" i="20"/>
  <c r="BF434" i="22"/>
  <c r="BR434" i="22"/>
  <c r="L450" i="20"/>
  <c r="H450" i="20"/>
  <c r="BE434" i="22"/>
  <c r="BQ434" i="22"/>
  <c r="K450" i="20"/>
  <c r="BE450" i="22"/>
  <c r="BQ450" i="22"/>
  <c r="K466" i="20"/>
  <c r="BF450" i="22"/>
  <c r="BR450" i="22"/>
  <c r="L466" i="20"/>
  <c r="J466" i="20"/>
  <c r="D506" i="20"/>
  <c r="F506" i="20"/>
  <c r="K506" i="20"/>
  <c r="BF490" i="22"/>
  <c r="BR490" i="22"/>
  <c r="L506" i="20"/>
  <c r="E506" i="20"/>
  <c r="BF487" i="22"/>
  <c r="BR487" i="22"/>
  <c r="L503" i="20"/>
  <c r="I503" i="20"/>
  <c r="J503" i="20"/>
  <c r="H503" i="20"/>
  <c r="K503" i="20"/>
  <c r="BE454" i="22"/>
  <c r="BQ454" i="22"/>
  <c r="K470" i="20"/>
  <c r="G470" i="20"/>
  <c r="H470" i="20"/>
  <c r="J470" i="20"/>
  <c r="I470" i="20"/>
  <c r="C267" i="20"/>
  <c r="C504" i="20"/>
  <c r="C257" i="20"/>
  <c r="AX78" i="22"/>
  <c r="BJ78" i="22"/>
  <c r="D94" i="20"/>
  <c r="D222" i="20"/>
  <c r="C99" i="20"/>
  <c r="C211" i="20"/>
  <c r="D229" i="20"/>
  <c r="C115" i="20"/>
  <c r="C201" i="20"/>
  <c r="C315" i="20"/>
  <c r="C369" i="20"/>
  <c r="C353" i="20"/>
  <c r="AX101" i="22"/>
  <c r="BJ101" i="22"/>
  <c r="D117" i="20"/>
  <c r="D165" i="20"/>
  <c r="D245" i="20"/>
  <c r="D364" i="20"/>
  <c r="D164" i="20"/>
  <c r="D436" i="20"/>
  <c r="BE40" i="22"/>
  <c r="BQ40" i="22"/>
  <c r="K56" i="20"/>
  <c r="BC14" i="22"/>
  <c r="BO14" i="22"/>
  <c r="I30" i="20"/>
  <c r="BD14" i="22"/>
  <c r="BP14" i="22"/>
  <c r="J30" i="20"/>
  <c r="BD54" i="22"/>
  <c r="BP54" i="22"/>
  <c r="J70" i="20"/>
  <c r="BE72" i="22"/>
  <c r="BQ72" i="22"/>
  <c r="K88" i="20"/>
  <c r="BE88" i="22"/>
  <c r="BQ88" i="22"/>
  <c r="K104" i="20"/>
  <c r="BB101" i="22"/>
  <c r="BN101" i="22"/>
  <c r="H117" i="20"/>
  <c r="BC105" i="22"/>
  <c r="BO105" i="22"/>
  <c r="I121" i="20"/>
  <c r="BB110" i="22"/>
  <c r="BN110" i="22"/>
  <c r="H126" i="20"/>
  <c r="BA115" i="22"/>
  <c r="BM115" i="22"/>
  <c r="G131" i="20"/>
  <c r="BA122" i="22"/>
  <c r="BM122" i="22"/>
  <c r="G138" i="20"/>
  <c r="BB126" i="22"/>
  <c r="BN126" i="22"/>
  <c r="H142" i="20"/>
  <c r="BE131" i="22"/>
  <c r="BQ131" i="22"/>
  <c r="K147" i="20"/>
  <c r="AY137" i="22"/>
  <c r="BK137" i="22"/>
  <c r="E153" i="20"/>
  <c r="BC139" i="22"/>
  <c r="BO139" i="22"/>
  <c r="I155" i="20"/>
  <c r="BD143" i="22"/>
  <c r="BP143" i="22"/>
  <c r="J159" i="20"/>
  <c r="AZ148" i="22"/>
  <c r="BL148" i="22"/>
  <c r="F164" i="20"/>
  <c r="BC155" i="22"/>
  <c r="BO155" i="22"/>
  <c r="I171" i="20"/>
  <c r="E176" i="20"/>
  <c r="BD166" i="22"/>
  <c r="BP166" i="22"/>
  <c r="J182" i="20"/>
  <c r="BC171" i="22"/>
  <c r="BO171" i="22"/>
  <c r="I187" i="20"/>
  <c r="BD175" i="22"/>
  <c r="BP175" i="22"/>
  <c r="J191" i="20"/>
  <c r="BD180" i="22"/>
  <c r="BP180" i="22"/>
  <c r="J196" i="20"/>
  <c r="BD196" i="22"/>
  <c r="BP196" i="22"/>
  <c r="J212" i="20"/>
  <c r="BC201" i="22"/>
  <c r="BO201" i="22"/>
  <c r="I217" i="20"/>
  <c r="BB204" i="22"/>
  <c r="BN204" i="22"/>
  <c r="H220" i="20"/>
  <c r="BA211" i="22"/>
  <c r="BM211" i="22"/>
  <c r="G227" i="20"/>
  <c r="BB213" i="22"/>
  <c r="BN213" i="22"/>
  <c r="H229" i="20"/>
  <c r="BA227" i="22"/>
  <c r="BM227" i="22"/>
  <c r="G243" i="20"/>
  <c r="BD230" i="22"/>
  <c r="BP230" i="22"/>
  <c r="J246" i="20"/>
  <c r="BE241" i="22"/>
  <c r="BQ241" i="22"/>
  <c r="K257" i="20"/>
  <c r="BA248" i="22"/>
  <c r="BM248" i="22"/>
  <c r="G264" i="20"/>
  <c r="E267" i="20"/>
  <c r="BA257" i="22"/>
  <c r="BM257" i="22"/>
  <c r="G273" i="20"/>
  <c r="BD262" i="22"/>
  <c r="BP262" i="22"/>
  <c r="J278" i="20"/>
  <c r="BE275" i="22"/>
  <c r="BQ275" i="22"/>
  <c r="K291" i="20"/>
  <c r="BD301" i="22"/>
  <c r="BP301" i="22"/>
  <c r="J317" i="20"/>
  <c r="BC30" i="22"/>
  <c r="BO30" i="22"/>
  <c r="I46" i="20"/>
  <c r="BA52" i="22"/>
  <c r="BM52" i="22"/>
  <c r="G68" i="20"/>
  <c r="AZ66" i="22"/>
  <c r="BL66" i="22"/>
  <c r="F82" i="20"/>
  <c r="AZ80" i="22"/>
  <c r="BL80" i="22"/>
  <c r="F96" i="20"/>
  <c r="BA84" i="22"/>
  <c r="BM84" i="22"/>
  <c r="G100" i="20"/>
  <c r="BB90" i="22"/>
  <c r="BN90" i="22"/>
  <c r="H106" i="20"/>
  <c r="AX106" i="22"/>
  <c r="BJ106" i="22"/>
  <c r="D122" i="20"/>
  <c r="AY110" i="22"/>
  <c r="BK110" i="22"/>
  <c r="E126" i="20"/>
  <c r="BB115" i="22"/>
  <c r="BN115" i="22"/>
  <c r="H131" i="20"/>
  <c r="D138" i="20"/>
  <c r="BB131" i="22"/>
  <c r="BN131" i="22"/>
  <c r="H147" i="20"/>
  <c r="AZ137" i="22"/>
  <c r="BL137" i="22"/>
  <c r="F153" i="20"/>
  <c r="BD139" i="22"/>
  <c r="BP139" i="22"/>
  <c r="J155" i="20"/>
  <c r="D163" i="20"/>
  <c r="AZ192" i="22"/>
  <c r="BL192" i="22"/>
  <c r="F208" i="20"/>
  <c r="BD201" i="22"/>
  <c r="BP201" i="22"/>
  <c r="J217" i="20"/>
  <c r="BB232" i="22"/>
  <c r="BN232" i="22"/>
  <c r="H248" i="20"/>
  <c r="D273" i="20"/>
  <c r="BE50" i="22"/>
  <c r="BQ50" i="22"/>
  <c r="K66" i="20"/>
  <c r="AY106" i="22"/>
  <c r="BK106" i="22"/>
  <c r="E122" i="20"/>
  <c r="AY115" i="22"/>
  <c r="BK115" i="22"/>
  <c r="E131" i="20"/>
  <c r="BE139" i="22"/>
  <c r="BQ139" i="22"/>
  <c r="K155" i="20"/>
  <c r="BE235" i="22"/>
  <c r="BQ235" i="22"/>
  <c r="K251" i="20"/>
  <c r="G337" i="20"/>
  <c r="F349" i="20"/>
  <c r="I377" i="20"/>
  <c r="G465" i="20"/>
  <c r="K488" i="20"/>
  <c r="K504" i="20"/>
  <c r="BD321" i="22"/>
  <c r="BP321" i="22"/>
  <c r="J337" i="20"/>
  <c r="E179" i="20"/>
  <c r="AZ179" i="22"/>
  <c r="BL179" i="22"/>
  <c r="F195" i="20"/>
  <c r="BC191" i="22"/>
  <c r="BO191" i="22"/>
  <c r="I207" i="20"/>
  <c r="E223" i="20"/>
  <c r="F279" i="20"/>
  <c r="F299" i="20"/>
  <c r="D201" i="20"/>
  <c r="BB201" i="22"/>
  <c r="BN201" i="22"/>
  <c r="H217" i="20"/>
  <c r="E365" i="20"/>
  <c r="BD353" i="22"/>
  <c r="BP353" i="22"/>
  <c r="J369" i="20"/>
  <c r="F378" i="20"/>
  <c r="BE285" i="22"/>
  <c r="BQ285" i="22"/>
  <c r="K301" i="20"/>
  <c r="AZ9" i="22"/>
  <c r="BL9" i="22"/>
  <c r="F25" i="20"/>
  <c r="BB13" i="22"/>
  <c r="BN13" i="22"/>
  <c r="H29" i="20"/>
  <c r="BB15" i="22"/>
  <c r="BN15" i="22"/>
  <c r="H31" i="20"/>
  <c r="AZ19" i="22"/>
  <c r="BL19" i="22"/>
  <c r="F35" i="20"/>
  <c r="BC21" i="22"/>
  <c r="BO21" i="22"/>
  <c r="I37" i="20"/>
  <c r="BA23" i="22"/>
  <c r="BM23" i="22"/>
  <c r="G39" i="20"/>
  <c r="BA25" i="22"/>
  <c r="BM25" i="22"/>
  <c r="G41" i="20"/>
  <c r="BA29" i="22"/>
  <c r="BM29" i="22"/>
  <c r="G45" i="20"/>
  <c r="BB31" i="22"/>
  <c r="BN31" i="22"/>
  <c r="H47" i="20"/>
  <c r="AZ35" i="22"/>
  <c r="BL35" i="22"/>
  <c r="F51" i="20"/>
  <c r="BC37" i="22"/>
  <c r="BO37" i="22"/>
  <c r="I53" i="20"/>
  <c r="BA39" i="22"/>
  <c r="BM39" i="22"/>
  <c r="G55" i="20"/>
  <c r="BA41" i="22"/>
  <c r="BM41" i="22"/>
  <c r="G57" i="20"/>
  <c r="BC45" i="22"/>
  <c r="BO45" i="22"/>
  <c r="I61" i="20"/>
  <c r="BB47" i="22"/>
  <c r="BN47" i="22"/>
  <c r="H63" i="20"/>
  <c r="BC51" i="22"/>
  <c r="BO51" i="22"/>
  <c r="I67" i="20"/>
  <c r="BC53" i="22"/>
  <c r="BO53" i="22"/>
  <c r="I69" i="20"/>
  <c r="BA55" i="22"/>
  <c r="BM55" i="22"/>
  <c r="G71" i="20"/>
  <c r="AZ57" i="22"/>
  <c r="BL57" i="22"/>
  <c r="F73" i="20"/>
  <c r="AZ61" i="22"/>
  <c r="BL61" i="22"/>
  <c r="F77" i="20"/>
  <c r="BB63" i="22"/>
  <c r="BN63" i="22"/>
  <c r="H79" i="20"/>
  <c r="AZ67" i="22"/>
  <c r="BL67" i="22"/>
  <c r="F83" i="20"/>
  <c r="BC69" i="22"/>
  <c r="BO69" i="22"/>
  <c r="I85" i="20"/>
  <c r="BC71" i="22"/>
  <c r="BO71" i="22"/>
  <c r="I87" i="20"/>
  <c r="AZ73" i="22"/>
  <c r="BL73" i="22"/>
  <c r="F89" i="20"/>
  <c r="BB75" i="22"/>
  <c r="BN75" i="22"/>
  <c r="H91" i="20"/>
  <c r="BC77" i="22"/>
  <c r="BO77" i="22"/>
  <c r="I93" i="20"/>
  <c r="AY79" i="22"/>
  <c r="BK79" i="22"/>
  <c r="E95" i="20"/>
  <c r="BB81" i="22"/>
  <c r="BN81" i="22"/>
  <c r="H97" i="20"/>
  <c r="BB127" i="22"/>
  <c r="BN127" i="22"/>
  <c r="H143" i="20"/>
  <c r="BC186" i="22"/>
  <c r="BO186" i="22"/>
  <c r="I202" i="20"/>
  <c r="AZ202" i="22"/>
  <c r="BL202" i="22"/>
  <c r="F218" i="20"/>
  <c r="BC209" i="22"/>
  <c r="BO209" i="22"/>
  <c r="I225" i="20"/>
  <c r="F233" i="20"/>
  <c r="BC225" i="22"/>
  <c r="BO225" i="22"/>
  <c r="I241" i="20"/>
  <c r="BB233" i="22"/>
  <c r="BN233" i="22"/>
  <c r="H249" i="20"/>
  <c r="BB247" i="22"/>
  <c r="BN247" i="22"/>
  <c r="H263" i="20"/>
  <c r="BC280" i="22"/>
  <c r="BO280" i="22"/>
  <c r="I296" i="20"/>
  <c r="BC307" i="22"/>
  <c r="BO307" i="22"/>
  <c r="I323" i="20"/>
  <c r="BC156" i="22"/>
  <c r="BO156" i="22"/>
  <c r="I172" i="20"/>
  <c r="AY158" i="22"/>
  <c r="F326" i="20"/>
  <c r="H334" i="20"/>
  <c r="BC322" i="22"/>
  <c r="BO322" i="22"/>
  <c r="I338" i="20"/>
  <c r="BC326" i="22"/>
  <c r="BO326" i="22"/>
  <c r="I342" i="20"/>
  <c r="H358" i="20"/>
  <c r="BC358" i="22"/>
  <c r="BO358" i="22"/>
  <c r="I374" i="20"/>
  <c r="AZ117" i="22"/>
  <c r="BL117" i="22"/>
  <c r="F133" i="20"/>
  <c r="D137" i="20"/>
  <c r="BB123" i="22"/>
  <c r="BN123" i="22"/>
  <c r="H139" i="20"/>
  <c r="BA160" i="22"/>
  <c r="BM160" i="22"/>
  <c r="G176" i="20"/>
  <c r="BC176" i="22"/>
  <c r="BO176" i="22"/>
  <c r="I192" i="20"/>
  <c r="E208" i="20"/>
  <c r="BB222" i="22"/>
  <c r="BN222" i="22"/>
  <c r="H238" i="20"/>
  <c r="F246" i="20"/>
  <c r="D274" i="20"/>
  <c r="BC274" i="22"/>
  <c r="BO274" i="22"/>
  <c r="I290" i="20"/>
  <c r="BB290" i="22"/>
  <c r="BN290" i="22"/>
  <c r="H306" i="20"/>
  <c r="BA165" i="22"/>
  <c r="BM165" i="22"/>
  <c r="G181" i="20"/>
  <c r="E197" i="20"/>
  <c r="BA197" i="22"/>
  <c r="BM197" i="22"/>
  <c r="G213" i="20"/>
  <c r="C289" i="20"/>
  <c r="AW35" i="22"/>
  <c r="BI35" i="22"/>
  <c r="C51" i="20"/>
  <c r="C306" i="20"/>
  <c r="C202" i="20"/>
  <c r="D133" i="20"/>
  <c r="D174" i="20"/>
  <c r="AX9" i="22"/>
  <c r="BJ9" i="22"/>
  <c r="D25" i="20"/>
  <c r="AZ13" i="22"/>
  <c r="BL13" i="22"/>
  <c r="F29" i="20"/>
  <c r="BA19" i="22"/>
  <c r="BM19" i="22"/>
  <c r="G35" i="20"/>
  <c r="AY25" i="22"/>
  <c r="BK25" i="22"/>
  <c r="E41" i="20"/>
  <c r="BB39" i="22"/>
  <c r="BN39" i="22"/>
  <c r="H55" i="20"/>
  <c r="BC41" i="22"/>
  <c r="BO41" i="22"/>
  <c r="I57" i="20"/>
  <c r="BA13" i="22"/>
  <c r="BM13" i="22"/>
  <c r="G29" i="20"/>
  <c r="BA9" i="22"/>
  <c r="BM9" i="22"/>
  <c r="G25" i="20"/>
  <c r="BB29" i="22"/>
  <c r="BN29" i="22"/>
  <c r="H45" i="20"/>
  <c r="AY35" i="22"/>
  <c r="BK35" i="22"/>
  <c r="E51" i="20"/>
  <c r="BB53" i="22"/>
  <c r="BN53" i="22"/>
  <c r="H69" i="20"/>
  <c r="BC57" i="22"/>
  <c r="BO57" i="22"/>
  <c r="I73" i="20"/>
  <c r="BC121" i="22"/>
  <c r="BO121" i="22"/>
  <c r="I137" i="20"/>
  <c r="BB158" i="22"/>
  <c r="BN158" i="22"/>
  <c r="H174" i="20"/>
  <c r="BB165" i="22"/>
  <c r="BN165" i="22"/>
  <c r="H181" i="20"/>
  <c r="BA179" i="22"/>
  <c r="BM179" i="22"/>
  <c r="G195" i="20"/>
  <c r="BB181" i="22"/>
  <c r="BN181" i="22"/>
  <c r="H197" i="20"/>
  <c r="BA186" i="22"/>
  <c r="BM186" i="22"/>
  <c r="G202" i="20"/>
  <c r="AZ207" i="22"/>
  <c r="BL207" i="22"/>
  <c r="F223" i="20"/>
  <c r="BC283" i="22"/>
  <c r="BO283" i="22"/>
  <c r="I299" i="20"/>
  <c r="E306" i="20"/>
  <c r="BB35" i="22"/>
  <c r="BN35" i="22"/>
  <c r="H51" i="20"/>
  <c r="BC39" i="22"/>
  <c r="BO39" i="22"/>
  <c r="I55" i="20"/>
  <c r="BA45" i="22"/>
  <c r="BM45" i="22"/>
  <c r="G61" i="20"/>
  <c r="BB51" i="22"/>
  <c r="BN51" i="22"/>
  <c r="H67" i="20"/>
  <c r="BC55" i="22"/>
  <c r="BO55" i="22"/>
  <c r="I71" i="20"/>
  <c r="BA61" i="22"/>
  <c r="BM61" i="22"/>
  <c r="G77" i="20"/>
  <c r="BB67" i="22"/>
  <c r="BN67" i="22"/>
  <c r="H83" i="20"/>
  <c r="AY117" i="22"/>
  <c r="BK117" i="22"/>
  <c r="E133" i="20"/>
  <c r="BA127" i="22"/>
  <c r="BM127" i="22"/>
  <c r="G143" i="20"/>
  <c r="BB179" i="22"/>
  <c r="BN179" i="22"/>
  <c r="H195" i="20"/>
  <c r="BB186" i="22"/>
  <c r="BN186" i="22"/>
  <c r="H202" i="20"/>
  <c r="E213" i="20"/>
  <c r="D218" i="20"/>
  <c r="BA207" i="22"/>
  <c r="BM207" i="22"/>
  <c r="G223" i="20"/>
  <c r="BB225" i="22"/>
  <c r="BN225" i="22"/>
  <c r="H241" i="20"/>
  <c r="F249" i="20"/>
  <c r="BC247" i="22"/>
  <c r="BO247" i="22"/>
  <c r="I263" i="20"/>
  <c r="BC263" i="22"/>
  <c r="BO263" i="22"/>
  <c r="I279" i="20"/>
  <c r="BC35" i="22"/>
  <c r="BO35" i="22"/>
  <c r="I51" i="20"/>
  <c r="AX45" i="22"/>
  <c r="BJ45" i="22"/>
  <c r="D61" i="20"/>
  <c r="AY67" i="22"/>
  <c r="BK67" i="22"/>
  <c r="E83" i="20"/>
  <c r="BB79" i="22"/>
  <c r="BN79" i="22"/>
  <c r="H95" i="20"/>
  <c r="AZ181" i="22"/>
  <c r="BL181" i="22"/>
  <c r="F197" i="20"/>
  <c r="BA192" i="22"/>
  <c r="BM192" i="22"/>
  <c r="G208" i="20"/>
  <c r="BB207" i="22"/>
  <c r="BN207" i="22"/>
  <c r="H223" i="20"/>
  <c r="F342" i="20"/>
  <c r="C326" i="20"/>
  <c r="G342" i="20"/>
  <c r="C358" i="20"/>
  <c r="H342" i="20"/>
  <c r="AY13" i="22"/>
  <c r="BK13" i="22"/>
  <c r="E29" i="20"/>
  <c r="AY29" i="22"/>
  <c r="BK29" i="22"/>
  <c r="E45" i="20"/>
  <c r="AY45" i="22"/>
  <c r="BK45" i="22"/>
  <c r="E61" i="20"/>
  <c r="BB73" i="22"/>
  <c r="BN73" i="22"/>
  <c r="H89" i="20"/>
  <c r="BA156" i="22"/>
  <c r="BM156" i="22"/>
  <c r="G172" i="20"/>
  <c r="BB160" i="22"/>
  <c r="BN160" i="22"/>
  <c r="H176" i="20"/>
  <c r="D192" i="20"/>
  <c r="D233" i="20"/>
  <c r="BA222" i="22"/>
  <c r="BM222" i="22"/>
  <c r="G238" i="20"/>
  <c r="BB283" i="22"/>
  <c r="BN283" i="22"/>
  <c r="H299" i="20"/>
  <c r="BB263" i="22"/>
  <c r="BN263" i="22"/>
  <c r="H279" i="20"/>
  <c r="BC79" i="22"/>
  <c r="BO79" i="22"/>
  <c r="I95" i="20"/>
  <c r="BC310" i="22"/>
  <c r="BO310" i="22"/>
  <c r="I326" i="20"/>
  <c r="BC342" i="22"/>
  <c r="BO342" i="22"/>
  <c r="I358" i="20"/>
  <c r="BA117" i="22"/>
  <c r="BM117" i="22"/>
  <c r="G133" i="20"/>
  <c r="C233" i="20"/>
  <c r="C249" i="20"/>
  <c r="AW51" i="22"/>
  <c r="BI51" i="22"/>
  <c r="C67" i="20"/>
  <c r="D181" i="20"/>
  <c r="D342" i="20"/>
  <c r="AX25" i="22"/>
  <c r="BJ25" i="22"/>
  <c r="D41" i="20"/>
  <c r="AX41" i="22"/>
  <c r="BJ41" i="22"/>
  <c r="D57" i="20"/>
  <c r="AX57" i="22"/>
  <c r="BJ57" i="22"/>
  <c r="D73" i="20"/>
  <c r="AY9" i="22"/>
  <c r="BK9" i="22"/>
  <c r="E25" i="20"/>
  <c r="BB23" i="22"/>
  <c r="BN23" i="22"/>
  <c r="H39" i="20"/>
  <c r="BC25" i="22"/>
  <c r="BO25" i="22"/>
  <c r="I41" i="20"/>
  <c r="AY23" i="22"/>
  <c r="BK23" i="22"/>
  <c r="E39" i="20"/>
  <c r="AZ45" i="22"/>
  <c r="BL45" i="22"/>
  <c r="F61" i="20"/>
  <c r="BA51" i="22"/>
  <c r="BM51" i="22"/>
  <c r="G67" i="20"/>
  <c r="BC75" i="22"/>
  <c r="BO75" i="22"/>
  <c r="I91" i="20"/>
  <c r="BB117" i="22"/>
  <c r="BN117" i="22"/>
  <c r="H133" i="20"/>
  <c r="BA163" i="22"/>
  <c r="BM163" i="22"/>
  <c r="G179" i="20"/>
  <c r="E233" i="20"/>
  <c r="BC290" i="22"/>
  <c r="BO290" i="22"/>
  <c r="I306" i="20"/>
  <c r="BA79" i="22"/>
  <c r="BM79" i="22"/>
  <c r="G95" i="20"/>
  <c r="BC117" i="22"/>
  <c r="BO117" i="22"/>
  <c r="I133" i="20"/>
  <c r="BB163" i="22"/>
  <c r="BN163" i="22"/>
  <c r="H179" i="20"/>
  <c r="AZ176" i="22"/>
  <c r="BL176" i="22"/>
  <c r="F192" i="20"/>
  <c r="BC197" i="22"/>
  <c r="BO197" i="22"/>
  <c r="I213" i="20"/>
  <c r="BB202" i="22"/>
  <c r="BN202" i="22"/>
  <c r="H218" i="20"/>
  <c r="BB209" i="22"/>
  <c r="BN209" i="22"/>
  <c r="H225" i="20"/>
  <c r="BA230" i="22"/>
  <c r="BM230" i="22"/>
  <c r="G246" i="20"/>
  <c r="F274" i="20"/>
  <c r="BB45" i="22"/>
  <c r="BN45" i="22"/>
  <c r="H61" i="20"/>
  <c r="AY51" i="22"/>
  <c r="BK51" i="22"/>
  <c r="E67" i="20"/>
  <c r="AZ55" i="22"/>
  <c r="BL55" i="22"/>
  <c r="F71" i="20"/>
  <c r="BC67" i="22"/>
  <c r="BO67" i="22"/>
  <c r="I83" i="20"/>
  <c r="BA121" i="22"/>
  <c r="BM121" i="22"/>
  <c r="G137" i="20"/>
  <c r="AZ165" i="22"/>
  <c r="BL165" i="22"/>
  <c r="F181" i="20"/>
  <c r="E195" i="20"/>
  <c r="E202" i="20"/>
  <c r="BA217" i="22"/>
  <c r="BM217" i="22"/>
  <c r="G233" i="20"/>
  <c r="F263" i="20"/>
  <c r="BA258" i="22"/>
  <c r="BM258" i="22"/>
  <c r="G274" i="20"/>
  <c r="BC160" i="22"/>
  <c r="BO160" i="22"/>
  <c r="I176" i="20"/>
  <c r="BB273" i="22"/>
  <c r="BN273" i="22"/>
  <c r="H289" i="20"/>
  <c r="BC318" i="22"/>
  <c r="BO318" i="22"/>
  <c r="I334" i="20"/>
  <c r="G358" i="20"/>
  <c r="AY61" i="22"/>
  <c r="BK61" i="22"/>
  <c r="E77" i="20"/>
  <c r="AZ163" i="22"/>
  <c r="BL163" i="22"/>
  <c r="F179" i="20"/>
  <c r="BB176" i="22"/>
  <c r="BN176" i="22"/>
  <c r="H192" i="20"/>
  <c r="BB217" i="22"/>
  <c r="BN217" i="22"/>
  <c r="H233" i="20"/>
  <c r="BC222" i="22"/>
  <c r="BO222" i="22"/>
  <c r="I238" i="20"/>
  <c r="E246" i="20"/>
  <c r="BC13" i="22"/>
  <c r="BO13" i="22"/>
  <c r="I29" i="20"/>
  <c r="BC127" i="22"/>
  <c r="BO127" i="22"/>
  <c r="I143" i="20"/>
  <c r="D195" i="20"/>
  <c r="BA247" i="22"/>
  <c r="BM247" i="22"/>
  <c r="G263" i="20"/>
  <c r="BC158" i="22"/>
  <c r="BO158" i="22"/>
  <c r="I174" i="20"/>
  <c r="C83" i="20"/>
  <c r="D197" i="20"/>
  <c r="AX19" i="22"/>
  <c r="BJ19" i="22"/>
  <c r="D35" i="20"/>
  <c r="AX73" i="22"/>
  <c r="BJ73" i="22"/>
  <c r="D89" i="20"/>
  <c r="BC9" i="22"/>
  <c r="BO9" i="22"/>
  <c r="I25" i="20"/>
  <c r="BB37" i="22"/>
  <c r="BN37" i="22"/>
  <c r="H53" i="20"/>
  <c r="BB19" i="22"/>
  <c r="BN19" i="22"/>
  <c r="H35" i="20"/>
  <c r="BC23" i="22"/>
  <c r="BO23" i="22"/>
  <c r="I39" i="20"/>
  <c r="AY19" i="22"/>
  <c r="BK19" i="22"/>
  <c r="E35" i="20"/>
  <c r="AZ23" i="22"/>
  <c r="BL23" i="22"/>
  <c r="F39" i="20"/>
  <c r="BB55" i="22"/>
  <c r="BN55" i="22"/>
  <c r="H71" i="20"/>
  <c r="BB69" i="22"/>
  <c r="BN69" i="22"/>
  <c r="H85" i="20"/>
  <c r="AY73" i="22"/>
  <c r="BK73" i="22"/>
  <c r="E89" i="20"/>
  <c r="AZ127" i="22"/>
  <c r="BL127" i="22"/>
  <c r="F143" i="20"/>
  <c r="E192" i="20"/>
  <c r="BC217" i="22"/>
  <c r="BO217" i="22"/>
  <c r="I233" i="20"/>
  <c r="E249" i="20"/>
  <c r="E274" i="20"/>
  <c r="AZ41" i="22"/>
  <c r="BL41" i="22"/>
  <c r="F57" i="20"/>
  <c r="AZ160" i="22"/>
  <c r="BL160" i="22"/>
  <c r="F176" i="20"/>
  <c r="E181" i="20"/>
  <c r="BA191" i="22"/>
  <c r="BM191" i="22"/>
  <c r="G207" i="20"/>
  <c r="BA176" i="22"/>
  <c r="BM176" i="22"/>
  <c r="G192" i="20"/>
  <c r="BC179" i="22"/>
  <c r="BO179" i="22"/>
  <c r="I195" i="20"/>
  <c r="BC273" i="22"/>
  <c r="BO273" i="22"/>
  <c r="I289" i="20"/>
  <c r="F358" i="20"/>
  <c r="BC202" i="22"/>
  <c r="BO202" i="22"/>
  <c r="I218" i="20"/>
  <c r="H374" i="20"/>
  <c r="E207" i="20"/>
  <c r="AX24" i="22"/>
  <c r="BJ24" i="22"/>
  <c r="D40" i="20"/>
  <c r="AY50" i="22"/>
  <c r="BK50" i="22"/>
  <c r="E66" i="20"/>
  <c r="AY60" i="22"/>
  <c r="BK60" i="22"/>
  <c r="E76" i="20"/>
  <c r="AX66" i="22"/>
  <c r="BJ66" i="22"/>
  <c r="D82" i="20"/>
  <c r="AX72" i="22"/>
  <c r="BJ72" i="22"/>
  <c r="D88" i="20"/>
  <c r="AY78" i="22"/>
  <c r="BK78" i="22"/>
  <c r="E94" i="20"/>
  <c r="AY80" i="22"/>
  <c r="BK80" i="22"/>
  <c r="E96" i="20"/>
  <c r="AY122" i="22"/>
  <c r="BK122" i="22"/>
  <c r="E138" i="20"/>
  <c r="AY24" i="22"/>
  <c r="BK24" i="22"/>
  <c r="E40" i="20"/>
  <c r="AX40" i="22"/>
  <c r="BJ40" i="22"/>
  <c r="D56" i="20"/>
  <c r="AX13" i="22"/>
  <c r="BJ13" i="22"/>
  <c r="D29" i="20"/>
  <c r="AW29" i="22"/>
  <c r="BI29" i="22"/>
  <c r="C45" i="20"/>
  <c r="AW45" i="22"/>
  <c r="BI45" i="22"/>
  <c r="C61" i="20"/>
  <c r="C77" i="20"/>
  <c r="AX60" i="22"/>
  <c r="BJ60" i="22"/>
  <c r="D76" i="20"/>
  <c r="AX61" i="22"/>
  <c r="BJ61" i="22"/>
  <c r="D77" i="20"/>
  <c r="BA140" i="22"/>
  <c r="BM140" i="22"/>
  <c r="G156" i="20"/>
  <c r="BC196" i="22"/>
  <c r="BO196" i="22"/>
  <c r="I212" i="20"/>
  <c r="BB234" i="22"/>
  <c r="BN234" i="22"/>
  <c r="H250" i="20"/>
  <c r="F264" i="20"/>
  <c r="AZ186" i="22"/>
  <c r="BL186" i="22"/>
  <c r="F202" i="20"/>
  <c r="BC223" i="22"/>
  <c r="BO223" i="22"/>
  <c r="I239" i="20"/>
  <c r="F321" i="20"/>
  <c r="H377" i="20"/>
  <c r="BD385" i="22"/>
  <c r="BP385" i="22"/>
  <c r="J401" i="20"/>
  <c r="F417" i="20"/>
  <c r="BC294" i="22"/>
  <c r="BO294" i="22"/>
  <c r="I310" i="20"/>
  <c r="BD360" i="22"/>
  <c r="BP360" i="22"/>
  <c r="J376" i="20"/>
  <c r="BB243" i="22"/>
  <c r="BN243" i="22"/>
  <c r="H259" i="20"/>
  <c r="BD288" i="22"/>
  <c r="BP288" i="22"/>
  <c r="J304" i="20"/>
  <c r="BC159" i="22"/>
  <c r="BO159" i="22"/>
  <c r="I175" i="20"/>
  <c r="E191" i="20"/>
  <c r="BC207" i="22"/>
  <c r="BO207" i="22"/>
  <c r="I223" i="20"/>
  <c r="BD271" i="22"/>
  <c r="BP271" i="22"/>
  <c r="J287" i="20"/>
  <c r="BA158" i="22"/>
  <c r="BM158" i="22"/>
  <c r="G174" i="20"/>
  <c r="D217" i="20"/>
  <c r="G469" i="20"/>
  <c r="E437" i="20"/>
  <c r="G468" i="20"/>
  <c r="BE148" i="22"/>
  <c r="BQ148" i="22"/>
  <c r="K164" i="20"/>
  <c r="BE175" i="22"/>
  <c r="BQ175" i="22"/>
  <c r="K191" i="20"/>
  <c r="BE207" i="22"/>
  <c r="BQ207" i="22"/>
  <c r="K223" i="20"/>
  <c r="BE349" i="22"/>
  <c r="BQ349" i="22"/>
  <c r="K365" i="20"/>
  <c r="BD248" i="22"/>
  <c r="BP248" i="22"/>
  <c r="J264" i="20"/>
  <c r="E301" i="20"/>
  <c r="C321" i="20"/>
  <c r="BC308" i="22"/>
  <c r="BO308" i="22"/>
  <c r="I324" i="20"/>
  <c r="I437" i="20"/>
  <c r="BE421" i="22"/>
  <c r="BQ421" i="22"/>
  <c r="K437" i="20"/>
  <c r="BD401" i="22"/>
  <c r="BP401" i="22"/>
  <c r="J417" i="20"/>
  <c r="BC324" i="22"/>
  <c r="BO324" i="22"/>
  <c r="I340" i="20"/>
  <c r="AZ106" i="22"/>
  <c r="BL106" i="22"/>
  <c r="F122" i="20"/>
  <c r="AZ110" i="22"/>
  <c r="BL110" i="22"/>
  <c r="F126" i="20"/>
  <c r="E196" i="20"/>
  <c r="BA238" i="22"/>
  <c r="BM238" i="22"/>
  <c r="G254" i="20"/>
  <c r="AZ72" i="22"/>
  <c r="BL72" i="22"/>
  <c r="F88" i="20"/>
  <c r="C96" i="20"/>
  <c r="C100" i="20"/>
  <c r="D208" i="20"/>
  <c r="AZ24" i="22"/>
  <c r="BL24" i="22"/>
  <c r="F40" i="20"/>
  <c r="AZ40" i="22"/>
  <c r="BL40" i="22"/>
  <c r="F56" i="20"/>
  <c r="AY127" i="22"/>
  <c r="BK127" i="22"/>
  <c r="E143" i="20"/>
  <c r="D147" i="20"/>
  <c r="C153" i="20"/>
  <c r="AY40" i="22"/>
  <c r="BK40" i="22"/>
  <c r="E56" i="20"/>
  <c r="AX84" i="22"/>
  <c r="BJ84" i="22"/>
  <c r="D100" i="20"/>
  <c r="C116" i="20"/>
  <c r="AW13" i="22"/>
  <c r="BI13" i="22"/>
  <c r="C29" i="20"/>
  <c r="L17" i="23"/>
  <c r="F11" i="23"/>
  <c r="L12" i="23"/>
  <c r="R12" i="23"/>
  <c r="T12" i="23"/>
  <c r="L13" i="23"/>
  <c r="C138" i="20"/>
  <c r="G300" i="20"/>
  <c r="F310" i="20"/>
  <c r="E294" i="20"/>
  <c r="G324" i="20"/>
  <c r="F306" i="20"/>
  <c r="D301" i="20"/>
  <c r="F311" i="20"/>
  <c r="G310" i="20"/>
  <c r="G279" i="20"/>
  <c r="E310" i="20"/>
  <c r="G301" i="20"/>
  <c r="G317" i="20"/>
  <c r="D310" i="20"/>
  <c r="F301" i="20"/>
  <c r="E315" i="20"/>
  <c r="G321" i="20"/>
  <c r="F283" i="20"/>
  <c r="D289" i="20"/>
  <c r="E295" i="20"/>
  <c r="F295" i="20"/>
  <c r="G306" i="20"/>
  <c r="E311" i="20"/>
  <c r="C478" i="20"/>
  <c r="AZ11" i="22"/>
  <c r="BL11" i="22"/>
  <c r="F27" i="20"/>
  <c r="AY17" i="22"/>
  <c r="BK17" i="22"/>
  <c r="E33" i="20"/>
  <c r="AX33" i="22"/>
  <c r="BJ33" i="22"/>
  <c r="D49" i="20"/>
  <c r="AW49" i="22"/>
  <c r="BI49" i="22"/>
  <c r="C65" i="20"/>
  <c r="BA65" i="22"/>
  <c r="BM65" i="22"/>
  <c r="G81" i="20"/>
  <c r="AX23" i="22"/>
  <c r="BJ23" i="22"/>
  <c r="D39" i="20"/>
  <c r="AZ48" i="22"/>
  <c r="BL48" i="22"/>
  <c r="F64" i="20"/>
  <c r="C109" i="20"/>
  <c r="C119" i="20"/>
  <c r="E205" i="20"/>
  <c r="D231" i="20"/>
  <c r="AZ114" i="22"/>
  <c r="BL114" i="22"/>
  <c r="F130" i="20"/>
  <c r="AZ178" i="22"/>
  <c r="BL178" i="22"/>
  <c r="F194" i="20"/>
  <c r="D210" i="20"/>
  <c r="C226" i="20"/>
  <c r="E240" i="20"/>
  <c r="G424" i="20"/>
  <c r="H476" i="20"/>
  <c r="C482" i="20"/>
  <c r="I524" i="20"/>
  <c r="D267" i="20"/>
  <c r="AW9" i="22"/>
  <c r="BI9" i="22"/>
  <c r="C25" i="20"/>
  <c r="AW25" i="22"/>
  <c r="BI25" i="22"/>
  <c r="C41" i="20"/>
  <c r="AW41" i="22"/>
  <c r="BI41" i="22"/>
  <c r="C57" i="20"/>
  <c r="AW57" i="22"/>
  <c r="BI57" i="22"/>
  <c r="C73" i="20"/>
  <c r="AY69" i="22"/>
  <c r="BK69" i="22"/>
  <c r="E85" i="20"/>
  <c r="C89" i="20"/>
  <c r="AX46" i="22"/>
  <c r="BJ46" i="22"/>
  <c r="D62" i="20"/>
  <c r="AY62" i="22"/>
  <c r="BK62" i="22"/>
  <c r="E78" i="20"/>
  <c r="AX68" i="22"/>
  <c r="BJ68" i="22"/>
  <c r="D84" i="20"/>
  <c r="AX75" i="22"/>
  <c r="BJ75" i="22"/>
  <c r="D91" i="20"/>
  <c r="C101" i="20"/>
  <c r="AX97" i="22"/>
  <c r="BJ97" i="22"/>
  <c r="D113" i="20"/>
  <c r="C117" i="20"/>
  <c r="C133" i="20"/>
  <c r="AY123" i="22"/>
  <c r="BK123" i="22"/>
  <c r="E139" i="20"/>
  <c r="C149" i="20"/>
  <c r="D161" i="20"/>
  <c r="C165" i="20"/>
  <c r="AY155" i="22"/>
  <c r="BK155" i="22"/>
  <c r="E171" i="20"/>
  <c r="C181" i="20"/>
  <c r="C197" i="20"/>
  <c r="C203" i="20"/>
  <c r="C213" i="20"/>
  <c r="D225" i="20"/>
  <c r="C229" i="20"/>
  <c r="E235" i="20"/>
  <c r="C245" i="20"/>
  <c r="C150" i="20"/>
  <c r="AY140" i="22"/>
  <c r="BK140" i="22"/>
  <c r="E156" i="20"/>
  <c r="C214" i="20"/>
  <c r="E220" i="20"/>
  <c r="C269" i="20"/>
  <c r="C275" i="20"/>
  <c r="C285" i="20"/>
  <c r="C301" i="20"/>
  <c r="C317" i="20"/>
  <c r="C333" i="20"/>
  <c r="C349" i="20"/>
  <c r="C365" i="20"/>
  <c r="E397" i="20"/>
  <c r="F407" i="20"/>
  <c r="C488" i="20"/>
  <c r="D315" i="20"/>
  <c r="BD72" i="22"/>
  <c r="BP72" i="22"/>
  <c r="J88" i="20"/>
  <c r="BD106" i="22"/>
  <c r="BP106" i="22"/>
  <c r="J122" i="20"/>
  <c r="C94" i="20"/>
  <c r="H338" i="20"/>
  <c r="G348" i="20"/>
  <c r="BC164" i="22"/>
  <c r="BO164" i="22"/>
  <c r="I180" i="20"/>
  <c r="BD202" i="22"/>
  <c r="BP202" i="22"/>
  <c r="J218" i="20"/>
  <c r="BC246" i="22"/>
  <c r="BO246" i="22"/>
  <c r="I262" i="20"/>
  <c r="E342" i="20"/>
  <c r="E436" i="20"/>
  <c r="G446" i="20"/>
  <c r="G488" i="20"/>
  <c r="BC180" i="22"/>
  <c r="BO180" i="22"/>
  <c r="I196" i="20"/>
  <c r="BD232" i="22"/>
  <c r="BP232" i="22"/>
  <c r="J248" i="20"/>
  <c r="BD362" i="22"/>
  <c r="BP362" i="22"/>
  <c r="J378" i="20"/>
  <c r="H384" i="20"/>
  <c r="H490" i="20"/>
  <c r="BD394" i="22"/>
  <c r="BP394" i="22"/>
  <c r="J410" i="20"/>
  <c r="H426" i="20"/>
  <c r="J434" i="20"/>
  <c r="H442" i="20"/>
  <c r="I450" i="20"/>
  <c r="G454" i="20"/>
  <c r="J458" i="20"/>
  <c r="H466" i="20"/>
  <c r="BC52" i="22"/>
  <c r="BO52" i="22"/>
  <c r="I68" i="20"/>
  <c r="C514" i="20"/>
  <c r="BA239" i="22"/>
  <c r="BM239" i="22"/>
  <c r="G255" i="20"/>
  <c r="BC31" i="22"/>
  <c r="BO31" i="22"/>
  <c r="I47" i="20"/>
  <c r="BE31" i="22"/>
  <c r="BQ31" i="22"/>
  <c r="K47" i="20"/>
  <c r="BC47" i="22"/>
  <c r="BO47" i="22"/>
  <c r="I63" i="20"/>
  <c r="BE47" i="22"/>
  <c r="BQ47" i="22"/>
  <c r="K63" i="20"/>
  <c r="BC63" i="22"/>
  <c r="BO63" i="22"/>
  <c r="I79" i="20"/>
  <c r="BE63" i="22"/>
  <c r="BQ63" i="22"/>
  <c r="K79" i="20"/>
  <c r="I439" i="20"/>
  <c r="H439" i="20"/>
  <c r="J455" i="20"/>
  <c r="H455" i="20"/>
  <c r="D459" i="20"/>
  <c r="F459" i="20"/>
  <c r="J461" i="20"/>
  <c r="H461" i="20"/>
  <c r="I471" i="20"/>
  <c r="J471" i="20"/>
  <c r="I477" i="20"/>
  <c r="K477" i="20"/>
  <c r="J487" i="20"/>
  <c r="I487" i="20"/>
  <c r="E491" i="20"/>
  <c r="D491" i="20"/>
  <c r="F491" i="20"/>
  <c r="G491" i="20"/>
  <c r="F497" i="20"/>
  <c r="E497" i="20"/>
  <c r="I509" i="20"/>
  <c r="H509" i="20"/>
  <c r="K509" i="20"/>
  <c r="E513" i="20"/>
  <c r="G513" i="20"/>
  <c r="D513" i="20"/>
  <c r="F513" i="20"/>
  <c r="J519" i="20"/>
  <c r="I519" i="20"/>
  <c r="G523" i="20"/>
  <c r="F523" i="20"/>
  <c r="C154" i="20"/>
  <c r="BC15" i="22"/>
  <c r="BO15" i="22"/>
  <c r="I31" i="20"/>
  <c r="BE413" i="22"/>
  <c r="BQ413" i="22"/>
  <c r="K429" i="20"/>
  <c r="C176" i="20"/>
  <c r="C192" i="20"/>
  <c r="C208" i="20"/>
  <c r="J477" i="20"/>
  <c r="BB68" i="22"/>
  <c r="BN68" i="22"/>
  <c r="H84" i="20"/>
  <c r="BD259" i="22"/>
  <c r="BP259" i="22"/>
  <c r="J275" i="20"/>
  <c r="BE397" i="22"/>
  <c r="BQ397" i="22"/>
  <c r="K413" i="20"/>
  <c r="BE423" i="22"/>
  <c r="BQ423" i="22"/>
  <c r="K439" i="20"/>
  <c r="J446" i="20"/>
  <c r="H462" i="20"/>
  <c r="BE180" i="22"/>
  <c r="BQ180" i="22"/>
  <c r="K196" i="20"/>
  <c r="BE404" i="22"/>
  <c r="BQ404" i="22"/>
  <c r="K420" i="20"/>
  <c r="AW24" i="22"/>
  <c r="BI24" i="22"/>
  <c r="C40" i="20"/>
  <c r="AW40" i="22"/>
  <c r="BI40" i="22"/>
  <c r="C56" i="20"/>
  <c r="C88" i="20"/>
  <c r="C248" i="20"/>
  <c r="C264" i="20"/>
  <c r="C440" i="20"/>
  <c r="BE430" i="22"/>
  <c r="BQ430" i="22"/>
  <c r="K446" i="20"/>
  <c r="H472" i="20"/>
  <c r="G332" i="20"/>
  <c r="BE164" i="22"/>
  <c r="BQ164" i="22"/>
  <c r="K180" i="20"/>
  <c r="BE390" i="22"/>
  <c r="BQ390" i="22"/>
  <c r="K406" i="20"/>
  <c r="C76" i="20"/>
  <c r="C236" i="20"/>
  <c r="C300" i="20"/>
  <c r="C332" i="20"/>
  <c r="C348" i="20"/>
  <c r="C364" i="20"/>
  <c r="C380" i="20"/>
  <c r="G308" i="20"/>
  <c r="G318" i="20"/>
  <c r="G386" i="20"/>
  <c r="E406" i="20"/>
  <c r="E278" i="20"/>
  <c r="G334" i="20"/>
  <c r="G384" i="20"/>
  <c r="G394" i="20"/>
  <c r="D428" i="20"/>
  <c r="G280" i="20"/>
  <c r="D326" i="20"/>
  <c r="G422" i="20"/>
  <c r="C485" i="20"/>
  <c r="J490" i="20"/>
  <c r="G512" i="20"/>
  <c r="G506" i="20"/>
  <c r="G478" i="20"/>
  <c r="H496" i="20"/>
  <c r="J504" i="20"/>
  <c r="J522" i="20"/>
  <c r="C506" i="20"/>
  <c r="I434" i="20"/>
  <c r="H446" i="20"/>
  <c r="I454" i="20"/>
  <c r="I466" i="20"/>
  <c r="I426" i="20"/>
  <c r="G434" i="20"/>
  <c r="I442" i="20"/>
  <c r="G450" i="20"/>
  <c r="I490" i="20"/>
  <c r="I506" i="20"/>
  <c r="I446" i="20"/>
  <c r="J450" i="20"/>
  <c r="H506" i="20"/>
  <c r="G466" i="20"/>
  <c r="H512" i="20"/>
  <c r="H434" i="20"/>
  <c r="J426" i="20"/>
  <c r="G426" i="20"/>
  <c r="D504" i="20"/>
  <c r="I472" i="20"/>
  <c r="E478" i="20"/>
  <c r="E504" i="20"/>
  <c r="F472" i="20"/>
  <c r="F478" i="20"/>
  <c r="J512" i="20"/>
  <c r="D478" i="20"/>
  <c r="G462" i="20"/>
  <c r="G458" i="20"/>
  <c r="C472" i="20"/>
  <c r="C496" i="20"/>
  <c r="D496" i="20"/>
  <c r="G496" i="20"/>
  <c r="D334" i="20"/>
  <c r="C458" i="20"/>
  <c r="D394" i="20"/>
  <c r="G278" i="20"/>
  <c r="E384" i="20"/>
  <c r="F428" i="20"/>
  <c r="E326" i="20"/>
  <c r="E472" i="20"/>
  <c r="E428" i="20"/>
  <c r="G472" i="20"/>
  <c r="G428" i="20"/>
  <c r="D283" i="20"/>
  <c r="D299" i="20"/>
  <c r="C331" i="20"/>
  <c r="C347" i="20"/>
  <c r="C280" i="20"/>
  <c r="D278" i="20"/>
  <c r="F278" i="20"/>
  <c r="C278" i="20"/>
  <c r="D280" i="20"/>
  <c r="E280" i="20"/>
  <c r="G326" i="20"/>
  <c r="E394" i="20"/>
  <c r="F394" i="20"/>
  <c r="F496" i="20"/>
  <c r="E293" i="20"/>
  <c r="G341" i="20"/>
  <c r="G409" i="20"/>
  <c r="D406" i="20"/>
  <c r="C394" i="20"/>
  <c r="F406" i="20"/>
  <c r="G406" i="20"/>
  <c r="C428" i="20"/>
  <c r="C283" i="20"/>
  <c r="C179" i="20"/>
  <c r="C227" i="20"/>
  <c r="D347" i="20"/>
  <c r="C131" i="20"/>
  <c r="C299" i="20"/>
  <c r="C195" i="20"/>
  <c r="G484" i="20"/>
  <c r="F414" i="20"/>
  <c r="E462" i="20"/>
  <c r="D480" i="20"/>
  <c r="F488" i="20"/>
  <c r="D430" i="20"/>
  <c r="J484" i="20"/>
  <c r="AX95" i="22"/>
  <c r="BJ95" i="22"/>
  <c r="D111" i="20"/>
  <c r="D159" i="20"/>
  <c r="D223" i="20"/>
  <c r="BD392" i="22"/>
  <c r="BP392" i="22"/>
  <c r="J408" i="20"/>
  <c r="BA34" i="22"/>
  <c r="BM34" i="22"/>
  <c r="G50" i="20"/>
  <c r="C106" i="20"/>
  <c r="D148" i="20"/>
  <c r="BA254" i="22"/>
  <c r="BM254" i="22"/>
  <c r="G270" i="20"/>
  <c r="E418" i="20"/>
  <c r="D484" i="20"/>
  <c r="D490" i="20"/>
  <c r="D414" i="20"/>
  <c r="F422" i="20"/>
  <c r="F426" i="20"/>
  <c r="D434" i="20"/>
  <c r="F442" i="20"/>
  <c r="E446" i="20"/>
  <c r="F450" i="20"/>
  <c r="F454" i="20"/>
  <c r="F458" i="20"/>
  <c r="D462" i="20"/>
  <c r="D466" i="20"/>
  <c r="F470" i="20"/>
  <c r="G480" i="20"/>
  <c r="E488" i="20"/>
  <c r="J494" i="20"/>
  <c r="G498" i="20"/>
  <c r="H502" i="20"/>
  <c r="C512" i="20"/>
  <c r="H518" i="20"/>
  <c r="F524" i="20"/>
  <c r="C518" i="20"/>
  <c r="H480" i="20"/>
  <c r="F462" i="20"/>
  <c r="C434" i="20"/>
  <c r="I418" i="20"/>
  <c r="E408" i="20"/>
  <c r="D498" i="20"/>
  <c r="D518" i="20"/>
  <c r="D426" i="20"/>
  <c r="D408" i="20"/>
  <c r="J524" i="20"/>
  <c r="D488" i="20"/>
  <c r="E422" i="20"/>
  <c r="C466" i="20"/>
  <c r="C480" i="20"/>
  <c r="C490" i="20"/>
  <c r="C524" i="20"/>
  <c r="D446" i="20"/>
  <c r="C426" i="20"/>
  <c r="G408" i="20"/>
  <c r="E434" i="20"/>
  <c r="H408" i="20"/>
  <c r="F418" i="20"/>
  <c r="I408" i="20"/>
  <c r="E426" i="20"/>
  <c r="F446" i="20"/>
  <c r="D470" i="20"/>
  <c r="D524" i="20"/>
  <c r="E470" i="20"/>
  <c r="E480" i="20"/>
  <c r="E490" i="20"/>
  <c r="E498" i="20"/>
  <c r="I502" i="20"/>
  <c r="E512" i="20"/>
  <c r="E518" i="20"/>
  <c r="F466" i="20"/>
  <c r="F512" i="20"/>
  <c r="F518" i="20"/>
  <c r="D454" i="20"/>
  <c r="H494" i="20"/>
  <c r="H524" i="20"/>
  <c r="G524" i="20"/>
  <c r="H498" i="20"/>
  <c r="F408" i="20"/>
  <c r="H484" i="20"/>
  <c r="D422" i="20"/>
  <c r="C450" i="20"/>
  <c r="D418" i="20"/>
  <c r="C414" i="20"/>
  <c r="BA234" i="22"/>
  <c r="BM234" i="22"/>
  <c r="G250" i="20"/>
  <c r="E458" i="20"/>
  <c r="E466" i="20"/>
  <c r="E414" i="20"/>
  <c r="BD402" i="22"/>
  <c r="BP402" i="22"/>
  <c r="J418" i="20"/>
  <c r="G418" i="20"/>
  <c r="D512" i="20"/>
  <c r="I480" i="20"/>
  <c r="E484" i="20"/>
  <c r="I494" i="20"/>
  <c r="I498" i="20"/>
  <c r="I518" i="20"/>
  <c r="D458" i="20"/>
  <c r="F434" i="20"/>
  <c r="F480" i="20"/>
  <c r="F490" i="20"/>
  <c r="F498" i="20"/>
  <c r="J502" i="20"/>
  <c r="J518" i="20"/>
  <c r="D450" i="20"/>
  <c r="H418" i="20"/>
  <c r="C408" i="20"/>
  <c r="D442" i="20"/>
  <c r="C422" i="20"/>
  <c r="C454" i="20"/>
  <c r="C484" i="20"/>
  <c r="C498" i="20"/>
  <c r="C442" i="20"/>
  <c r="E450" i="20"/>
  <c r="E454" i="20"/>
  <c r="E442" i="20"/>
  <c r="I484" i="20"/>
  <c r="E524" i="20"/>
  <c r="J480" i="20"/>
  <c r="F484" i="20"/>
  <c r="J498" i="20"/>
  <c r="G518" i="20"/>
  <c r="E377" i="20"/>
  <c r="C381" i="20"/>
  <c r="D260" i="20"/>
  <c r="C270" i="20"/>
  <c r="F288" i="20"/>
  <c r="D311" i="20"/>
  <c r="D324" i="20"/>
  <c r="C330" i="20"/>
  <c r="G397" i="20"/>
  <c r="C401" i="20"/>
  <c r="C417" i="20"/>
  <c r="C433" i="20"/>
  <c r="E439" i="20"/>
  <c r="F441" i="20"/>
  <c r="C449" i="20"/>
  <c r="C455" i="20"/>
  <c r="C465" i="20"/>
  <c r="C471" i="20"/>
  <c r="E477" i="20"/>
  <c r="C481" i="20"/>
  <c r="E487" i="20"/>
  <c r="E489" i="20"/>
  <c r="C497" i="20"/>
  <c r="E499" i="20"/>
  <c r="E505" i="20"/>
  <c r="C513" i="20"/>
  <c r="F354" i="20"/>
  <c r="C382" i="20"/>
  <c r="D386" i="20"/>
  <c r="D410" i="20"/>
  <c r="C430" i="20"/>
  <c r="C438" i="20"/>
  <c r="C470" i="20"/>
  <c r="C474" i="20"/>
  <c r="G420" i="20"/>
  <c r="C460" i="20"/>
  <c r="E183" i="20"/>
  <c r="BD239" i="22"/>
  <c r="BP239" i="22"/>
  <c r="J255" i="20"/>
  <c r="BC103" i="22"/>
  <c r="BO103" i="22"/>
  <c r="I119" i="20"/>
  <c r="C503" i="20"/>
  <c r="AY44" i="22"/>
  <c r="BK44" i="22"/>
  <c r="E60" i="20"/>
  <c r="AW56" i="22"/>
  <c r="BI56" i="22"/>
  <c r="C72" i="20"/>
  <c r="AY128" i="22"/>
  <c r="BK128" i="22"/>
  <c r="E144" i="20"/>
  <c r="C392" i="20"/>
  <c r="AW18" i="22"/>
  <c r="BI18" i="22"/>
  <c r="C34" i="20"/>
  <c r="AZ28" i="22"/>
  <c r="BL28" i="22"/>
  <c r="F44" i="20"/>
  <c r="AX32" i="22"/>
  <c r="BJ32" i="22"/>
  <c r="D48" i="20"/>
  <c r="AW38" i="22"/>
  <c r="BI38" i="22"/>
  <c r="C54" i="20"/>
  <c r="AZ82" i="22"/>
  <c r="BL82" i="22"/>
  <c r="F98" i="20"/>
  <c r="D396" i="20"/>
  <c r="C522" i="20"/>
  <c r="C246" i="20"/>
  <c r="G276" i="20"/>
  <c r="D284" i="20"/>
  <c r="C290" i="20"/>
  <c r="BD352" i="22"/>
  <c r="BP352" i="22"/>
  <c r="J368" i="20"/>
  <c r="D374" i="20"/>
  <c r="D438" i="20"/>
  <c r="F444" i="20"/>
  <c r="C156" i="20"/>
  <c r="C444" i="20"/>
  <c r="C98" i="20"/>
  <c r="C139" i="20"/>
  <c r="BE17" i="22"/>
  <c r="BQ17" i="22"/>
  <c r="K33" i="20"/>
  <c r="BD18" i="22"/>
  <c r="BP18" i="22"/>
  <c r="J34" i="20"/>
  <c r="E270" i="20"/>
  <c r="BB268" i="22"/>
  <c r="BN268" i="22"/>
  <c r="H284" i="20"/>
  <c r="C311" i="20"/>
  <c r="E203" i="20"/>
  <c r="E374" i="20"/>
  <c r="E503" i="20"/>
  <c r="C487" i="20"/>
  <c r="D420" i="20"/>
  <c r="C284" i="20"/>
  <c r="C396" i="20"/>
  <c r="C412" i="20"/>
  <c r="C247" i="20"/>
  <c r="C82" i="20"/>
  <c r="C122" i="20"/>
  <c r="D463" i="20"/>
  <c r="AY104" i="22"/>
  <c r="BK104" i="22"/>
  <c r="E120" i="20"/>
  <c r="BD12" i="22"/>
  <c r="BP12" i="22"/>
  <c r="J28" i="20"/>
  <c r="AX22" i="22"/>
  <c r="BJ22" i="22"/>
  <c r="D38" i="20"/>
  <c r="AW26" i="22"/>
  <c r="BI26" i="22"/>
  <c r="C42" i="20"/>
  <c r="BA32" i="22"/>
  <c r="BM32" i="22"/>
  <c r="G48" i="20"/>
  <c r="AZ38" i="22"/>
  <c r="BL38" i="22"/>
  <c r="F54" i="20"/>
  <c r="BB56" i="22"/>
  <c r="BN56" i="22"/>
  <c r="H72" i="20"/>
  <c r="AY82" i="22"/>
  <c r="BK82" i="22"/>
  <c r="E98" i="20"/>
  <c r="AY112" i="22"/>
  <c r="BK112" i="22"/>
  <c r="E128" i="20"/>
  <c r="C142" i="20"/>
  <c r="C158" i="20"/>
  <c r="BA198" i="22"/>
  <c r="BM198" i="22"/>
  <c r="G214" i="20"/>
  <c r="BA228" i="22"/>
  <c r="BM228" i="22"/>
  <c r="G244" i="20"/>
  <c r="F272" i="20"/>
  <c r="BB276" i="22"/>
  <c r="BN276" i="22"/>
  <c r="H292" i="20"/>
  <c r="G302" i="20"/>
  <c r="BC296" i="22"/>
  <c r="BO296" i="22"/>
  <c r="I312" i="20"/>
  <c r="C338" i="20"/>
  <c r="C378" i="20"/>
  <c r="C170" i="20"/>
  <c r="C218" i="20"/>
  <c r="C232" i="20"/>
  <c r="E338" i="20"/>
  <c r="E404" i="20"/>
  <c r="C446" i="20"/>
  <c r="C174" i="20"/>
  <c r="BB208" i="22"/>
  <c r="BN208" i="22"/>
  <c r="H224" i="20"/>
  <c r="BD268" i="22"/>
  <c r="BP268" i="22"/>
  <c r="J284" i="20"/>
  <c r="C310" i="20"/>
  <c r="BB306" i="22"/>
  <c r="BN306" i="22"/>
  <c r="H322" i="20"/>
  <c r="C418" i="20"/>
  <c r="E430" i="20"/>
  <c r="D444" i="20"/>
  <c r="C462" i="20"/>
  <c r="C486" i="20"/>
  <c r="C500" i="20"/>
  <c r="BD33" i="22"/>
  <c r="BP33" i="22"/>
  <c r="J49" i="20"/>
  <c r="AZ33" i="22"/>
  <c r="BL33" i="22"/>
  <c r="F49" i="20"/>
  <c r="BC33" i="22"/>
  <c r="BO33" i="22"/>
  <c r="I49" i="20"/>
  <c r="BA33" i="22"/>
  <c r="BM33" i="22"/>
  <c r="G49" i="20"/>
  <c r="AY33" i="22"/>
  <c r="BK33" i="22"/>
  <c r="E49" i="20"/>
  <c r="BB33" i="22"/>
  <c r="BN33" i="22"/>
  <c r="H49" i="20"/>
  <c r="AW33" i="22"/>
  <c r="BI33" i="22"/>
  <c r="C49" i="20"/>
  <c r="BB43" i="22"/>
  <c r="BN43" i="22"/>
  <c r="H59" i="20"/>
  <c r="BE43" i="22"/>
  <c r="BQ43" i="22"/>
  <c r="K59" i="20"/>
  <c r="BD43" i="22"/>
  <c r="BP43" i="22"/>
  <c r="J59" i="20"/>
  <c r="BA43" i="22"/>
  <c r="BM43" i="22"/>
  <c r="G59" i="20"/>
  <c r="AZ43" i="22"/>
  <c r="BL43" i="22"/>
  <c r="F59" i="20"/>
  <c r="BC43" i="22"/>
  <c r="BO43" i="22"/>
  <c r="I59" i="20"/>
  <c r="AW43" i="22"/>
  <c r="BI43" i="22"/>
  <c r="C59" i="20"/>
  <c r="BD49" i="22"/>
  <c r="BP49" i="22"/>
  <c r="J65" i="20"/>
  <c r="BC49" i="22"/>
  <c r="BO49" i="22"/>
  <c r="I65" i="20"/>
  <c r="BB49" i="22"/>
  <c r="BN49" i="22"/>
  <c r="H65" i="20"/>
  <c r="AZ49" i="22"/>
  <c r="BL49" i="22"/>
  <c r="F65" i="20"/>
  <c r="AY49" i="22"/>
  <c r="BK49" i="22"/>
  <c r="E65" i="20"/>
  <c r="AX49" i="22"/>
  <c r="BJ49" i="22"/>
  <c r="D65" i="20"/>
  <c r="BE49" i="22"/>
  <c r="BQ49" i="22"/>
  <c r="K65" i="20"/>
  <c r="BA49" i="22"/>
  <c r="BM49" i="22"/>
  <c r="G65" i="20"/>
  <c r="BA59" i="22"/>
  <c r="BM59" i="22"/>
  <c r="G75" i="20"/>
  <c r="BB59" i="22"/>
  <c r="BN59" i="22"/>
  <c r="H75" i="20"/>
  <c r="AY59" i="22"/>
  <c r="BK59" i="22"/>
  <c r="E75" i="20"/>
  <c r="BD59" i="22"/>
  <c r="BP59" i="22"/>
  <c r="J75" i="20"/>
  <c r="AZ59" i="22"/>
  <c r="BL59" i="22"/>
  <c r="F75" i="20"/>
  <c r="BC65" i="22"/>
  <c r="BO65" i="22"/>
  <c r="I81" i="20"/>
  <c r="C81" i="20"/>
  <c r="BD65" i="22"/>
  <c r="BP65" i="22"/>
  <c r="J81" i="20"/>
  <c r="AZ65" i="22"/>
  <c r="BL65" i="22"/>
  <c r="F81" i="20"/>
  <c r="BB65" i="22"/>
  <c r="BN65" i="22"/>
  <c r="H81" i="20"/>
  <c r="AX65" i="22"/>
  <c r="BJ65" i="22"/>
  <c r="D81" i="20"/>
  <c r="BE65" i="22"/>
  <c r="BQ65" i="22"/>
  <c r="K81" i="20"/>
  <c r="AZ10" i="22"/>
  <c r="BL10" i="22"/>
  <c r="F26" i="20"/>
  <c r="AY10" i="22"/>
  <c r="BK10" i="22"/>
  <c r="E26" i="20"/>
  <c r="BB10" i="22"/>
  <c r="BN10" i="22"/>
  <c r="H26" i="20"/>
  <c r="BA10" i="22"/>
  <c r="BM10" i="22"/>
  <c r="G26" i="20"/>
  <c r="AX10" i="22"/>
  <c r="BJ10" i="22"/>
  <c r="D26" i="20"/>
  <c r="BD10" i="22"/>
  <c r="BP10" i="22"/>
  <c r="J26" i="20"/>
  <c r="AZ14" i="22"/>
  <c r="BL14" i="22"/>
  <c r="F30" i="20"/>
  <c r="AY14" i="22"/>
  <c r="BK14" i="22"/>
  <c r="E30" i="20"/>
  <c r="AX14" i="22"/>
  <c r="BJ14" i="22"/>
  <c r="D30" i="20"/>
  <c r="AY20" i="22"/>
  <c r="BK20" i="22"/>
  <c r="E36" i="20"/>
  <c r="AX20" i="22"/>
  <c r="BJ20" i="22"/>
  <c r="D36" i="20"/>
  <c r="AZ20" i="22"/>
  <c r="BL20" i="22"/>
  <c r="F36" i="20"/>
  <c r="BB32" i="22"/>
  <c r="BN32" i="22"/>
  <c r="H48" i="20"/>
  <c r="BD32" i="22"/>
  <c r="BP32" i="22"/>
  <c r="J48" i="20"/>
  <c r="BC32" i="22"/>
  <c r="BO32" i="22"/>
  <c r="I48" i="20"/>
  <c r="AY42" i="22"/>
  <c r="BK42" i="22"/>
  <c r="E58" i="20"/>
  <c r="AZ42" i="22"/>
  <c r="BL42" i="22"/>
  <c r="F58" i="20"/>
  <c r="BA42" i="22"/>
  <c r="BM42" i="22"/>
  <c r="G58" i="20"/>
  <c r="BC42" i="22"/>
  <c r="BO42" i="22"/>
  <c r="I58" i="20"/>
  <c r="BB42" i="22"/>
  <c r="BN42" i="22"/>
  <c r="H58" i="20"/>
  <c r="AY52" i="22"/>
  <c r="BK52" i="22"/>
  <c r="E68" i="20"/>
  <c r="AX52" i="22"/>
  <c r="BJ52" i="22"/>
  <c r="D68" i="20"/>
  <c r="AZ52" i="22"/>
  <c r="BL52" i="22"/>
  <c r="F68" i="20"/>
  <c r="BD58" i="22"/>
  <c r="BP58" i="22"/>
  <c r="BC58" i="22"/>
  <c r="BO58" i="22"/>
  <c r="AZ58" i="22"/>
  <c r="BL58" i="22"/>
  <c r="F74" i="20"/>
  <c r="AY58" i="22"/>
  <c r="BK58" i="22"/>
  <c r="E74" i="20"/>
  <c r="AX58" i="22"/>
  <c r="BJ58" i="22"/>
  <c r="AW58" i="22"/>
  <c r="BI58" i="22"/>
  <c r="C74" i="20"/>
  <c r="BA58" i="22"/>
  <c r="BM58" i="22"/>
  <c r="AY68" i="22"/>
  <c r="BK68" i="22"/>
  <c r="E84" i="20"/>
  <c r="AZ68" i="22"/>
  <c r="BL68" i="22"/>
  <c r="F84" i="20"/>
  <c r="AZ74" i="22"/>
  <c r="BL74" i="22"/>
  <c r="F90" i="20"/>
  <c r="BD74" i="22"/>
  <c r="BP74" i="22"/>
  <c r="J90" i="20"/>
  <c r="BC74" i="22"/>
  <c r="BO74" i="22"/>
  <c r="I90" i="20"/>
  <c r="BB74" i="22"/>
  <c r="BN74" i="22"/>
  <c r="H90" i="20"/>
  <c r="AY74" i="22"/>
  <c r="BK74" i="22"/>
  <c r="E90" i="20"/>
  <c r="AX74" i="22"/>
  <c r="BJ74" i="22"/>
  <c r="D90" i="20"/>
  <c r="C90" i="20"/>
  <c r="AZ81" i="22"/>
  <c r="BL81" i="22"/>
  <c r="F97" i="20"/>
  <c r="AY81" i="22"/>
  <c r="BK81" i="22"/>
  <c r="E97" i="20"/>
  <c r="AX81" i="22"/>
  <c r="BJ81" i="22"/>
  <c r="D97" i="20"/>
  <c r="BA81" i="22"/>
  <c r="BM81" i="22"/>
  <c r="G97" i="20"/>
  <c r="C97" i="20"/>
  <c r="AY91" i="22"/>
  <c r="BK91" i="22"/>
  <c r="E107" i="20"/>
  <c r="C107" i="20"/>
  <c r="AY97" i="22"/>
  <c r="BK97" i="22"/>
  <c r="E113" i="20"/>
  <c r="C113" i="20"/>
  <c r="BA107" i="22"/>
  <c r="BM107" i="22"/>
  <c r="G123" i="20"/>
  <c r="AX107" i="22"/>
  <c r="BJ107" i="22"/>
  <c r="D123" i="20"/>
  <c r="AZ107" i="22"/>
  <c r="BL107" i="22"/>
  <c r="F123" i="20"/>
  <c r="AY107" i="22"/>
  <c r="BK107" i="22"/>
  <c r="E123" i="20"/>
  <c r="C123" i="20"/>
  <c r="BK109" i="22"/>
  <c r="E125" i="20"/>
  <c r="BB109" i="22"/>
  <c r="BN109" i="22"/>
  <c r="H125" i="20"/>
  <c r="BC109" i="22"/>
  <c r="BO109" i="22"/>
  <c r="I125" i="20"/>
  <c r="BA109" i="22"/>
  <c r="BM109" i="22"/>
  <c r="G125" i="20"/>
  <c r="AZ109" i="22"/>
  <c r="BL109" i="22"/>
  <c r="F125" i="20"/>
  <c r="C125" i="20"/>
  <c r="D125" i="20"/>
  <c r="BE119" i="22"/>
  <c r="BQ119" i="22"/>
  <c r="K135" i="20"/>
  <c r="BD119" i="22"/>
  <c r="BP119" i="22"/>
  <c r="J135" i="20"/>
  <c r="AZ119" i="22"/>
  <c r="BL119" i="22"/>
  <c r="F135" i="20"/>
  <c r="C135" i="20"/>
  <c r="BC119" i="22"/>
  <c r="BO119" i="22"/>
  <c r="I135" i="20"/>
  <c r="BA119" i="22"/>
  <c r="BM119" i="22"/>
  <c r="G135" i="20"/>
  <c r="AY119" i="22"/>
  <c r="BK119" i="22"/>
  <c r="E135" i="20"/>
  <c r="BB119" i="22"/>
  <c r="BN119" i="22"/>
  <c r="H135" i="20"/>
  <c r="D135" i="20"/>
  <c r="BB125" i="22"/>
  <c r="BN125" i="22"/>
  <c r="H141" i="20"/>
  <c r="BC125" i="22"/>
  <c r="BO125" i="22"/>
  <c r="I141" i="20"/>
  <c r="BE125" i="22"/>
  <c r="BQ125" i="22"/>
  <c r="K141" i="20"/>
  <c r="AY125" i="22"/>
  <c r="BK125" i="22"/>
  <c r="E141" i="20"/>
  <c r="AZ125" i="22"/>
  <c r="BL125" i="22"/>
  <c r="F141" i="20"/>
  <c r="D141" i="20"/>
  <c r="BA125" i="22"/>
  <c r="BM125" i="22"/>
  <c r="G141" i="20"/>
  <c r="AZ135" i="22"/>
  <c r="BL135" i="22"/>
  <c r="F151" i="20"/>
  <c r="BA135" i="22"/>
  <c r="BM135" i="22"/>
  <c r="G151" i="20"/>
  <c r="BE135" i="22"/>
  <c r="BQ135" i="22"/>
  <c r="K151" i="20"/>
  <c r="BC135" i="22"/>
  <c r="BO135" i="22"/>
  <c r="I151" i="20"/>
  <c r="BB135" i="22"/>
  <c r="BN135" i="22"/>
  <c r="H151" i="20"/>
  <c r="BD135" i="22"/>
  <c r="BP135" i="22"/>
  <c r="J151" i="20"/>
  <c r="AY135" i="22"/>
  <c r="BK135" i="22"/>
  <c r="E151" i="20"/>
  <c r="C151" i="20"/>
  <c r="D151" i="20"/>
  <c r="BC173" i="22"/>
  <c r="BO173" i="22"/>
  <c r="I189" i="20"/>
  <c r="E189" i="20"/>
  <c r="BB173" i="22"/>
  <c r="BN173" i="22"/>
  <c r="H189" i="20"/>
  <c r="BE173" i="22"/>
  <c r="BQ173" i="22"/>
  <c r="K189" i="20"/>
  <c r="C189" i="20"/>
  <c r="BD173" i="22"/>
  <c r="BP173" i="22"/>
  <c r="J189" i="20"/>
  <c r="D189" i="20"/>
  <c r="AZ173" i="22"/>
  <c r="BL173" i="22"/>
  <c r="F189" i="20"/>
  <c r="BE183" i="22"/>
  <c r="BQ183" i="22"/>
  <c r="K199" i="20"/>
  <c r="BD183" i="22"/>
  <c r="BP183" i="22"/>
  <c r="J199" i="20"/>
  <c r="AZ183" i="22"/>
  <c r="BL183" i="22"/>
  <c r="F199" i="20"/>
  <c r="BA183" i="22"/>
  <c r="BM183" i="22"/>
  <c r="G199" i="20"/>
  <c r="C199" i="20"/>
  <c r="BC183" i="22"/>
  <c r="BO183" i="22"/>
  <c r="I199" i="20"/>
  <c r="E199" i="20"/>
  <c r="BB183" i="22"/>
  <c r="BN183" i="22"/>
  <c r="H199" i="20"/>
  <c r="BC189" i="22"/>
  <c r="BO189" i="22"/>
  <c r="I205" i="20"/>
  <c r="BB189" i="22"/>
  <c r="BN189" i="22"/>
  <c r="H205" i="20"/>
  <c r="BE189" i="22"/>
  <c r="BQ189" i="22"/>
  <c r="K205" i="20"/>
  <c r="AZ189" i="22"/>
  <c r="BL189" i="22"/>
  <c r="F205" i="20"/>
  <c r="D205" i="20"/>
  <c r="BA189" i="22"/>
  <c r="BM189" i="22"/>
  <c r="G205" i="20"/>
  <c r="AZ199" i="22"/>
  <c r="BL199" i="22"/>
  <c r="F215" i="20"/>
  <c r="BA199" i="22"/>
  <c r="BM199" i="22"/>
  <c r="G215" i="20"/>
  <c r="BE199" i="22"/>
  <c r="BQ199" i="22"/>
  <c r="K215" i="20"/>
  <c r="BC199" i="22"/>
  <c r="BO199" i="22"/>
  <c r="I215" i="20"/>
  <c r="BB199" i="22"/>
  <c r="BN199" i="22"/>
  <c r="H215" i="20"/>
  <c r="E215" i="20"/>
  <c r="C215" i="20"/>
  <c r="E225" i="20"/>
  <c r="F225" i="20"/>
  <c r="BA209" i="22"/>
  <c r="BM209" i="22"/>
  <c r="G225" i="20"/>
  <c r="BD215" i="22"/>
  <c r="BP215" i="22"/>
  <c r="J231" i="20"/>
  <c r="BE215" i="22"/>
  <c r="BQ215" i="22"/>
  <c r="K231" i="20"/>
  <c r="F231" i="20"/>
  <c r="E231" i="20"/>
  <c r="BA215" i="22"/>
  <c r="BM215" i="22"/>
  <c r="G231" i="20"/>
  <c r="BB215" i="22"/>
  <c r="BN215" i="22"/>
  <c r="H231" i="20"/>
  <c r="BC221" i="22"/>
  <c r="BO221" i="22"/>
  <c r="I237" i="20"/>
  <c r="BB221" i="22"/>
  <c r="BN221" i="22"/>
  <c r="H237" i="20"/>
  <c r="E237" i="20"/>
  <c r="F237" i="20"/>
  <c r="BE221" i="22"/>
  <c r="BQ221" i="22"/>
  <c r="K237" i="20"/>
  <c r="BA221" i="22"/>
  <c r="BM221" i="22"/>
  <c r="G237" i="20"/>
  <c r="D237" i="20"/>
  <c r="C237" i="20"/>
  <c r="F247" i="20"/>
  <c r="BC231" i="22"/>
  <c r="BO231" i="22"/>
  <c r="I247" i="20"/>
  <c r="BE231" i="22"/>
  <c r="BQ231" i="22"/>
  <c r="K247" i="20"/>
  <c r="BA231" i="22"/>
  <c r="BM231" i="22"/>
  <c r="G247" i="20"/>
  <c r="BB231" i="22"/>
  <c r="BN231" i="22"/>
  <c r="H247" i="20"/>
  <c r="BD231" i="22"/>
  <c r="BP231" i="22"/>
  <c r="J247" i="20"/>
  <c r="E247" i="20"/>
  <c r="AX79" i="22"/>
  <c r="BJ79" i="22"/>
  <c r="D95" i="20"/>
  <c r="C95" i="20"/>
  <c r="AZ86" i="22"/>
  <c r="BL86" i="22"/>
  <c r="F102" i="20"/>
  <c r="AY86" i="22"/>
  <c r="BK86" i="22"/>
  <c r="E102" i="20"/>
  <c r="AX86" i="22"/>
  <c r="BJ86" i="22"/>
  <c r="D102" i="20"/>
  <c r="AZ92" i="22"/>
  <c r="BL92" i="22"/>
  <c r="F108" i="20"/>
  <c r="AY92" i="22"/>
  <c r="BK92" i="22"/>
  <c r="E108" i="20"/>
  <c r="AX92" i="22"/>
  <c r="BJ92" i="22"/>
  <c r="D108" i="20"/>
  <c r="AZ102" i="22"/>
  <c r="BL102" i="22"/>
  <c r="F118" i="20"/>
  <c r="AY102" i="22"/>
  <c r="BK102" i="22"/>
  <c r="E118" i="20"/>
  <c r="AX102" i="22"/>
  <c r="BJ102" i="22"/>
  <c r="D118" i="20"/>
  <c r="AZ108" i="22"/>
  <c r="BL108" i="22"/>
  <c r="F124" i="20"/>
  <c r="AX108" i="22"/>
  <c r="BJ108" i="22"/>
  <c r="D124" i="20"/>
  <c r="AY120" i="22"/>
  <c r="BK120" i="22"/>
  <c r="E136" i="20"/>
  <c r="BC120" i="22"/>
  <c r="BO120" i="22"/>
  <c r="I136" i="20"/>
  <c r="BD120" i="22"/>
  <c r="BP120" i="22"/>
  <c r="J136" i="20"/>
  <c r="AZ120" i="22"/>
  <c r="BL120" i="22"/>
  <c r="F136" i="20"/>
  <c r="D136" i="20"/>
  <c r="BA120" i="22"/>
  <c r="BM120" i="22"/>
  <c r="G136" i="20"/>
  <c r="BA130" i="22"/>
  <c r="BM130" i="22"/>
  <c r="G146" i="20"/>
  <c r="BC130" i="22"/>
  <c r="BO130" i="22"/>
  <c r="I146" i="20"/>
  <c r="BB130" i="22"/>
  <c r="BN130" i="22"/>
  <c r="H146" i="20"/>
  <c r="D146" i="20"/>
  <c r="AY130" i="22"/>
  <c r="BK130" i="22"/>
  <c r="E146" i="20"/>
  <c r="BD130" i="22"/>
  <c r="BP130" i="22"/>
  <c r="J146" i="20"/>
  <c r="AZ130" i="22"/>
  <c r="BL130" i="22"/>
  <c r="F146" i="20"/>
  <c r="C146" i="20"/>
  <c r="BD136" i="22"/>
  <c r="BP136" i="22"/>
  <c r="J152" i="20"/>
  <c r="AZ136" i="22"/>
  <c r="BL136" i="22"/>
  <c r="F152" i="20"/>
  <c r="AY136" i="22"/>
  <c r="BK136" i="22"/>
  <c r="E152" i="20"/>
  <c r="BC136" i="22"/>
  <c r="BO136" i="22"/>
  <c r="I152" i="20"/>
  <c r="C152" i="20"/>
  <c r="BB136" i="22"/>
  <c r="BN136" i="22"/>
  <c r="H152" i="20"/>
  <c r="BB146" i="22"/>
  <c r="BN146" i="22"/>
  <c r="H162" i="20"/>
  <c r="D162" i="20"/>
  <c r="BA146" i="22"/>
  <c r="BM146" i="22"/>
  <c r="G162" i="20"/>
  <c r="BD146" i="22"/>
  <c r="BP146" i="22"/>
  <c r="J162" i="20"/>
  <c r="BC146" i="22"/>
  <c r="BO146" i="22"/>
  <c r="I162" i="20"/>
  <c r="AZ146" i="22"/>
  <c r="BL146" i="22"/>
  <c r="F162" i="20"/>
  <c r="AY146" i="22"/>
  <c r="BK146" i="22"/>
  <c r="E162" i="20"/>
  <c r="BC152" i="22"/>
  <c r="BO152" i="22"/>
  <c r="I168" i="20"/>
  <c r="BD152" i="22"/>
  <c r="BP152" i="22"/>
  <c r="J168" i="20"/>
  <c r="BB152" i="22"/>
  <c r="BN152" i="22"/>
  <c r="H168" i="20"/>
  <c r="BC162" i="22"/>
  <c r="BO162" i="22"/>
  <c r="I178" i="20"/>
  <c r="BB162" i="22"/>
  <c r="BN162" i="22"/>
  <c r="H178" i="20"/>
  <c r="AZ172" i="22"/>
  <c r="BL172" i="22"/>
  <c r="F188" i="20"/>
  <c r="E188" i="20"/>
  <c r="D188" i="20"/>
  <c r="E198" i="20"/>
  <c r="C198" i="20"/>
  <c r="AZ182" i="22"/>
  <c r="BL182" i="22"/>
  <c r="F198" i="20"/>
  <c r="D198" i="20"/>
  <c r="BA194" i="22"/>
  <c r="BM194" i="22"/>
  <c r="G210" i="20"/>
  <c r="BC194" i="22"/>
  <c r="BO194" i="22"/>
  <c r="I210" i="20"/>
  <c r="BB194" i="22"/>
  <c r="BN194" i="22"/>
  <c r="H210" i="20"/>
  <c r="E210" i="20"/>
  <c r="BD194" i="22"/>
  <c r="BP194" i="22"/>
  <c r="J210" i="20"/>
  <c r="AZ194" i="22"/>
  <c r="BL194" i="22"/>
  <c r="F210" i="20"/>
  <c r="F259" i="20"/>
  <c r="E259" i="20"/>
  <c r="BA243" i="22"/>
  <c r="BM243" i="22"/>
  <c r="G259" i="20"/>
  <c r="C259" i="20"/>
  <c r="D265" i="20"/>
  <c r="BA249" i="22"/>
  <c r="BM249" i="22"/>
  <c r="G265" i="20"/>
  <c r="E265" i="20"/>
  <c r="C265" i="20"/>
  <c r="D291" i="20"/>
  <c r="E291" i="20"/>
  <c r="G291" i="20"/>
  <c r="C291" i="20"/>
  <c r="F291" i="20"/>
  <c r="F297" i="20"/>
  <c r="D297" i="20"/>
  <c r="G297" i="20"/>
  <c r="E297" i="20"/>
  <c r="C297" i="20"/>
  <c r="F307" i="20"/>
  <c r="D307" i="20"/>
  <c r="E307" i="20"/>
  <c r="G307" i="20"/>
  <c r="D313" i="20"/>
  <c r="F313" i="20"/>
  <c r="G313" i="20"/>
  <c r="E313" i="20"/>
  <c r="F323" i="20"/>
  <c r="D323" i="20"/>
  <c r="E323" i="20"/>
  <c r="G323" i="20"/>
  <c r="C323" i="20"/>
  <c r="E387" i="20"/>
  <c r="D387" i="20"/>
  <c r="G387" i="20"/>
  <c r="F387" i="20"/>
  <c r="E238" i="20"/>
  <c r="F238" i="20"/>
  <c r="D238" i="20"/>
  <c r="E244" i="20"/>
  <c r="F244" i="20"/>
  <c r="E254" i="20"/>
  <c r="F254" i="20"/>
  <c r="D254" i="20"/>
  <c r="C263" i="20"/>
  <c r="D263" i="20"/>
  <c r="BD256" i="22"/>
  <c r="BP256" i="22"/>
  <c r="J272" i="20"/>
  <c r="BB256" i="22"/>
  <c r="BN256" i="22"/>
  <c r="H272" i="20"/>
  <c r="BC256" i="22"/>
  <c r="BO256" i="22"/>
  <c r="I272" i="20"/>
  <c r="BB266" i="22"/>
  <c r="BN266" i="22"/>
  <c r="H282" i="20"/>
  <c r="BD266" i="22"/>
  <c r="BP266" i="22"/>
  <c r="J282" i="20"/>
  <c r="BC266" i="22"/>
  <c r="BO266" i="22"/>
  <c r="I282" i="20"/>
  <c r="E292" i="20"/>
  <c r="F292" i="20"/>
  <c r="F302" i="20"/>
  <c r="C302" i="20"/>
  <c r="E302" i="20"/>
  <c r="E308" i="20"/>
  <c r="F308" i="20"/>
  <c r="E318" i="20"/>
  <c r="F318" i="20"/>
  <c r="E324" i="20"/>
  <c r="F324" i="20"/>
  <c r="F334" i="20"/>
  <c r="E334" i="20"/>
  <c r="E340" i="20"/>
  <c r="D340" i="20"/>
  <c r="F350" i="20"/>
  <c r="E350" i="20"/>
  <c r="C350" i="20"/>
  <c r="BE377" i="22"/>
  <c r="BQ377" i="22"/>
  <c r="K393" i="20"/>
  <c r="H393" i="20"/>
  <c r="G393" i="20"/>
  <c r="BD377" i="22"/>
  <c r="BP377" i="22"/>
  <c r="J393" i="20"/>
  <c r="I393" i="20"/>
  <c r="D393" i="20"/>
  <c r="C393" i="20"/>
  <c r="E393" i="20"/>
  <c r="F403" i="20"/>
  <c r="I403" i="20"/>
  <c r="D403" i="20"/>
  <c r="BE387" i="22"/>
  <c r="BQ387" i="22"/>
  <c r="K403" i="20"/>
  <c r="E403" i="20"/>
  <c r="G403" i="20"/>
  <c r="H403" i="20"/>
  <c r="C403" i="20"/>
  <c r="E409" i="20"/>
  <c r="H409" i="20"/>
  <c r="D409" i="20"/>
  <c r="BE393" i="22"/>
  <c r="BQ393" i="22"/>
  <c r="K409" i="20"/>
  <c r="BD393" i="22"/>
  <c r="BP393" i="22"/>
  <c r="J409" i="20"/>
  <c r="F409" i="20"/>
  <c r="C409" i="20"/>
  <c r="I409" i="20"/>
  <c r="D419" i="20"/>
  <c r="H419" i="20"/>
  <c r="I419" i="20"/>
  <c r="BE403" i="22"/>
  <c r="BQ403" i="22"/>
  <c r="K419" i="20"/>
  <c r="E419" i="20"/>
  <c r="G419" i="20"/>
  <c r="F419" i="20"/>
  <c r="BD403" i="22"/>
  <c r="BP403" i="22"/>
  <c r="J419" i="20"/>
  <c r="C419" i="20"/>
  <c r="F425" i="20"/>
  <c r="G425" i="20"/>
  <c r="I425" i="20"/>
  <c r="E425" i="20"/>
  <c r="H425" i="20"/>
  <c r="J425" i="20"/>
  <c r="BE409" i="22"/>
  <c r="BQ409" i="22"/>
  <c r="K425" i="20"/>
  <c r="D425" i="20"/>
  <c r="C425" i="20"/>
  <c r="D467" i="20"/>
  <c r="F467" i="20"/>
  <c r="G467" i="20"/>
  <c r="J467" i="20"/>
  <c r="I467" i="20"/>
  <c r="BE451" i="22"/>
  <c r="BQ451" i="22"/>
  <c r="K467" i="20"/>
  <c r="E467" i="20"/>
  <c r="C467" i="20"/>
  <c r="H467" i="20"/>
  <c r="D519" i="20"/>
  <c r="F519" i="20"/>
  <c r="G519" i="20"/>
  <c r="E519" i="20"/>
  <c r="D475" i="20"/>
  <c r="C475" i="20"/>
  <c r="D499" i="20"/>
  <c r="C499" i="20"/>
  <c r="AZ56" i="22"/>
  <c r="BL56" i="22"/>
  <c r="F72" i="20"/>
  <c r="AX56" i="22"/>
  <c r="BJ56" i="22"/>
  <c r="D72" i="20"/>
  <c r="BA56" i="22"/>
  <c r="BM56" i="22"/>
  <c r="G72" i="20"/>
  <c r="BE76" i="22"/>
  <c r="BQ76" i="22"/>
  <c r="K92" i="20"/>
  <c r="BD76" i="22"/>
  <c r="BP76" i="22"/>
  <c r="J92" i="20"/>
  <c r="BC76" i="22"/>
  <c r="BO76" i="22"/>
  <c r="I92" i="20"/>
  <c r="BB96" i="22"/>
  <c r="BN96" i="22"/>
  <c r="H112" i="20"/>
  <c r="BD96" i="22"/>
  <c r="BP96" i="22"/>
  <c r="J112" i="20"/>
  <c r="BC96" i="22"/>
  <c r="BO96" i="22"/>
  <c r="I112" i="20"/>
  <c r="BE96" i="22"/>
  <c r="BQ96" i="22"/>
  <c r="K112" i="20"/>
  <c r="AZ96" i="22"/>
  <c r="BL96" i="22"/>
  <c r="F112" i="20"/>
  <c r="AY96" i="22"/>
  <c r="BK96" i="22"/>
  <c r="E112" i="20"/>
  <c r="BA96" i="22"/>
  <c r="BM96" i="22"/>
  <c r="G112" i="20"/>
  <c r="AX96" i="22"/>
  <c r="BJ96" i="22"/>
  <c r="D112" i="20"/>
  <c r="BD350" i="22"/>
  <c r="BP350" i="22"/>
  <c r="J366" i="20"/>
  <c r="E366" i="20"/>
  <c r="F366" i="20"/>
  <c r="H366" i="20"/>
  <c r="BC350" i="22"/>
  <c r="BO350" i="22"/>
  <c r="I366" i="20"/>
  <c r="G366" i="20"/>
  <c r="D366" i="20"/>
  <c r="F370" i="20"/>
  <c r="C370" i="20"/>
  <c r="D370" i="20"/>
  <c r="E370" i="20"/>
  <c r="D379" i="20"/>
  <c r="C379" i="20"/>
  <c r="F392" i="20"/>
  <c r="E392" i="20"/>
  <c r="D392" i="20"/>
  <c r="F402" i="20"/>
  <c r="C402" i="20"/>
  <c r="D402" i="20"/>
  <c r="C447" i="20"/>
  <c r="D447" i="20"/>
  <c r="BE46" i="22"/>
  <c r="BQ46" i="22"/>
  <c r="K62" i="20"/>
  <c r="BA46" i="22"/>
  <c r="BM46" i="22"/>
  <c r="G62" i="20"/>
  <c r="BD46" i="22"/>
  <c r="BP46" i="22"/>
  <c r="J62" i="20"/>
  <c r="BC46" i="22"/>
  <c r="BO46" i="22"/>
  <c r="I62" i="20"/>
  <c r="BE86" i="22"/>
  <c r="BQ86" i="22"/>
  <c r="K102" i="20"/>
  <c r="BD86" i="22"/>
  <c r="BP86" i="22"/>
  <c r="J102" i="20"/>
  <c r="BB86" i="22"/>
  <c r="BN86" i="22"/>
  <c r="H102" i="20"/>
  <c r="BC86" i="22"/>
  <c r="BO86" i="22"/>
  <c r="I102" i="20"/>
  <c r="BD94" i="22"/>
  <c r="BP94" i="22"/>
  <c r="J110" i="20"/>
  <c r="BE94" i="22"/>
  <c r="BQ94" i="22"/>
  <c r="K110" i="20"/>
  <c r="BA94" i="22"/>
  <c r="BM94" i="22"/>
  <c r="G110" i="20"/>
  <c r="BC94" i="22"/>
  <c r="BO94" i="22"/>
  <c r="I110" i="20"/>
  <c r="BB94" i="22"/>
  <c r="BN94" i="22"/>
  <c r="H110" i="20"/>
  <c r="AX94" i="22"/>
  <c r="BJ94" i="22"/>
  <c r="D110" i="20"/>
  <c r="AZ94" i="22"/>
  <c r="BL94" i="22"/>
  <c r="F110" i="20"/>
  <c r="AY94" i="22"/>
  <c r="BK94" i="22"/>
  <c r="E110" i="20"/>
  <c r="C110" i="20"/>
  <c r="BE116" i="22"/>
  <c r="BQ116" i="22"/>
  <c r="K132" i="20"/>
  <c r="AY116" i="22"/>
  <c r="BK116" i="22"/>
  <c r="E132" i="20"/>
  <c r="BB116" i="22"/>
  <c r="BN116" i="22"/>
  <c r="H132" i="20"/>
  <c r="BC116" i="22"/>
  <c r="BO116" i="22"/>
  <c r="I132" i="20"/>
  <c r="BD116" i="22"/>
  <c r="BP116" i="22"/>
  <c r="J132" i="20"/>
  <c r="AW16" i="22"/>
  <c r="BI16" i="22"/>
  <c r="C32" i="20"/>
  <c r="BA16" i="22"/>
  <c r="BM16" i="22"/>
  <c r="G32" i="20"/>
  <c r="AY16" i="22"/>
  <c r="BK16" i="22"/>
  <c r="E32" i="20"/>
  <c r="AX16" i="22"/>
  <c r="BJ16" i="22"/>
  <c r="D32" i="20"/>
  <c r="BB34" i="22"/>
  <c r="BN34" i="22"/>
  <c r="H50" i="20"/>
  <c r="BD34" i="22"/>
  <c r="BP34" i="22"/>
  <c r="J50" i="20"/>
  <c r="AW34" i="22"/>
  <c r="BI34" i="22"/>
  <c r="C50" i="20"/>
  <c r="AZ34" i="22"/>
  <c r="BL34" i="22"/>
  <c r="F50" i="20"/>
  <c r="BC34" i="22"/>
  <c r="BO34" i="22"/>
  <c r="I50" i="20"/>
  <c r="BE34" i="22"/>
  <c r="BQ34" i="22"/>
  <c r="K50" i="20"/>
  <c r="AY34" i="22"/>
  <c r="BK34" i="22"/>
  <c r="E50" i="20"/>
  <c r="AX34" i="22"/>
  <c r="BJ34" i="22"/>
  <c r="D50" i="20"/>
  <c r="AX76" i="22"/>
  <c r="BJ76" i="22"/>
  <c r="D92" i="20"/>
  <c r="BA76" i="22"/>
  <c r="BM76" i="22"/>
  <c r="G92" i="20"/>
  <c r="C118" i="20"/>
  <c r="AY152" i="22"/>
  <c r="BK152" i="22"/>
  <c r="E168" i="20"/>
  <c r="AZ152" i="22"/>
  <c r="BL152" i="22"/>
  <c r="F168" i="20"/>
  <c r="BA152" i="22"/>
  <c r="BM152" i="22"/>
  <c r="G168" i="20"/>
  <c r="D168" i="20"/>
  <c r="C168" i="20"/>
  <c r="E262" i="20"/>
  <c r="C262" i="20"/>
  <c r="F262" i="20"/>
  <c r="D262" i="20"/>
  <c r="F322" i="20"/>
  <c r="G322" i="20"/>
  <c r="D322" i="20"/>
  <c r="C322" i="20"/>
  <c r="E322" i="20"/>
  <c r="H354" i="20"/>
  <c r="BE338" i="22"/>
  <c r="BQ338" i="22"/>
  <c r="K354" i="20"/>
  <c r="BD338" i="22"/>
  <c r="BP338" i="22"/>
  <c r="J354" i="20"/>
  <c r="BC338" i="22"/>
  <c r="BO338" i="22"/>
  <c r="I354" i="20"/>
  <c r="E362" i="20"/>
  <c r="D362" i="20"/>
  <c r="BE346" i="22"/>
  <c r="BQ346" i="22"/>
  <c r="K362" i="20"/>
  <c r="BD346" i="22"/>
  <c r="BP346" i="22"/>
  <c r="J362" i="20"/>
  <c r="G362" i="20"/>
  <c r="F362" i="20"/>
  <c r="BC346" i="22"/>
  <c r="BO346" i="22"/>
  <c r="I362" i="20"/>
  <c r="C362" i="20"/>
  <c r="H362" i="20"/>
  <c r="BE374" i="22"/>
  <c r="BQ374" i="22"/>
  <c r="K390" i="20"/>
  <c r="G390" i="20"/>
  <c r="F390" i="20"/>
  <c r="I390" i="20"/>
  <c r="E390" i="20"/>
  <c r="H390" i="20"/>
  <c r="BD374" i="22"/>
  <c r="BP374" i="22"/>
  <c r="J390" i="20"/>
  <c r="C390" i="20"/>
  <c r="BD408" i="22"/>
  <c r="BP408" i="22"/>
  <c r="J424" i="20"/>
  <c r="H424" i="20"/>
  <c r="I424" i="20"/>
  <c r="D424" i="20"/>
  <c r="E424" i="20"/>
  <c r="BE408" i="22"/>
  <c r="BQ408" i="22"/>
  <c r="K424" i="20"/>
  <c r="C424" i="20"/>
  <c r="K492" i="20"/>
  <c r="E492" i="20"/>
  <c r="G492" i="20"/>
  <c r="J492" i="20"/>
  <c r="H492" i="20"/>
  <c r="F492" i="20"/>
  <c r="D492" i="20"/>
  <c r="I492" i="20"/>
  <c r="C492" i="20"/>
  <c r="D510" i="20"/>
  <c r="E510" i="20"/>
  <c r="G510" i="20"/>
  <c r="F510" i="20"/>
  <c r="C510" i="20"/>
  <c r="D160" i="20"/>
  <c r="BC144" i="22"/>
  <c r="BO144" i="22"/>
  <c r="I160" i="20"/>
  <c r="BE144" i="22"/>
  <c r="BQ144" i="22"/>
  <c r="K160" i="20"/>
  <c r="BA144" i="22"/>
  <c r="BM144" i="22"/>
  <c r="G160" i="20"/>
  <c r="BB144" i="22"/>
  <c r="BN144" i="22"/>
  <c r="H160" i="20"/>
  <c r="BD144" i="22"/>
  <c r="BP144" i="22"/>
  <c r="J160" i="20"/>
  <c r="AZ144" i="22"/>
  <c r="BL144" i="22"/>
  <c r="F160" i="20"/>
  <c r="AY144" i="22"/>
  <c r="BK144" i="22"/>
  <c r="E160" i="20"/>
  <c r="BA162" i="22"/>
  <c r="BM162" i="22"/>
  <c r="G178" i="20"/>
  <c r="AZ162" i="22"/>
  <c r="BL162" i="22"/>
  <c r="F178" i="20"/>
  <c r="E178" i="20"/>
  <c r="C178" i="20"/>
  <c r="BE190" i="22"/>
  <c r="BQ190" i="22"/>
  <c r="K206" i="20"/>
  <c r="BC190" i="22"/>
  <c r="BO190" i="22"/>
  <c r="I206" i="20"/>
  <c r="BA190" i="22"/>
  <c r="BM190" i="22"/>
  <c r="G206" i="20"/>
  <c r="BD190" i="22"/>
  <c r="BP190" i="22"/>
  <c r="J206" i="20"/>
  <c r="E206" i="20"/>
  <c r="D206" i="20"/>
  <c r="AZ190" i="22"/>
  <c r="BL190" i="22"/>
  <c r="F206" i="20"/>
  <c r="BB190" i="22"/>
  <c r="BN190" i="22"/>
  <c r="H206" i="20"/>
  <c r="D224" i="20"/>
  <c r="BA208" i="22"/>
  <c r="BM208" i="22"/>
  <c r="G224" i="20"/>
  <c r="AZ208" i="22"/>
  <c r="BL208" i="22"/>
  <c r="F224" i="20"/>
  <c r="E224" i="20"/>
  <c r="D242" i="20"/>
  <c r="BA226" i="22"/>
  <c r="BM226" i="22"/>
  <c r="G242" i="20"/>
  <c r="BC226" i="22"/>
  <c r="BO226" i="22"/>
  <c r="I242" i="20"/>
  <c r="BE226" i="22"/>
  <c r="BQ226" i="22"/>
  <c r="K242" i="20"/>
  <c r="E242" i="20"/>
  <c r="C242" i="20"/>
  <c r="BD226" i="22"/>
  <c r="BP226" i="22"/>
  <c r="J242" i="20"/>
  <c r="F242" i="20"/>
  <c r="BA252" i="22"/>
  <c r="BM252" i="22"/>
  <c r="G268" i="20"/>
  <c r="F268" i="20"/>
  <c r="E296" i="20"/>
  <c r="D296" i="20"/>
  <c r="F296" i="20"/>
  <c r="G296" i="20"/>
  <c r="E316" i="20"/>
  <c r="F316" i="20"/>
  <c r="D316" i="20"/>
  <c r="C166" i="20"/>
  <c r="C194" i="20"/>
  <c r="C254" i="20"/>
  <c r="C318" i="20"/>
  <c r="BD344" i="22"/>
  <c r="BP344" i="22"/>
  <c r="J360" i="20"/>
  <c r="BE344" i="22"/>
  <c r="BQ344" i="22"/>
  <c r="K360" i="20"/>
  <c r="G360" i="20"/>
  <c r="H360" i="20"/>
  <c r="BC344" i="22"/>
  <c r="BO344" i="22"/>
  <c r="I360" i="20"/>
  <c r="C188" i="20"/>
  <c r="C296" i="20"/>
  <c r="C313" i="20"/>
  <c r="D183" i="20"/>
  <c r="D215" i="20"/>
  <c r="D302" i="20"/>
  <c r="D439" i="20"/>
  <c r="D308" i="20"/>
  <c r="AW14" i="22"/>
  <c r="BI14" i="22"/>
  <c r="C30" i="20"/>
  <c r="AX43" i="22"/>
  <c r="BJ43" i="22"/>
  <c r="D59" i="20"/>
  <c r="C183" i="20"/>
  <c r="C334" i="20"/>
  <c r="AX59" i="22"/>
  <c r="BJ59" i="22"/>
  <c r="D75" i="20"/>
  <c r="BE33" i="22"/>
  <c r="BQ33" i="22"/>
  <c r="K49" i="20"/>
  <c r="BC10" i="22"/>
  <c r="BO10" i="22"/>
  <c r="I26" i="20"/>
  <c r="BB46" i="22"/>
  <c r="BN46" i="22"/>
  <c r="H62" i="20"/>
  <c r="BD109" i="22"/>
  <c r="BP109" i="22"/>
  <c r="J125" i="20"/>
  <c r="BB58" i="22"/>
  <c r="BN58" i="22"/>
  <c r="AY76" i="22"/>
  <c r="BK76" i="22"/>
  <c r="E92" i="20"/>
  <c r="AY108" i="22"/>
  <c r="BK108" i="22"/>
  <c r="E124" i="20"/>
  <c r="C141" i="20"/>
  <c r="BA173" i="22"/>
  <c r="BM173" i="22"/>
  <c r="G189" i="20"/>
  <c r="BA246" i="22"/>
  <c r="BM246" i="22"/>
  <c r="G262" i="20"/>
  <c r="F265" i="20"/>
  <c r="E268" i="20"/>
  <c r="AY65" i="22"/>
  <c r="BK65" i="22"/>
  <c r="E81" i="20"/>
  <c r="F388" i="20"/>
  <c r="F393" i="20"/>
  <c r="D178" i="20"/>
  <c r="BB226" i="22"/>
  <c r="BN226" i="22"/>
  <c r="H242" i="20"/>
  <c r="BD387" i="22"/>
  <c r="BP387" i="22"/>
  <c r="J403" i="20"/>
  <c r="BA15" i="22"/>
  <c r="BM15" i="22"/>
  <c r="G31" i="20"/>
  <c r="AZ15" i="22"/>
  <c r="BL15" i="22"/>
  <c r="F31" i="20"/>
  <c r="AX15" i="22"/>
  <c r="BJ15" i="22"/>
  <c r="D31" i="20"/>
  <c r="AW15" i="22"/>
  <c r="BI15" i="22"/>
  <c r="C31" i="20"/>
  <c r="AY15" i="22"/>
  <c r="BK15" i="22"/>
  <c r="E31" i="20"/>
  <c r="AZ21" i="22"/>
  <c r="BL21" i="22"/>
  <c r="F37" i="20"/>
  <c r="AY21" i="22"/>
  <c r="BK21" i="22"/>
  <c r="E37" i="20"/>
  <c r="AX21" i="22"/>
  <c r="BJ21" i="22"/>
  <c r="D37" i="20"/>
  <c r="AW21" i="22"/>
  <c r="BI21" i="22"/>
  <c r="C37" i="20"/>
  <c r="BA21" i="22"/>
  <c r="BM21" i="22"/>
  <c r="G37" i="20"/>
  <c r="AY31" i="22"/>
  <c r="BK31" i="22"/>
  <c r="E47" i="20"/>
  <c r="AZ31" i="22"/>
  <c r="BL31" i="22"/>
  <c r="F47" i="20"/>
  <c r="AX31" i="22"/>
  <c r="BJ31" i="22"/>
  <c r="D47" i="20"/>
  <c r="BA31" i="22"/>
  <c r="BM31" i="22"/>
  <c r="G47" i="20"/>
  <c r="AY63" i="22"/>
  <c r="BK63" i="22"/>
  <c r="E79" i="20"/>
  <c r="AX63" i="22"/>
  <c r="BJ63" i="22"/>
  <c r="D79" i="20"/>
  <c r="BA63" i="22"/>
  <c r="BM63" i="22"/>
  <c r="G79" i="20"/>
  <c r="C79" i="20"/>
  <c r="AZ69" i="22"/>
  <c r="BL69" i="22"/>
  <c r="F85" i="20"/>
  <c r="BA69" i="22"/>
  <c r="BM69" i="22"/>
  <c r="G85" i="20"/>
  <c r="C85" i="20"/>
  <c r="AX69" i="22"/>
  <c r="BJ69" i="22"/>
  <c r="D85" i="20"/>
  <c r="AW30" i="22"/>
  <c r="BI30" i="22"/>
  <c r="C46" i="20"/>
  <c r="AY30" i="22"/>
  <c r="BK30" i="22"/>
  <c r="E46" i="20"/>
  <c r="AW39" i="22"/>
  <c r="BI39" i="22"/>
  <c r="C55" i="20"/>
  <c r="AX39" i="22"/>
  <c r="BJ39" i="22"/>
  <c r="D55" i="20"/>
  <c r="BB48" i="22"/>
  <c r="BN48" i="22"/>
  <c r="H64" i="20"/>
  <c r="BA48" i="22"/>
  <c r="BM48" i="22"/>
  <c r="G64" i="20"/>
  <c r="AY48" i="22"/>
  <c r="BK48" i="22"/>
  <c r="E64" i="20"/>
  <c r="BD48" i="22"/>
  <c r="BP48" i="22"/>
  <c r="J64" i="20"/>
  <c r="AX48" i="22"/>
  <c r="BJ48" i="22"/>
  <c r="D64" i="20"/>
  <c r="AW55" i="22"/>
  <c r="BI55" i="22"/>
  <c r="C71" i="20"/>
  <c r="AX55" i="22"/>
  <c r="BJ55" i="22"/>
  <c r="D71" i="20"/>
  <c r="BB64" i="22"/>
  <c r="BN64" i="22"/>
  <c r="H80" i="20"/>
  <c r="BA64" i="22"/>
  <c r="BM64" i="22"/>
  <c r="G80" i="20"/>
  <c r="AZ64" i="22"/>
  <c r="BL64" i="22"/>
  <c r="F80" i="20"/>
  <c r="BC64" i="22"/>
  <c r="BO64" i="22"/>
  <c r="I80" i="20"/>
  <c r="AY64" i="22"/>
  <c r="BK64" i="22"/>
  <c r="E80" i="20"/>
  <c r="AX64" i="22"/>
  <c r="BJ64" i="22"/>
  <c r="D80" i="20"/>
  <c r="AZ75" i="22"/>
  <c r="BL75" i="22"/>
  <c r="F91" i="20"/>
  <c r="BA75" i="22"/>
  <c r="BM75" i="22"/>
  <c r="G91" i="20"/>
  <c r="C91" i="20"/>
  <c r="AY75" i="22"/>
  <c r="BK75" i="22"/>
  <c r="E91" i="20"/>
  <c r="D155" i="20"/>
  <c r="BA139" i="22"/>
  <c r="BM139" i="22"/>
  <c r="G155" i="20"/>
  <c r="C155" i="20"/>
  <c r="AZ139" i="22"/>
  <c r="BL139" i="22"/>
  <c r="F155" i="20"/>
  <c r="AY139" i="22"/>
  <c r="BK139" i="22"/>
  <c r="E155" i="20"/>
  <c r="AY145" i="22"/>
  <c r="BK145" i="22"/>
  <c r="E161" i="20"/>
  <c r="AZ145" i="22"/>
  <c r="BL145" i="22"/>
  <c r="F161" i="20"/>
  <c r="BA145" i="22"/>
  <c r="BM145" i="22"/>
  <c r="G161" i="20"/>
  <c r="BA155" i="22"/>
  <c r="BM155" i="22"/>
  <c r="G171" i="20"/>
  <c r="D171" i="20"/>
  <c r="AZ155" i="22"/>
  <c r="BL155" i="22"/>
  <c r="F171" i="20"/>
  <c r="C171" i="20"/>
  <c r="AZ161" i="22"/>
  <c r="BL161" i="22"/>
  <c r="F177" i="20"/>
  <c r="E177" i="20"/>
  <c r="C177" i="20"/>
  <c r="D177" i="20"/>
  <c r="BA161" i="22"/>
  <c r="BM161" i="22"/>
  <c r="G177" i="20"/>
  <c r="D219" i="20"/>
  <c r="BA203" i="22"/>
  <c r="BM203" i="22"/>
  <c r="G219" i="20"/>
  <c r="C219" i="20"/>
  <c r="AZ203" i="22"/>
  <c r="BL203" i="22"/>
  <c r="F219" i="20"/>
  <c r="E219" i="20"/>
  <c r="BA237" i="22"/>
  <c r="BM237" i="22"/>
  <c r="G253" i="20"/>
  <c r="BC237" i="22"/>
  <c r="BO237" i="22"/>
  <c r="I253" i="20"/>
  <c r="E253" i="20"/>
  <c r="BE237" i="22"/>
  <c r="BQ237" i="22"/>
  <c r="K253" i="20"/>
  <c r="BD237" i="22"/>
  <c r="BP237" i="22"/>
  <c r="J253" i="20"/>
  <c r="D253" i="20"/>
  <c r="C253" i="20"/>
  <c r="F253" i="20"/>
  <c r="BD104" i="22"/>
  <c r="BP104" i="22"/>
  <c r="J120" i="20"/>
  <c r="BC104" i="22"/>
  <c r="BO104" i="22"/>
  <c r="I120" i="20"/>
  <c r="BB104" i="22"/>
  <c r="BN104" i="22"/>
  <c r="H120" i="20"/>
  <c r="BB114" i="22"/>
  <c r="BN114" i="22"/>
  <c r="H130" i="20"/>
  <c r="D130" i="20"/>
  <c r="BA114" i="22"/>
  <c r="BM114" i="22"/>
  <c r="G130" i="20"/>
  <c r="C130" i="20"/>
  <c r="BD114" i="22"/>
  <c r="BP114" i="22"/>
  <c r="J130" i="20"/>
  <c r="BC114" i="22"/>
  <c r="BO114" i="22"/>
  <c r="I130" i="20"/>
  <c r="AY118" i="22"/>
  <c r="BK118" i="22"/>
  <c r="E134" i="20"/>
  <c r="C134" i="20"/>
  <c r="AZ118" i="22"/>
  <c r="BL118" i="22"/>
  <c r="F134" i="20"/>
  <c r="D134" i="20"/>
  <c r="C143" i="20"/>
  <c r="D143" i="20"/>
  <c r="AZ156" i="22"/>
  <c r="BL156" i="22"/>
  <c r="F172" i="20"/>
  <c r="AY156" i="22"/>
  <c r="BK156" i="22"/>
  <c r="E172" i="20"/>
  <c r="D172" i="20"/>
  <c r="E182" i="20"/>
  <c r="C182" i="20"/>
  <c r="AZ166" i="22"/>
  <c r="BL166" i="22"/>
  <c r="F182" i="20"/>
  <c r="D182" i="20"/>
  <c r="D191" i="20"/>
  <c r="C191" i="20"/>
  <c r="E200" i="20"/>
  <c r="BC184" i="22"/>
  <c r="BO184" i="22"/>
  <c r="I200" i="20"/>
  <c r="BD184" i="22"/>
  <c r="BP184" i="22"/>
  <c r="J200" i="20"/>
  <c r="AZ184" i="22"/>
  <c r="BL184" i="22"/>
  <c r="F200" i="20"/>
  <c r="D200" i="20"/>
  <c r="BA184" i="22"/>
  <c r="BM184" i="22"/>
  <c r="G200" i="20"/>
  <c r="C200" i="20"/>
  <c r="C207" i="20"/>
  <c r="D207" i="20"/>
  <c r="BD200" i="22"/>
  <c r="BP200" i="22"/>
  <c r="J216" i="20"/>
  <c r="AZ200" i="22"/>
  <c r="BL200" i="22"/>
  <c r="F216" i="20"/>
  <c r="E216" i="20"/>
  <c r="BB200" i="22"/>
  <c r="BN200" i="22"/>
  <c r="H216" i="20"/>
  <c r="C216" i="20"/>
  <c r="BB210" i="22"/>
  <c r="BN210" i="22"/>
  <c r="H226" i="20"/>
  <c r="D226" i="20"/>
  <c r="BA210" i="22"/>
  <c r="BM210" i="22"/>
  <c r="G226" i="20"/>
  <c r="BC210" i="22"/>
  <c r="BO210" i="22"/>
  <c r="I226" i="20"/>
  <c r="BD210" i="22"/>
  <c r="BP210" i="22"/>
  <c r="J226" i="20"/>
  <c r="F226" i="20"/>
  <c r="E226" i="20"/>
  <c r="D275" i="20"/>
  <c r="F275" i="20"/>
  <c r="E275" i="20"/>
  <c r="G275" i="20"/>
  <c r="BB261" i="22"/>
  <c r="BN261" i="22"/>
  <c r="H277" i="20"/>
  <c r="F277" i="20"/>
  <c r="BE261" i="22"/>
  <c r="BQ261" i="22"/>
  <c r="K277" i="20"/>
  <c r="G277" i="20"/>
  <c r="BC261" i="22"/>
  <c r="BO261" i="22"/>
  <c r="I277" i="20"/>
  <c r="D277" i="20"/>
  <c r="E277" i="20"/>
  <c r="C277" i="20"/>
  <c r="C287" i="20"/>
  <c r="BC271" i="22"/>
  <c r="BO271" i="22"/>
  <c r="I287" i="20"/>
  <c r="BE271" i="22"/>
  <c r="BQ271" i="22"/>
  <c r="K287" i="20"/>
  <c r="BB271" i="22"/>
  <c r="BN271" i="22"/>
  <c r="H287" i="20"/>
  <c r="G287" i="20"/>
  <c r="F287" i="20"/>
  <c r="D287" i="20"/>
  <c r="F293" i="20"/>
  <c r="G293" i="20"/>
  <c r="BB277" i="22"/>
  <c r="BN277" i="22"/>
  <c r="H293" i="20"/>
  <c r="BE277" i="22"/>
  <c r="BQ277" i="22"/>
  <c r="K293" i="20"/>
  <c r="D293" i="20"/>
  <c r="BC277" i="22"/>
  <c r="BO277" i="22"/>
  <c r="I293" i="20"/>
  <c r="BB287" i="22"/>
  <c r="BN287" i="22"/>
  <c r="H303" i="20"/>
  <c r="E303" i="20"/>
  <c r="G303" i="20"/>
  <c r="C303" i="20"/>
  <c r="BE287" i="22"/>
  <c r="BQ287" i="22"/>
  <c r="K303" i="20"/>
  <c r="F303" i="20"/>
  <c r="D303" i="20"/>
  <c r="G309" i="20"/>
  <c r="F309" i="20"/>
  <c r="BE293" i="22"/>
  <c r="BQ293" i="22"/>
  <c r="K309" i="20"/>
  <c r="BC293" i="22"/>
  <c r="BO293" i="22"/>
  <c r="I309" i="20"/>
  <c r="BB293" i="22"/>
  <c r="BN293" i="22"/>
  <c r="H309" i="20"/>
  <c r="C309" i="20"/>
  <c r="E309" i="20"/>
  <c r="BD293" i="22"/>
  <c r="BP293" i="22"/>
  <c r="J309" i="20"/>
  <c r="D309" i="20"/>
  <c r="G319" i="20"/>
  <c r="BE303" i="22"/>
  <c r="BQ303" i="22"/>
  <c r="K319" i="20"/>
  <c r="BC303" i="22"/>
  <c r="BO303" i="22"/>
  <c r="I319" i="20"/>
  <c r="E319" i="20"/>
  <c r="C319" i="20"/>
  <c r="BB303" i="22"/>
  <c r="BN303" i="22"/>
  <c r="H319" i="20"/>
  <c r="F319" i="20"/>
  <c r="D319" i="20"/>
  <c r="D329" i="20"/>
  <c r="G329" i="20"/>
  <c r="E329" i="20"/>
  <c r="C329" i="20"/>
  <c r="F329" i="20"/>
  <c r="E339" i="20"/>
  <c r="F339" i="20"/>
  <c r="G339" i="20"/>
  <c r="D339" i="20"/>
  <c r="C339" i="20"/>
  <c r="F345" i="20"/>
  <c r="G345" i="20"/>
  <c r="C345" i="20"/>
  <c r="E345" i="20"/>
  <c r="F355" i="20"/>
  <c r="E355" i="20"/>
  <c r="D355" i="20"/>
  <c r="G355" i="20"/>
  <c r="C355" i="20"/>
  <c r="G357" i="20"/>
  <c r="BD341" i="22"/>
  <c r="BP341" i="22"/>
  <c r="J357" i="20"/>
  <c r="F357" i="20"/>
  <c r="BC341" i="22"/>
  <c r="BO341" i="22"/>
  <c r="I357" i="20"/>
  <c r="H357" i="20"/>
  <c r="BE341" i="22"/>
  <c r="BQ341" i="22"/>
  <c r="K357" i="20"/>
  <c r="E357" i="20"/>
  <c r="C357" i="20"/>
  <c r="BD351" i="22"/>
  <c r="BP351" i="22"/>
  <c r="J367" i="20"/>
  <c r="BC351" i="22"/>
  <c r="BO351" i="22"/>
  <c r="I367" i="20"/>
  <c r="G367" i="20"/>
  <c r="F367" i="20"/>
  <c r="BE351" i="22"/>
  <c r="BQ351" i="22"/>
  <c r="K367" i="20"/>
  <c r="C367" i="20"/>
  <c r="D367" i="20"/>
  <c r="E367" i="20"/>
  <c r="H367" i="20"/>
  <c r="G373" i="20"/>
  <c r="BD357" i="22"/>
  <c r="BP357" i="22"/>
  <c r="J373" i="20"/>
  <c r="F373" i="20"/>
  <c r="H373" i="20"/>
  <c r="BE357" i="22"/>
  <c r="BQ357" i="22"/>
  <c r="K373" i="20"/>
  <c r="BC357" i="22"/>
  <c r="BO357" i="22"/>
  <c r="I373" i="20"/>
  <c r="D373" i="20"/>
  <c r="E373" i="20"/>
  <c r="C373" i="20"/>
  <c r="G383" i="20"/>
  <c r="BD367" i="22"/>
  <c r="BP367" i="22"/>
  <c r="J383" i="20"/>
  <c r="E383" i="20"/>
  <c r="C383" i="20"/>
  <c r="F383" i="20"/>
  <c r="BE367" i="22"/>
  <c r="BQ367" i="22"/>
  <c r="K383" i="20"/>
  <c r="I383" i="20"/>
  <c r="H383" i="20"/>
  <c r="D383" i="20"/>
  <c r="G389" i="20"/>
  <c r="BD373" i="22"/>
  <c r="BP373" i="22"/>
  <c r="J389" i="20"/>
  <c r="F389" i="20"/>
  <c r="I389" i="20"/>
  <c r="H389" i="20"/>
  <c r="BE373" i="22"/>
  <c r="BQ373" i="22"/>
  <c r="K389" i="20"/>
  <c r="E389" i="20"/>
  <c r="C389" i="20"/>
  <c r="D389" i="20"/>
  <c r="BC218" i="22"/>
  <c r="BO218" i="22"/>
  <c r="I234" i="20"/>
  <c r="D234" i="20"/>
  <c r="BD218" i="22"/>
  <c r="BP218" i="22"/>
  <c r="J234" i="20"/>
  <c r="E234" i="20"/>
  <c r="BA218" i="22"/>
  <c r="BM218" i="22"/>
  <c r="G234" i="20"/>
  <c r="C234" i="20"/>
  <c r="BB218" i="22"/>
  <c r="BN218" i="22"/>
  <c r="H234" i="20"/>
  <c r="D247" i="20"/>
  <c r="BB240" i="22"/>
  <c r="BN240" i="22"/>
  <c r="H256" i="20"/>
  <c r="BA240" i="22"/>
  <c r="BM240" i="22"/>
  <c r="G256" i="20"/>
  <c r="F256" i="20"/>
  <c r="D256" i="20"/>
  <c r="BC240" i="22"/>
  <c r="BO240" i="22"/>
  <c r="I256" i="20"/>
  <c r="BD240" i="22"/>
  <c r="BP240" i="22"/>
  <c r="J256" i="20"/>
  <c r="E256" i="20"/>
  <c r="E266" i="20"/>
  <c r="D266" i="20"/>
  <c r="BD250" i="22"/>
  <c r="BP250" i="22"/>
  <c r="J266" i="20"/>
  <c r="BB250" i="22"/>
  <c r="BN250" i="22"/>
  <c r="H266" i="20"/>
  <c r="C266" i="20"/>
  <c r="F266" i="20"/>
  <c r="BC250" i="22"/>
  <c r="BO250" i="22"/>
  <c r="I266" i="20"/>
  <c r="BA250" i="22"/>
  <c r="BM250" i="22"/>
  <c r="G266" i="20"/>
  <c r="E276" i="20"/>
  <c r="F276" i="20"/>
  <c r="F286" i="20"/>
  <c r="C286" i="20"/>
  <c r="E286" i="20"/>
  <c r="D286" i="20"/>
  <c r="D295" i="20"/>
  <c r="C295" i="20"/>
  <c r="F320" i="20"/>
  <c r="G320" i="20"/>
  <c r="BB304" i="22"/>
  <c r="BN304" i="22"/>
  <c r="H320" i="20"/>
  <c r="D320" i="20"/>
  <c r="BD304" i="22"/>
  <c r="BP304" i="22"/>
  <c r="J320" i="20"/>
  <c r="BC304" i="22"/>
  <c r="BO304" i="22"/>
  <c r="I320" i="20"/>
  <c r="E320" i="20"/>
  <c r="H330" i="20"/>
  <c r="E330" i="20"/>
  <c r="BD314" i="22"/>
  <c r="BP314" i="22"/>
  <c r="J330" i="20"/>
  <c r="D330" i="20"/>
  <c r="G330" i="20"/>
  <c r="F330" i="20"/>
  <c r="C343" i="20"/>
  <c r="D343" i="20"/>
  <c r="BD336" i="22"/>
  <c r="BP336" i="22"/>
  <c r="J352" i="20"/>
  <c r="D352" i="20"/>
  <c r="H352" i="20"/>
  <c r="G352" i="20"/>
  <c r="F352" i="20"/>
  <c r="BC336" i="22"/>
  <c r="BO336" i="22"/>
  <c r="I352" i="20"/>
  <c r="C352" i="20"/>
  <c r="E352" i="20"/>
  <c r="C397" i="20"/>
  <c r="F397" i="20"/>
  <c r="D397" i="20"/>
  <c r="G407" i="20"/>
  <c r="E407" i="20"/>
  <c r="C407" i="20"/>
  <c r="D407" i="20"/>
  <c r="G423" i="20"/>
  <c r="E423" i="20"/>
  <c r="F423" i="20"/>
  <c r="D423" i="20"/>
  <c r="G429" i="20"/>
  <c r="E429" i="20"/>
  <c r="C429" i="20"/>
  <c r="F429" i="20"/>
  <c r="D429" i="20"/>
  <c r="H435" i="20"/>
  <c r="D435" i="20"/>
  <c r="J435" i="20"/>
  <c r="I435" i="20"/>
  <c r="BE419" i="22"/>
  <c r="BQ419" i="22"/>
  <c r="K435" i="20"/>
  <c r="F435" i="20"/>
  <c r="G435" i="20"/>
  <c r="C435" i="20"/>
  <c r="E435" i="20"/>
  <c r="C445" i="20"/>
  <c r="E445" i="20"/>
  <c r="G445" i="20"/>
  <c r="F445" i="20"/>
  <c r="F455" i="20"/>
  <c r="D455" i="20"/>
  <c r="E455" i="20"/>
  <c r="G455" i="20"/>
  <c r="D461" i="20"/>
  <c r="E461" i="20"/>
  <c r="G461" i="20"/>
  <c r="F461" i="20"/>
  <c r="C461" i="20"/>
  <c r="D473" i="20"/>
  <c r="BE457" i="22"/>
  <c r="BQ457" i="22"/>
  <c r="K473" i="20"/>
  <c r="I473" i="20"/>
  <c r="G473" i="20"/>
  <c r="F473" i="20"/>
  <c r="H473" i="20"/>
  <c r="J473" i="20"/>
  <c r="E473" i="20"/>
  <c r="C473" i="20"/>
  <c r="D487" i="20"/>
  <c r="F487" i="20"/>
  <c r="G487" i="20"/>
  <c r="D493" i="20"/>
  <c r="F493" i="20"/>
  <c r="G493" i="20"/>
  <c r="C493" i="20"/>
  <c r="E493" i="20"/>
  <c r="F503" i="20"/>
  <c r="D503" i="20"/>
  <c r="G503" i="20"/>
  <c r="F505" i="20"/>
  <c r="D505" i="20"/>
  <c r="J505" i="20"/>
  <c r="K505" i="20"/>
  <c r="I505" i="20"/>
  <c r="G505" i="20"/>
  <c r="H505" i="20"/>
  <c r="C505" i="20"/>
  <c r="J515" i="20"/>
  <c r="D515" i="20"/>
  <c r="F515" i="20"/>
  <c r="K515" i="20"/>
  <c r="I515" i="20"/>
  <c r="G515" i="20"/>
  <c r="H515" i="20"/>
  <c r="C515" i="20"/>
  <c r="C102" i="20"/>
  <c r="BE112" i="22"/>
  <c r="BQ112" i="22"/>
  <c r="K128" i="20"/>
  <c r="BB112" i="22"/>
  <c r="BN112" i="22"/>
  <c r="H128" i="20"/>
  <c r="BD112" i="22"/>
  <c r="BP112" i="22"/>
  <c r="J128" i="20"/>
  <c r="BC112" i="22"/>
  <c r="BO112" i="22"/>
  <c r="I128" i="20"/>
  <c r="BA128" i="22"/>
  <c r="BM128" i="22"/>
  <c r="G144" i="20"/>
  <c r="BB128" i="22"/>
  <c r="BN128" i="22"/>
  <c r="H144" i="20"/>
  <c r="D144" i="20"/>
  <c r="BC128" i="22"/>
  <c r="BO128" i="22"/>
  <c r="I144" i="20"/>
  <c r="BD128" i="22"/>
  <c r="BP128" i="22"/>
  <c r="J144" i="20"/>
  <c r="C144" i="20"/>
  <c r="BE128" i="22"/>
  <c r="BQ128" i="22"/>
  <c r="K144" i="20"/>
  <c r="AZ128" i="22"/>
  <c r="BL128" i="22"/>
  <c r="F144" i="20"/>
  <c r="E356" i="20"/>
  <c r="H356" i="20"/>
  <c r="BD340" i="22"/>
  <c r="BP340" i="22"/>
  <c r="J356" i="20"/>
  <c r="F356" i="20"/>
  <c r="D356" i="20"/>
  <c r="BC340" i="22"/>
  <c r="BO340" i="22"/>
  <c r="I356" i="20"/>
  <c r="G356" i="20"/>
  <c r="D363" i="20"/>
  <c r="C363" i="20"/>
  <c r="G372" i="20"/>
  <c r="E372" i="20"/>
  <c r="H372" i="20"/>
  <c r="BD356" i="22"/>
  <c r="BP356" i="22"/>
  <c r="J372" i="20"/>
  <c r="F372" i="20"/>
  <c r="D372" i="20"/>
  <c r="BC356" i="22"/>
  <c r="BO356" i="22"/>
  <c r="I372" i="20"/>
  <c r="BD366" i="22"/>
  <c r="BP366" i="22"/>
  <c r="J382" i="20"/>
  <c r="G382" i="20"/>
  <c r="F382" i="20"/>
  <c r="I382" i="20"/>
  <c r="H382" i="20"/>
  <c r="D382" i="20"/>
  <c r="H388" i="20"/>
  <c r="BD372" i="22"/>
  <c r="BP372" i="22"/>
  <c r="J388" i="20"/>
  <c r="BD382" i="22"/>
  <c r="BP382" i="22"/>
  <c r="J398" i="20"/>
  <c r="F398" i="20"/>
  <c r="I398" i="20"/>
  <c r="G398" i="20"/>
  <c r="E398" i="20"/>
  <c r="H398" i="20"/>
  <c r="C398" i="20"/>
  <c r="AY54" i="22"/>
  <c r="BK54" i="22"/>
  <c r="E70" i="20"/>
  <c r="AW54" i="22"/>
  <c r="BI54" i="22"/>
  <c r="C70" i="20"/>
  <c r="AZ54" i="22"/>
  <c r="BL54" i="22"/>
  <c r="F70" i="20"/>
  <c r="AX54" i="22"/>
  <c r="BJ54" i="22"/>
  <c r="D70" i="20"/>
  <c r="AW10" i="22"/>
  <c r="BI10" i="22"/>
  <c r="C26" i="20"/>
  <c r="BB18" i="22"/>
  <c r="BN18" i="22"/>
  <c r="H34" i="20"/>
  <c r="BE18" i="22"/>
  <c r="BQ18" i="22"/>
  <c r="K34" i="20"/>
  <c r="AZ18" i="22"/>
  <c r="BL18" i="22"/>
  <c r="F34" i="20"/>
  <c r="BA18" i="22"/>
  <c r="BM18" i="22"/>
  <c r="G34" i="20"/>
  <c r="BC18" i="22"/>
  <c r="BO18" i="22"/>
  <c r="I34" i="20"/>
  <c r="AX18" i="22"/>
  <c r="BJ18" i="22"/>
  <c r="D34" i="20"/>
  <c r="AY18" i="22"/>
  <c r="BK18" i="22"/>
  <c r="E34" i="20"/>
  <c r="BE28" i="22"/>
  <c r="BQ28" i="22"/>
  <c r="K44" i="20"/>
  <c r="BA28" i="22"/>
  <c r="BM28" i="22"/>
  <c r="G44" i="20"/>
  <c r="BC28" i="22"/>
  <c r="BO28" i="22"/>
  <c r="I44" i="20"/>
  <c r="BB28" i="22"/>
  <c r="BN28" i="22"/>
  <c r="H44" i="20"/>
  <c r="AX28" i="22"/>
  <c r="BJ28" i="22"/>
  <c r="D44" i="20"/>
  <c r="AY28" i="22"/>
  <c r="BK28" i="22"/>
  <c r="E44" i="20"/>
  <c r="BD28" i="22"/>
  <c r="BP28" i="22"/>
  <c r="J44" i="20"/>
  <c r="AW42" i="22"/>
  <c r="BI42" i="22"/>
  <c r="C58" i="20"/>
  <c r="BE62" i="22"/>
  <c r="BQ62" i="22"/>
  <c r="K78" i="20"/>
  <c r="BA62" i="22"/>
  <c r="BM62" i="22"/>
  <c r="G78" i="20"/>
  <c r="BB62" i="22"/>
  <c r="BN62" i="22"/>
  <c r="H78" i="20"/>
  <c r="BD62" i="22"/>
  <c r="BP62" i="22"/>
  <c r="J78" i="20"/>
  <c r="BA82" i="22"/>
  <c r="BM82" i="22"/>
  <c r="G98" i="20"/>
  <c r="AX82" i="22"/>
  <c r="BJ82" i="22"/>
  <c r="D98" i="20"/>
  <c r="D128" i="20"/>
  <c r="BA112" i="22"/>
  <c r="BM112" i="22"/>
  <c r="G128" i="20"/>
  <c r="AY132" i="22"/>
  <c r="BK132" i="22"/>
  <c r="E148" i="20"/>
  <c r="AZ132" i="22"/>
  <c r="BL132" i="22"/>
  <c r="F148" i="20"/>
  <c r="BA132" i="22"/>
  <c r="BM132" i="22"/>
  <c r="G148" i="20"/>
  <c r="E180" i="20"/>
  <c r="BA164" i="22"/>
  <c r="BM164" i="22"/>
  <c r="G180" i="20"/>
  <c r="AZ164" i="22"/>
  <c r="BL164" i="22"/>
  <c r="F180" i="20"/>
  <c r="C180" i="20"/>
  <c r="BA188" i="22"/>
  <c r="BM188" i="22"/>
  <c r="G204" i="20"/>
  <c r="BD188" i="22"/>
  <c r="BP188" i="22"/>
  <c r="J204" i="20"/>
  <c r="BC188" i="22"/>
  <c r="BO188" i="22"/>
  <c r="I204" i="20"/>
  <c r="BB188" i="22"/>
  <c r="BN188" i="22"/>
  <c r="H204" i="20"/>
  <c r="BE188" i="22"/>
  <c r="BQ188" i="22"/>
  <c r="K204" i="20"/>
  <c r="E230" i="20"/>
  <c r="F230" i="20"/>
  <c r="BA214" i="22"/>
  <c r="BM214" i="22"/>
  <c r="G230" i="20"/>
  <c r="C230" i="20"/>
  <c r="D230" i="20"/>
  <c r="BA236" i="22"/>
  <c r="BM236" i="22"/>
  <c r="G252" i="20"/>
  <c r="F252" i="20"/>
  <c r="E252" i="20"/>
  <c r="F282" i="20"/>
  <c r="E282" i="20"/>
  <c r="D282" i="20"/>
  <c r="G282" i="20"/>
  <c r="C282" i="20"/>
  <c r="D400" i="20"/>
  <c r="F400" i="20"/>
  <c r="G400" i="20"/>
  <c r="E400" i="20"/>
  <c r="J448" i="20"/>
  <c r="H448" i="20"/>
  <c r="BE432" i="22"/>
  <c r="BQ432" i="22"/>
  <c r="K448" i="20"/>
  <c r="I448" i="20"/>
  <c r="D448" i="20"/>
  <c r="F448" i="20"/>
  <c r="G448" i="20"/>
  <c r="E448" i="20"/>
  <c r="H456" i="20"/>
  <c r="J456" i="20"/>
  <c r="BE440" i="22"/>
  <c r="BQ440" i="22"/>
  <c r="K456" i="20"/>
  <c r="I456" i="20"/>
  <c r="F456" i="20"/>
  <c r="G456" i="20"/>
  <c r="E456" i="20"/>
  <c r="C456" i="20"/>
  <c r="D456" i="20"/>
  <c r="BE448" i="22"/>
  <c r="BQ448" i="22"/>
  <c r="K464" i="20"/>
  <c r="G464" i="20"/>
  <c r="J464" i="20"/>
  <c r="I464" i="20"/>
  <c r="H464" i="20"/>
  <c r="F464" i="20"/>
  <c r="E464" i="20"/>
  <c r="C464" i="20"/>
  <c r="D464" i="20"/>
  <c r="E482" i="20"/>
  <c r="G482" i="20"/>
  <c r="D482" i="20"/>
  <c r="F482" i="20"/>
  <c r="E502" i="20"/>
  <c r="G502" i="20"/>
  <c r="D502" i="20"/>
  <c r="F502" i="20"/>
  <c r="C502" i="20"/>
  <c r="K516" i="20"/>
  <c r="D516" i="20"/>
  <c r="E516" i="20"/>
  <c r="G516" i="20"/>
  <c r="J516" i="20"/>
  <c r="H516" i="20"/>
  <c r="F516" i="20"/>
  <c r="I516" i="20"/>
  <c r="C516" i="20"/>
  <c r="AY154" i="22"/>
  <c r="BK154" i="22"/>
  <c r="E170" i="20"/>
  <c r="AZ154" i="22"/>
  <c r="BL154" i="22"/>
  <c r="F170" i="20"/>
  <c r="BA154" i="22"/>
  <c r="BM154" i="22"/>
  <c r="G170" i="20"/>
  <c r="D170" i="20"/>
  <c r="AZ170" i="22"/>
  <c r="BL170" i="22"/>
  <c r="F186" i="20"/>
  <c r="BC170" i="22"/>
  <c r="BO170" i="22"/>
  <c r="I186" i="20"/>
  <c r="E186" i="20"/>
  <c r="BB170" i="22"/>
  <c r="BN170" i="22"/>
  <c r="H186" i="20"/>
  <c r="D186" i="20"/>
  <c r="BE170" i="22"/>
  <c r="BQ170" i="22"/>
  <c r="K186" i="20"/>
  <c r="C186" i="20"/>
  <c r="E232" i="20"/>
  <c r="F232" i="20"/>
  <c r="BA216" i="22"/>
  <c r="BM216" i="22"/>
  <c r="G232" i="20"/>
  <c r="D232" i="20"/>
  <c r="BD242" i="22"/>
  <c r="BP242" i="22"/>
  <c r="J258" i="20"/>
  <c r="BB242" i="22"/>
  <c r="BN242" i="22"/>
  <c r="H258" i="20"/>
  <c r="BC242" i="22"/>
  <c r="BO242" i="22"/>
  <c r="I258" i="20"/>
  <c r="BE242" i="22"/>
  <c r="BQ242" i="22"/>
  <c r="K258" i="20"/>
  <c r="G304" i="20"/>
  <c r="F304" i="20"/>
  <c r="E304" i="20"/>
  <c r="H328" i="20"/>
  <c r="E328" i="20"/>
  <c r="D328" i="20"/>
  <c r="BD312" i="22"/>
  <c r="BP312" i="22"/>
  <c r="J328" i="20"/>
  <c r="F328" i="20"/>
  <c r="BC312" i="22"/>
  <c r="BO312" i="22"/>
  <c r="I328" i="20"/>
  <c r="C328" i="20"/>
  <c r="BE312" i="22"/>
  <c r="BQ312" i="22"/>
  <c r="K328" i="20"/>
  <c r="G328" i="20"/>
  <c r="C210" i="20"/>
  <c r="C238" i="20"/>
  <c r="C346" i="20"/>
  <c r="C410" i="20"/>
  <c r="C161" i="20"/>
  <c r="C162" i="20"/>
  <c r="D390" i="20"/>
  <c r="C225" i="20"/>
  <c r="C307" i="20"/>
  <c r="D350" i="20"/>
  <c r="AX62" i="22"/>
  <c r="BJ62" i="22"/>
  <c r="D78" i="20"/>
  <c r="D252" i="20"/>
  <c r="D318" i="20"/>
  <c r="D357" i="20"/>
  <c r="D180" i="20"/>
  <c r="D292" i="20"/>
  <c r="AW23" i="22"/>
  <c r="BI23" i="22"/>
  <c r="C39" i="20"/>
  <c r="C78" i="20"/>
  <c r="C206" i="20"/>
  <c r="AY43" i="22"/>
  <c r="BK43" i="22"/>
  <c r="E59" i="20"/>
  <c r="AZ63" i="22"/>
  <c r="BL63" i="22"/>
  <c r="F79" i="20"/>
  <c r="AZ116" i="22"/>
  <c r="BL116" i="22"/>
  <c r="F132" i="20"/>
  <c r="BA170" i="22"/>
  <c r="BM170" i="22"/>
  <c r="G186" i="20"/>
  <c r="BD189" i="22"/>
  <c r="BP189" i="22"/>
  <c r="J205" i="20"/>
  <c r="BD287" i="22"/>
  <c r="BP287" i="22"/>
  <c r="J303" i="20"/>
  <c r="BC62" i="22"/>
  <c r="BO62" i="22"/>
  <c r="I78" i="20"/>
  <c r="BA86" i="22"/>
  <c r="BM86" i="22"/>
  <c r="G102" i="20"/>
  <c r="AZ91" i="22"/>
  <c r="BL91" i="22"/>
  <c r="F107" i="20"/>
  <c r="C111" i="20"/>
  <c r="AZ112" i="22"/>
  <c r="BL112" i="22"/>
  <c r="F128" i="20"/>
  <c r="D152" i="20"/>
  <c r="C159" i="20"/>
  <c r="BD162" i="22"/>
  <c r="BP162" i="22"/>
  <c r="J178" i="20"/>
  <c r="D216" i="20"/>
  <c r="C223" i="20"/>
  <c r="BE59" i="22"/>
  <c r="BQ59" i="22"/>
  <c r="K75" i="20"/>
  <c r="AZ62" i="22"/>
  <c r="BL62" i="22"/>
  <c r="F78" i="20"/>
  <c r="AZ76" i="22"/>
  <c r="BL76" i="22"/>
  <c r="F92" i="20"/>
  <c r="BA91" i="22"/>
  <c r="BM91" i="22"/>
  <c r="G107" i="20"/>
  <c r="F340" i="20"/>
  <c r="E402" i="20"/>
  <c r="E382" i="20"/>
  <c r="BC200" i="22"/>
  <c r="BO200" i="22"/>
  <c r="I216" i="20"/>
  <c r="BC314" i="22"/>
  <c r="BO314" i="22"/>
  <c r="I330" i="20"/>
  <c r="AZ97" i="22"/>
  <c r="BL97" i="22"/>
  <c r="F113" i="20"/>
  <c r="F234" i="20"/>
  <c r="D304" i="20"/>
  <c r="D345" i="20"/>
  <c r="BD77" i="22"/>
  <c r="BP77" i="22"/>
  <c r="J93" i="20"/>
  <c r="F424" i="20"/>
  <c r="G316" i="20"/>
  <c r="AW12" i="22"/>
  <c r="BI12" i="22"/>
  <c r="C28" i="20"/>
  <c r="AW28" i="22"/>
  <c r="BI28" i="22"/>
  <c r="C44" i="20"/>
  <c r="AW44" i="22"/>
  <c r="BI44" i="22"/>
  <c r="C60" i="20"/>
  <c r="C92" i="20"/>
  <c r="C108" i="20"/>
  <c r="C124" i="20"/>
  <c r="C140" i="20"/>
  <c r="C172" i="20"/>
  <c r="C204" i="20"/>
  <c r="C220" i="20"/>
  <c r="C252" i="20"/>
  <c r="C268" i="20"/>
  <c r="C316" i="20"/>
  <c r="I388" i="20"/>
  <c r="BB11" i="22"/>
  <c r="BN11" i="22"/>
  <c r="H27" i="20"/>
  <c r="AX11" i="22"/>
  <c r="BJ11" i="22"/>
  <c r="D27" i="20"/>
  <c r="AW11" i="22"/>
  <c r="BI11" i="22"/>
  <c r="C27" i="20"/>
  <c r="BE11" i="22"/>
  <c r="BQ11" i="22"/>
  <c r="K27" i="20"/>
  <c r="BA11" i="22"/>
  <c r="BM11" i="22"/>
  <c r="G27" i="20"/>
  <c r="BD11" i="22"/>
  <c r="BP11" i="22"/>
  <c r="J27" i="20"/>
  <c r="BC11" i="22"/>
  <c r="BO11" i="22"/>
  <c r="I27" i="20"/>
  <c r="BD17" i="22"/>
  <c r="BP17" i="22"/>
  <c r="J33" i="20"/>
  <c r="AZ17" i="22"/>
  <c r="BL17" i="22"/>
  <c r="F33" i="20"/>
  <c r="BA17" i="22"/>
  <c r="BM17" i="22"/>
  <c r="G33" i="20"/>
  <c r="AX17" i="22"/>
  <c r="BJ17" i="22"/>
  <c r="D33" i="20"/>
  <c r="BB17" i="22"/>
  <c r="BN17" i="22"/>
  <c r="H33" i="20"/>
  <c r="AW17" i="22"/>
  <c r="BI17" i="22"/>
  <c r="C33" i="20"/>
  <c r="BC17" i="22"/>
  <c r="BO17" i="22"/>
  <c r="I33" i="20"/>
  <c r="BB27" i="22"/>
  <c r="BN27" i="22"/>
  <c r="H43" i="20"/>
  <c r="BE27" i="22"/>
  <c r="BQ27" i="22"/>
  <c r="K43" i="20"/>
  <c r="BC27" i="22"/>
  <c r="BO27" i="22"/>
  <c r="I43" i="20"/>
  <c r="BA27" i="22"/>
  <c r="BM27" i="22"/>
  <c r="G43" i="20"/>
  <c r="AY27" i="22"/>
  <c r="BK27" i="22"/>
  <c r="E43" i="20"/>
  <c r="AX27" i="22"/>
  <c r="BJ27" i="22"/>
  <c r="D43" i="20"/>
  <c r="AW27" i="22"/>
  <c r="BI27" i="22"/>
  <c r="C43" i="20"/>
  <c r="BD27" i="22"/>
  <c r="BP27" i="22"/>
  <c r="J43" i="20"/>
  <c r="AY37" i="22"/>
  <c r="BK37" i="22"/>
  <c r="E53" i="20"/>
  <c r="AW37" i="22"/>
  <c r="BI37" i="22"/>
  <c r="C53" i="20"/>
  <c r="BA37" i="22"/>
  <c r="BM37" i="22"/>
  <c r="G53" i="20"/>
  <c r="AX37" i="22"/>
  <c r="BJ37" i="22"/>
  <c r="D53" i="20"/>
  <c r="AY47" i="22"/>
  <c r="BK47" i="22"/>
  <c r="E63" i="20"/>
  <c r="AX47" i="22"/>
  <c r="BJ47" i="22"/>
  <c r="D63" i="20"/>
  <c r="BA47" i="22"/>
  <c r="BM47" i="22"/>
  <c r="G63" i="20"/>
  <c r="AW47" i="22"/>
  <c r="BI47" i="22"/>
  <c r="C63" i="20"/>
  <c r="AZ47" i="22"/>
  <c r="BL47" i="22"/>
  <c r="F63" i="20"/>
  <c r="AZ53" i="22"/>
  <c r="BL53" i="22"/>
  <c r="F69" i="20"/>
  <c r="AW53" i="22"/>
  <c r="BI53" i="22"/>
  <c r="C69" i="20"/>
  <c r="BA53" i="22"/>
  <c r="BM53" i="22"/>
  <c r="G69" i="20"/>
  <c r="AY53" i="22"/>
  <c r="BK53" i="22"/>
  <c r="E69" i="20"/>
  <c r="AX53" i="22"/>
  <c r="BJ53" i="22"/>
  <c r="D69" i="20"/>
  <c r="BB16" i="22"/>
  <c r="BN16" i="22"/>
  <c r="H32" i="20"/>
  <c r="BC16" i="22"/>
  <c r="BO16" i="22"/>
  <c r="I32" i="20"/>
  <c r="BD16" i="22"/>
  <c r="BP16" i="22"/>
  <c r="J32" i="20"/>
  <c r="BD26" i="22"/>
  <c r="BP26" i="22"/>
  <c r="J42" i="20"/>
  <c r="AZ26" i="22"/>
  <c r="BL26" i="22"/>
  <c r="F42" i="20"/>
  <c r="BB26" i="22"/>
  <c r="BN26" i="22"/>
  <c r="H42" i="20"/>
  <c r="AX26" i="22"/>
  <c r="BJ26" i="22"/>
  <c r="D42" i="20"/>
  <c r="BC26" i="22"/>
  <c r="BO26" i="22"/>
  <c r="I42" i="20"/>
  <c r="AY36" i="22"/>
  <c r="BK36" i="22"/>
  <c r="E52" i="20"/>
  <c r="AX36" i="22"/>
  <c r="BJ36" i="22"/>
  <c r="D52" i="20"/>
  <c r="AZ36" i="22"/>
  <c r="BL36" i="22"/>
  <c r="F52" i="20"/>
  <c r="AZ46" i="22"/>
  <c r="BL46" i="22"/>
  <c r="F62" i="20"/>
  <c r="AW46" i="22"/>
  <c r="BI46" i="22"/>
  <c r="C62" i="20"/>
  <c r="C87" i="20"/>
  <c r="AX71" i="22"/>
  <c r="BJ71" i="22"/>
  <c r="D87" i="20"/>
  <c r="BB77" i="22"/>
  <c r="BN77" i="22"/>
  <c r="H93" i="20"/>
  <c r="AY77" i="22"/>
  <c r="BK77" i="22"/>
  <c r="E93" i="20"/>
  <c r="BA77" i="22"/>
  <c r="BM77" i="22"/>
  <c r="G93" i="20"/>
  <c r="C93" i="20"/>
  <c r="AX77" i="22"/>
  <c r="BJ77" i="22"/>
  <c r="D93" i="20"/>
  <c r="BE77" i="22"/>
  <c r="BQ77" i="22"/>
  <c r="K93" i="20"/>
  <c r="AZ77" i="22"/>
  <c r="BL77" i="22"/>
  <c r="F93" i="20"/>
  <c r="BE87" i="22"/>
  <c r="BQ87" i="22"/>
  <c r="K103" i="20"/>
  <c r="BD87" i="22"/>
  <c r="BP87" i="22"/>
  <c r="J103" i="20"/>
  <c r="BA87" i="22"/>
  <c r="BM87" i="22"/>
  <c r="G103" i="20"/>
  <c r="AZ87" i="22"/>
  <c r="BL87" i="22"/>
  <c r="F103" i="20"/>
  <c r="BC87" i="22"/>
  <c r="BO87" i="22"/>
  <c r="I103" i="20"/>
  <c r="AX87" i="22"/>
  <c r="BJ87" i="22"/>
  <c r="D103" i="20"/>
  <c r="AY87" i="22"/>
  <c r="BK87" i="22"/>
  <c r="E103" i="20"/>
  <c r="C103" i="20"/>
  <c r="BC93" i="22"/>
  <c r="BO93" i="22"/>
  <c r="I109" i="20"/>
  <c r="AY93" i="22"/>
  <c r="BK93" i="22"/>
  <c r="E109" i="20"/>
  <c r="BB93" i="22"/>
  <c r="BN93" i="22"/>
  <c r="H109" i="20"/>
  <c r="BD93" i="22"/>
  <c r="BP93" i="22"/>
  <c r="J109" i="20"/>
  <c r="AX93" i="22"/>
  <c r="BJ93" i="22"/>
  <c r="D109" i="20"/>
  <c r="BA93" i="22"/>
  <c r="BM93" i="22"/>
  <c r="G109" i="20"/>
  <c r="AZ93" i="22"/>
  <c r="BL93" i="22"/>
  <c r="F109" i="20"/>
  <c r="AZ103" i="22"/>
  <c r="BL103" i="22"/>
  <c r="F119" i="20"/>
  <c r="BE103" i="22"/>
  <c r="BQ103" i="22"/>
  <c r="K119" i="20"/>
  <c r="BD103" i="22"/>
  <c r="BP103" i="22"/>
  <c r="J119" i="20"/>
  <c r="AY103" i="22"/>
  <c r="BK103" i="22"/>
  <c r="E119" i="20"/>
  <c r="BB103" i="22"/>
  <c r="BN103" i="22"/>
  <c r="H119" i="20"/>
  <c r="BA103" i="22"/>
  <c r="BM103" i="22"/>
  <c r="G119" i="20"/>
  <c r="AX103" i="22"/>
  <c r="BJ103" i="22"/>
  <c r="D119" i="20"/>
  <c r="AZ113" i="22"/>
  <c r="BL113" i="22"/>
  <c r="F129" i="20"/>
  <c r="D129" i="20"/>
  <c r="BA113" i="22"/>
  <c r="BM113" i="22"/>
  <c r="G129" i="20"/>
  <c r="C129" i="20"/>
  <c r="AY113" i="22"/>
  <c r="BK113" i="22"/>
  <c r="E129" i="20"/>
  <c r="BA123" i="22"/>
  <c r="BM123" i="22"/>
  <c r="G139" i="20"/>
  <c r="D139" i="20"/>
  <c r="AZ123" i="22"/>
  <c r="BL123" i="22"/>
  <c r="F139" i="20"/>
  <c r="AZ129" i="22"/>
  <c r="BL129" i="22"/>
  <c r="F145" i="20"/>
  <c r="AY129" i="22"/>
  <c r="BK129" i="22"/>
  <c r="E145" i="20"/>
  <c r="D145" i="20"/>
  <c r="BA129" i="22"/>
  <c r="BM129" i="22"/>
  <c r="G145" i="20"/>
  <c r="C145" i="20"/>
  <c r="AY141" i="22"/>
  <c r="BK141" i="22"/>
  <c r="E157" i="20"/>
  <c r="BB141" i="22"/>
  <c r="BN141" i="22"/>
  <c r="H157" i="20"/>
  <c r="BE141" i="22"/>
  <c r="BQ141" i="22"/>
  <c r="K157" i="20"/>
  <c r="BA141" i="22"/>
  <c r="BM141" i="22"/>
  <c r="G157" i="20"/>
  <c r="BD141" i="22"/>
  <c r="BP141" i="22"/>
  <c r="J157" i="20"/>
  <c r="D157" i="20"/>
  <c r="BC141" i="22"/>
  <c r="BO141" i="22"/>
  <c r="I157" i="20"/>
  <c r="C157" i="20"/>
  <c r="AZ141" i="22"/>
  <c r="BL141" i="22"/>
  <c r="F157" i="20"/>
  <c r="BE151" i="22"/>
  <c r="BQ151" i="22"/>
  <c r="K167" i="20"/>
  <c r="BD151" i="22"/>
  <c r="BP151" i="22"/>
  <c r="J167" i="20"/>
  <c r="AZ151" i="22"/>
  <c r="BL151" i="22"/>
  <c r="F167" i="20"/>
  <c r="BA151" i="22"/>
  <c r="BM151" i="22"/>
  <c r="G167" i="20"/>
  <c r="AY151" i="22"/>
  <c r="BK151" i="22"/>
  <c r="E167" i="20"/>
  <c r="BB151" i="22"/>
  <c r="BN151" i="22"/>
  <c r="H167" i="20"/>
  <c r="C167" i="20"/>
  <c r="D167" i="20"/>
  <c r="BC157" i="22"/>
  <c r="BO157" i="22"/>
  <c r="I173" i="20"/>
  <c r="BB157" i="22"/>
  <c r="BN157" i="22"/>
  <c r="H173" i="20"/>
  <c r="BE157" i="22"/>
  <c r="BQ157" i="22"/>
  <c r="K173" i="20"/>
  <c r="BA157" i="22"/>
  <c r="BM157" i="22"/>
  <c r="G173" i="20"/>
  <c r="AZ157" i="22"/>
  <c r="BL157" i="22"/>
  <c r="F173" i="20"/>
  <c r="C173" i="20"/>
  <c r="D173" i="20"/>
  <c r="AY157" i="22"/>
  <c r="BK157" i="22"/>
  <c r="E173" i="20"/>
  <c r="AZ167" i="22"/>
  <c r="BL167" i="22"/>
  <c r="F183" i="20"/>
  <c r="BA167" i="22"/>
  <c r="BM167" i="22"/>
  <c r="G183" i="20"/>
  <c r="BE167" i="22"/>
  <c r="BQ167" i="22"/>
  <c r="K183" i="20"/>
  <c r="BB167" i="22"/>
  <c r="BN167" i="22"/>
  <c r="H183" i="20"/>
  <c r="BC167" i="22"/>
  <c r="BO167" i="22"/>
  <c r="I183" i="20"/>
  <c r="D187" i="20"/>
  <c r="BA171" i="22"/>
  <c r="BM171" i="22"/>
  <c r="G187" i="20"/>
  <c r="E187" i="20"/>
  <c r="C187" i="20"/>
  <c r="E193" i="20"/>
  <c r="AZ177" i="22"/>
  <c r="BL177" i="22"/>
  <c r="F193" i="20"/>
  <c r="BA177" i="22"/>
  <c r="BM177" i="22"/>
  <c r="G193" i="20"/>
  <c r="D193" i="20"/>
  <c r="C193" i="20"/>
  <c r="BA187" i="22"/>
  <c r="BM187" i="22"/>
  <c r="G203" i="20"/>
  <c r="D203" i="20"/>
  <c r="AZ187" i="22"/>
  <c r="BL187" i="22"/>
  <c r="F203" i="20"/>
  <c r="AZ193" i="22"/>
  <c r="BL193" i="22"/>
  <c r="F209" i="20"/>
  <c r="E209" i="20"/>
  <c r="D209" i="20"/>
  <c r="BA193" i="22"/>
  <c r="BM193" i="22"/>
  <c r="G209" i="20"/>
  <c r="C209" i="20"/>
  <c r="BC205" i="22"/>
  <c r="BO205" i="22"/>
  <c r="I221" i="20"/>
  <c r="E221" i="20"/>
  <c r="BB205" i="22"/>
  <c r="BN205" i="22"/>
  <c r="H221" i="20"/>
  <c r="BE205" i="22"/>
  <c r="BQ205" i="22"/>
  <c r="K221" i="20"/>
  <c r="BA205" i="22"/>
  <c r="BM205" i="22"/>
  <c r="G221" i="20"/>
  <c r="BD205" i="22"/>
  <c r="BP205" i="22"/>
  <c r="J221" i="20"/>
  <c r="D221" i="20"/>
  <c r="C221" i="20"/>
  <c r="AZ205" i="22"/>
  <c r="BL205" i="22"/>
  <c r="F221" i="20"/>
  <c r="BA219" i="22"/>
  <c r="BM219" i="22"/>
  <c r="G235" i="20"/>
  <c r="D235" i="20"/>
  <c r="F235" i="20"/>
  <c r="C235" i="20"/>
  <c r="D241" i="20"/>
  <c r="F241" i="20"/>
  <c r="E241" i="20"/>
  <c r="BA225" i="22"/>
  <c r="BM225" i="22"/>
  <c r="G241" i="20"/>
  <c r="C241" i="20"/>
  <c r="D251" i="20"/>
  <c r="BA235" i="22"/>
  <c r="BM235" i="22"/>
  <c r="G251" i="20"/>
  <c r="E251" i="20"/>
  <c r="F251" i="20"/>
  <c r="C251" i="20"/>
  <c r="BB82" i="22"/>
  <c r="BN82" i="22"/>
  <c r="H98" i="20"/>
  <c r="BD82" i="22"/>
  <c r="BP82" i="22"/>
  <c r="J98" i="20"/>
  <c r="BC82" i="22"/>
  <c r="BO82" i="22"/>
  <c r="I98" i="20"/>
  <c r="AY88" i="22"/>
  <c r="BK88" i="22"/>
  <c r="E104" i="20"/>
  <c r="AZ88" i="22"/>
  <c r="BL88" i="22"/>
  <c r="F104" i="20"/>
  <c r="BD88" i="22"/>
  <c r="BP88" i="22"/>
  <c r="J104" i="20"/>
  <c r="AX88" i="22"/>
  <c r="BJ88" i="22"/>
  <c r="D104" i="20"/>
  <c r="BA88" i="22"/>
  <c r="BM88" i="22"/>
  <c r="G104" i="20"/>
  <c r="C104" i="20"/>
  <c r="BB98" i="22"/>
  <c r="BN98" i="22"/>
  <c r="H114" i="20"/>
  <c r="BD98" i="22"/>
  <c r="BP98" i="22"/>
  <c r="J114" i="20"/>
  <c r="BC98" i="22"/>
  <c r="BO98" i="22"/>
  <c r="I114" i="20"/>
  <c r="C114" i="20"/>
  <c r="AZ98" i="22"/>
  <c r="BL98" i="22"/>
  <c r="F114" i="20"/>
  <c r="AY98" i="22"/>
  <c r="BK98" i="22"/>
  <c r="E114" i="20"/>
  <c r="AX98" i="22"/>
  <c r="BJ98" i="22"/>
  <c r="D114" i="20"/>
  <c r="D127" i="20"/>
  <c r="C127" i="20"/>
  <c r="AZ124" i="22"/>
  <c r="BL124" i="22"/>
  <c r="F140" i="20"/>
  <c r="AY124" i="22"/>
  <c r="BK124" i="22"/>
  <c r="E140" i="20"/>
  <c r="D140" i="20"/>
  <c r="AY134" i="22"/>
  <c r="BK134" i="22"/>
  <c r="E150" i="20"/>
  <c r="AZ134" i="22"/>
  <c r="BL134" i="22"/>
  <c r="F150" i="20"/>
  <c r="D150" i="20"/>
  <c r="AZ140" i="22"/>
  <c r="BL140" i="22"/>
  <c r="F156" i="20"/>
  <c r="D156" i="20"/>
  <c r="AY150" i="22"/>
  <c r="BK150" i="22"/>
  <c r="E166" i="20"/>
  <c r="AZ150" i="22"/>
  <c r="BL150" i="22"/>
  <c r="F166" i="20"/>
  <c r="D166" i="20"/>
  <c r="D175" i="20"/>
  <c r="C175" i="20"/>
  <c r="BD168" i="22"/>
  <c r="BP168" i="22"/>
  <c r="J184" i="20"/>
  <c r="BB168" i="22"/>
  <c r="BN168" i="22"/>
  <c r="H184" i="20"/>
  <c r="BC168" i="22"/>
  <c r="BO168" i="22"/>
  <c r="I184" i="20"/>
  <c r="BB178" i="22"/>
  <c r="BN178" i="22"/>
  <c r="H194" i="20"/>
  <c r="D194" i="20"/>
  <c r="BA178" i="22"/>
  <c r="BM178" i="22"/>
  <c r="G194" i="20"/>
  <c r="BC178" i="22"/>
  <c r="BO178" i="22"/>
  <c r="I194" i="20"/>
  <c r="BD178" i="22"/>
  <c r="BP178" i="22"/>
  <c r="J194" i="20"/>
  <c r="E194" i="20"/>
  <c r="AZ188" i="22"/>
  <c r="BL188" i="22"/>
  <c r="F204" i="20"/>
  <c r="E204" i="20"/>
  <c r="D204" i="20"/>
  <c r="E214" i="20"/>
  <c r="AZ198" i="22"/>
  <c r="BL198" i="22"/>
  <c r="F214" i="20"/>
  <c r="D214" i="20"/>
  <c r="AZ204" i="22"/>
  <c r="BL204" i="22"/>
  <c r="F220" i="20"/>
  <c r="D220" i="20"/>
  <c r="E255" i="20"/>
  <c r="BE239" i="22"/>
  <c r="BQ239" i="22"/>
  <c r="K255" i="20"/>
  <c r="BC239" i="22"/>
  <c r="BO239" i="22"/>
  <c r="I255" i="20"/>
  <c r="BB239" i="22"/>
  <c r="BN239" i="22"/>
  <c r="H255" i="20"/>
  <c r="C255" i="20"/>
  <c r="F255" i="20"/>
  <c r="D255" i="20"/>
  <c r="BE245" i="22"/>
  <c r="BQ245" i="22"/>
  <c r="K261" i="20"/>
  <c r="F261" i="20"/>
  <c r="BC245" i="22"/>
  <c r="BO245" i="22"/>
  <c r="I261" i="20"/>
  <c r="BA245" i="22"/>
  <c r="BM245" i="22"/>
  <c r="G261" i="20"/>
  <c r="BD245" i="22"/>
  <c r="BP245" i="22"/>
  <c r="J261" i="20"/>
  <c r="E261" i="20"/>
  <c r="C261" i="20"/>
  <c r="D261" i="20"/>
  <c r="BB245" i="22"/>
  <c r="BN245" i="22"/>
  <c r="H261" i="20"/>
  <c r="BB255" i="22"/>
  <c r="BN255" i="22"/>
  <c r="H271" i="20"/>
  <c r="E271" i="20"/>
  <c r="BE255" i="22"/>
  <c r="BQ255" i="22"/>
  <c r="K271" i="20"/>
  <c r="BA255" i="22"/>
  <c r="BM255" i="22"/>
  <c r="G271" i="20"/>
  <c r="F271" i="20"/>
  <c r="D271" i="20"/>
  <c r="C271" i="20"/>
  <c r="BC255" i="22"/>
  <c r="BO255" i="22"/>
  <c r="I271" i="20"/>
  <c r="D281" i="20"/>
  <c r="G281" i="20"/>
  <c r="F281" i="20"/>
  <c r="E281" i="20"/>
  <c r="C281" i="20"/>
  <c r="F325" i="20"/>
  <c r="G325" i="20"/>
  <c r="BE309" i="22"/>
  <c r="BQ309" i="22"/>
  <c r="K325" i="20"/>
  <c r="BC309" i="22"/>
  <c r="BO309" i="22"/>
  <c r="I325" i="20"/>
  <c r="H325" i="20"/>
  <c r="C325" i="20"/>
  <c r="E325" i="20"/>
  <c r="D325" i="20"/>
  <c r="BC319" i="22"/>
  <c r="BO319" i="22"/>
  <c r="I335" i="20"/>
  <c r="E335" i="20"/>
  <c r="BD319" i="22"/>
  <c r="BP319" i="22"/>
  <c r="J335" i="20"/>
  <c r="F335" i="20"/>
  <c r="BE319" i="22"/>
  <c r="BQ319" i="22"/>
  <c r="K335" i="20"/>
  <c r="G335" i="20"/>
  <c r="H335" i="20"/>
  <c r="C335" i="20"/>
  <c r="D335" i="20"/>
  <c r="BD325" i="22"/>
  <c r="BP325" i="22"/>
  <c r="J341" i="20"/>
  <c r="E341" i="20"/>
  <c r="F341" i="20"/>
  <c r="H341" i="20"/>
  <c r="BE325" i="22"/>
  <c r="BQ325" i="22"/>
  <c r="K341" i="20"/>
  <c r="BC325" i="22"/>
  <c r="BO325" i="22"/>
  <c r="I341" i="20"/>
  <c r="C341" i="20"/>
  <c r="D341" i="20"/>
  <c r="BC335" i="22"/>
  <c r="BO335" i="22"/>
  <c r="I351" i="20"/>
  <c r="C351" i="20"/>
  <c r="BD335" i="22"/>
  <c r="BP335" i="22"/>
  <c r="J351" i="20"/>
  <c r="E351" i="20"/>
  <c r="F351" i="20"/>
  <c r="BE335" i="22"/>
  <c r="BQ335" i="22"/>
  <c r="K351" i="20"/>
  <c r="G351" i="20"/>
  <c r="D351" i="20"/>
  <c r="H351" i="20"/>
  <c r="G361" i="20"/>
  <c r="F361" i="20"/>
  <c r="E361" i="20"/>
  <c r="C361" i="20"/>
  <c r="D361" i="20"/>
  <c r="E371" i="20"/>
  <c r="G371" i="20"/>
  <c r="F371" i="20"/>
  <c r="D371" i="20"/>
  <c r="C371" i="20"/>
  <c r="F377" i="20"/>
  <c r="D377" i="20"/>
  <c r="G377" i="20"/>
  <c r="C377" i="20"/>
  <c r="C231" i="20"/>
  <c r="BA224" i="22"/>
  <c r="BM224" i="22"/>
  <c r="G240" i="20"/>
  <c r="BB224" i="22"/>
  <c r="BN224" i="22"/>
  <c r="H240" i="20"/>
  <c r="BC224" i="22"/>
  <c r="BO224" i="22"/>
  <c r="I240" i="20"/>
  <c r="D240" i="20"/>
  <c r="BD224" i="22"/>
  <c r="BP224" i="22"/>
  <c r="J240" i="20"/>
  <c r="F240" i="20"/>
  <c r="C240" i="20"/>
  <c r="BC234" i="22"/>
  <c r="BO234" i="22"/>
  <c r="I250" i="20"/>
  <c r="D250" i="20"/>
  <c r="C250" i="20"/>
  <c r="F250" i="20"/>
  <c r="E250" i="20"/>
  <c r="E260" i="20"/>
  <c r="F260" i="20"/>
  <c r="F270" i="20"/>
  <c r="D270" i="20"/>
  <c r="D279" i="20"/>
  <c r="C279" i="20"/>
  <c r="BB272" i="22"/>
  <c r="BN272" i="22"/>
  <c r="H288" i="20"/>
  <c r="G288" i="20"/>
  <c r="BD272" i="22"/>
  <c r="BP272" i="22"/>
  <c r="J288" i="20"/>
  <c r="D288" i="20"/>
  <c r="BC272" i="22"/>
  <c r="BO272" i="22"/>
  <c r="I288" i="20"/>
  <c r="E288" i="20"/>
  <c r="E298" i="20"/>
  <c r="BD282" i="22"/>
  <c r="BP282" i="22"/>
  <c r="J298" i="20"/>
  <c r="F298" i="20"/>
  <c r="BB282" i="22"/>
  <c r="BN282" i="22"/>
  <c r="H298" i="20"/>
  <c r="D298" i="20"/>
  <c r="BC282" i="22"/>
  <c r="BO282" i="22"/>
  <c r="I298" i="20"/>
  <c r="G298" i="20"/>
  <c r="BB288" i="22"/>
  <c r="BN288" i="22"/>
  <c r="H304" i="20"/>
  <c r="BC288" i="22"/>
  <c r="BO288" i="22"/>
  <c r="I304" i="20"/>
  <c r="F314" i="20"/>
  <c r="D314" i="20"/>
  <c r="E314" i="20"/>
  <c r="BC298" i="22"/>
  <c r="BO298" i="22"/>
  <c r="I314" i="20"/>
  <c r="BD298" i="22"/>
  <c r="BP298" i="22"/>
  <c r="J314" i="20"/>
  <c r="BB298" i="22"/>
  <c r="BN298" i="22"/>
  <c r="H314" i="20"/>
  <c r="G314" i="20"/>
  <c r="C314" i="20"/>
  <c r="C327" i="20"/>
  <c r="D327" i="20"/>
  <c r="H336" i="20"/>
  <c r="BD320" i="22"/>
  <c r="BP320" i="22"/>
  <c r="J336" i="20"/>
  <c r="BC320" i="22"/>
  <c r="BO320" i="22"/>
  <c r="I336" i="20"/>
  <c r="E346" i="20"/>
  <c r="H346" i="20"/>
  <c r="G346" i="20"/>
  <c r="BD330" i="22"/>
  <c r="BP330" i="22"/>
  <c r="J346" i="20"/>
  <c r="F346" i="20"/>
  <c r="D346" i="20"/>
  <c r="BC330" i="22"/>
  <c r="BO330" i="22"/>
  <c r="I346" i="20"/>
  <c r="E413" i="20"/>
  <c r="C413" i="20"/>
  <c r="F413" i="20"/>
  <c r="G413" i="20"/>
  <c r="D413" i="20"/>
  <c r="F439" i="20"/>
  <c r="G439" i="20"/>
  <c r="C439" i="20"/>
  <c r="H441" i="20"/>
  <c r="BE425" i="22"/>
  <c r="BQ425" i="22"/>
  <c r="K441" i="20"/>
  <c r="D441" i="20"/>
  <c r="G441" i="20"/>
  <c r="I441" i="20"/>
  <c r="J441" i="20"/>
  <c r="E441" i="20"/>
  <c r="C441" i="20"/>
  <c r="J451" i="20"/>
  <c r="F451" i="20"/>
  <c r="D451" i="20"/>
  <c r="E451" i="20"/>
  <c r="G451" i="20"/>
  <c r="BE435" i="22"/>
  <c r="BQ435" i="22"/>
  <c r="K451" i="20"/>
  <c r="C451" i="20"/>
  <c r="H451" i="20"/>
  <c r="I451" i="20"/>
  <c r="F457" i="20"/>
  <c r="D457" i="20"/>
  <c r="E457" i="20"/>
  <c r="G457" i="20"/>
  <c r="J457" i="20"/>
  <c r="H457" i="20"/>
  <c r="I457" i="20"/>
  <c r="C457" i="20"/>
  <c r="D471" i="20"/>
  <c r="F471" i="20"/>
  <c r="G471" i="20"/>
  <c r="E471" i="20"/>
  <c r="D477" i="20"/>
  <c r="G477" i="20"/>
  <c r="F477" i="20"/>
  <c r="C477" i="20"/>
  <c r="J483" i="20"/>
  <c r="D483" i="20"/>
  <c r="F483" i="20"/>
  <c r="K483" i="20"/>
  <c r="I483" i="20"/>
  <c r="G483" i="20"/>
  <c r="E483" i="20"/>
  <c r="H483" i="20"/>
  <c r="C483" i="20"/>
  <c r="D489" i="20"/>
  <c r="J489" i="20"/>
  <c r="K489" i="20"/>
  <c r="I489" i="20"/>
  <c r="G489" i="20"/>
  <c r="H489" i="20"/>
  <c r="F489" i="20"/>
  <c r="C489" i="20"/>
  <c r="K499" i="20"/>
  <c r="F499" i="20"/>
  <c r="I499" i="20"/>
  <c r="G499" i="20"/>
  <c r="H499" i="20"/>
  <c r="J499" i="20"/>
  <c r="D509" i="20"/>
  <c r="F509" i="20"/>
  <c r="G509" i="20"/>
  <c r="C509" i="20"/>
  <c r="E509" i="20"/>
  <c r="F521" i="20"/>
  <c r="D521" i="20"/>
  <c r="K521" i="20"/>
  <c r="J521" i="20"/>
  <c r="I521" i="20"/>
  <c r="G521" i="20"/>
  <c r="E521" i="20"/>
  <c r="H521" i="20"/>
  <c r="BA44" i="22"/>
  <c r="BM44" i="22"/>
  <c r="G60" i="20"/>
  <c r="AZ44" i="22"/>
  <c r="BL44" i="22"/>
  <c r="F60" i="20"/>
  <c r="BE44" i="22"/>
  <c r="BQ44" i="22"/>
  <c r="K60" i="20"/>
  <c r="BD44" i="22"/>
  <c r="BP44" i="22"/>
  <c r="J60" i="20"/>
  <c r="AX44" i="22"/>
  <c r="BJ44" i="22"/>
  <c r="D60" i="20"/>
  <c r="BB44" i="22"/>
  <c r="BN44" i="22"/>
  <c r="H60" i="20"/>
  <c r="BC44" i="22"/>
  <c r="BO44" i="22"/>
  <c r="I60" i="20"/>
  <c r="AY70" i="22"/>
  <c r="BK70" i="22"/>
  <c r="E86" i="20"/>
  <c r="BA70" i="22"/>
  <c r="BM70" i="22"/>
  <c r="G86" i="20"/>
  <c r="C86" i="20"/>
  <c r="AZ70" i="22"/>
  <c r="BL70" i="22"/>
  <c r="F86" i="20"/>
  <c r="AX70" i="22"/>
  <c r="BJ70" i="22"/>
  <c r="D86" i="20"/>
  <c r="D354" i="20"/>
  <c r="E354" i="20"/>
  <c r="C354" i="20"/>
  <c r="E360" i="20"/>
  <c r="D360" i="20"/>
  <c r="F360" i="20"/>
  <c r="E376" i="20"/>
  <c r="F376" i="20"/>
  <c r="D376" i="20"/>
  <c r="C376" i="20"/>
  <c r="F386" i="20"/>
  <c r="E386" i="20"/>
  <c r="C386" i="20"/>
  <c r="C395" i="20"/>
  <c r="D395" i="20"/>
  <c r="C415" i="20"/>
  <c r="D415" i="20"/>
  <c r="C431" i="20"/>
  <c r="D431" i="20"/>
  <c r="D507" i="20"/>
  <c r="C507" i="20"/>
  <c r="BE70" i="22"/>
  <c r="BQ70" i="22"/>
  <c r="K86" i="20"/>
  <c r="BC70" i="22"/>
  <c r="BO70" i="22"/>
  <c r="I86" i="20"/>
  <c r="BB70" i="22"/>
  <c r="BN70" i="22"/>
  <c r="H86" i="20"/>
  <c r="BD70" i="22"/>
  <c r="BP70" i="22"/>
  <c r="J86" i="20"/>
  <c r="AZ104" i="22"/>
  <c r="BL104" i="22"/>
  <c r="F120" i="20"/>
  <c r="BA104" i="22"/>
  <c r="BM104" i="22"/>
  <c r="G120" i="20"/>
  <c r="C120" i="20"/>
  <c r="AX104" i="22"/>
  <c r="BJ104" i="22"/>
  <c r="D120" i="20"/>
  <c r="BA126" i="22"/>
  <c r="BM126" i="22"/>
  <c r="G142" i="20"/>
  <c r="D142" i="20"/>
  <c r="AZ126" i="22"/>
  <c r="BL126" i="22"/>
  <c r="F142" i="20"/>
  <c r="AY126" i="22"/>
  <c r="BK126" i="22"/>
  <c r="E142" i="20"/>
  <c r="BA12" i="22"/>
  <c r="BM12" i="22"/>
  <c r="G28" i="20"/>
  <c r="BE12" i="22"/>
  <c r="BQ12" i="22"/>
  <c r="K28" i="20"/>
  <c r="AZ12" i="22"/>
  <c r="BL12" i="22"/>
  <c r="F28" i="20"/>
  <c r="BC12" i="22"/>
  <c r="BO12" i="22"/>
  <c r="I28" i="20"/>
  <c r="BB12" i="22"/>
  <c r="BN12" i="22"/>
  <c r="H28" i="20"/>
  <c r="AY12" i="22"/>
  <c r="BK12" i="22"/>
  <c r="E28" i="20"/>
  <c r="AX12" i="22"/>
  <c r="BJ12" i="22"/>
  <c r="D28" i="20"/>
  <c r="AY22" i="22"/>
  <c r="BK22" i="22"/>
  <c r="E38" i="20"/>
  <c r="BA22" i="22"/>
  <c r="BM22" i="22"/>
  <c r="G38" i="20"/>
  <c r="AZ22" i="22"/>
  <c r="BL22" i="22"/>
  <c r="F38" i="20"/>
  <c r="AW22" i="22"/>
  <c r="BI22" i="22"/>
  <c r="C38" i="20"/>
  <c r="AZ32" i="22"/>
  <c r="BL32" i="22"/>
  <c r="F48" i="20"/>
  <c r="AY32" i="22"/>
  <c r="BK32" i="22"/>
  <c r="E48" i="20"/>
  <c r="AX38" i="22"/>
  <c r="BJ38" i="22"/>
  <c r="D54" i="20"/>
  <c r="AY38" i="22"/>
  <c r="BK38" i="22"/>
  <c r="E54" i="20"/>
  <c r="BA38" i="22"/>
  <c r="BM38" i="22"/>
  <c r="G54" i="20"/>
  <c r="BC56" i="22"/>
  <c r="BO56" i="22"/>
  <c r="I72" i="20"/>
  <c r="BD56" i="22"/>
  <c r="BP56" i="22"/>
  <c r="J72" i="20"/>
  <c r="BE56" i="22"/>
  <c r="BQ56" i="22"/>
  <c r="K72" i="20"/>
  <c r="AY90" i="22"/>
  <c r="BK90" i="22"/>
  <c r="E106" i="20"/>
  <c r="AZ90" i="22"/>
  <c r="BL90" i="22"/>
  <c r="F106" i="20"/>
  <c r="AX90" i="22"/>
  <c r="BJ90" i="22"/>
  <c r="D106" i="20"/>
  <c r="BA90" i="22"/>
  <c r="BM90" i="22"/>
  <c r="G106" i="20"/>
  <c r="BA174" i="22"/>
  <c r="BM174" i="22"/>
  <c r="G190" i="20"/>
  <c r="AZ174" i="22"/>
  <c r="BL174" i="22"/>
  <c r="F190" i="20"/>
  <c r="D190" i="20"/>
  <c r="E190" i="20"/>
  <c r="C190" i="20"/>
  <c r="BA256" i="22"/>
  <c r="BM256" i="22"/>
  <c r="G272" i="20"/>
  <c r="D272" i="20"/>
  <c r="E272" i="20"/>
  <c r="G292" i="20"/>
  <c r="BE276" i="22"/>
  <c r="BQ276" i="22"/>
  <c r="K292" i="20"/>
  <c r="BC276" i="22"/>
  <c r="BO276" i="22"/>
  <c r="I292" i="20"/>
  <c r="BD276" i="22"/>
  <c r="BP276" i="22"/>
  <c r="J292" i="20"/>
  <c r="BD296" i="22"/>
  <c r="BP296" i="22"/>
  <c r="J312" i="20"/>
  <c r="D312" i="20"/>
  <c r="E312" i="20"/>
  <c r="F312" i="20"/>
  <c r="BB296" i="22"/>
  <c r="BN296" i="22"/>
  <c r="H312" i="20"/>
  <c r="BE296" i="22"/>
  <c r="BQ296" i="22"/>
  <c r="K312" i="20"/>
  <c r="G312" i="20"/>
  <c r="C312" i="20"/>
  <c r="F344" i="20"/>
  <c r="E344" i="20"/>
  <c r="G344" i="20"/>
  <c r="D344" i="20"/>
  <c r="C344" i="20"/>
  <c r="BE354" i="22"/>
  <c r="BQ354" i="22"/>
  <c r="K370" i="20"/>
  <c r="BC354" i="22"/>
  <c r="BO354" i="22"/>
  <c r="I370" i="20"/>
  <c r="BD354" i="22"/>
  <c r="BP354" i="22"/>
  <c r="J370" i="20"/>
  <c r="H370" i="20"/>
  <c r="F410" i="20"/>
  <c r="E410" i="20"/>
  <c r="G410" i="20"/>
  <c r="H474" i="20"/>
  <c r="BE458" i="22"/>
  <c r="BQ458" i="22"/>
  <c r="K474" i="20"/>
  <c r="J474" i="20"/>
  <c r="C136" i="20"/>
  <c r="C360" i="20"/>
  <c r="C75" i="20"/>
  <c r="C298" i="20"/>
  <c r="C366" i="20"/>
  <c r="D398" i="20"/>
  <c r="C463" i="20"/>
  <c r="C521" i="20"/>
  <c r="AX30" i="22"/>
  <c r="BJ30" i="22"/>
  <c r="D46" i="20"/>
  <c r="D199" i="20"/>
  <c r="D268" i="20"/>
  <c r="D132" i="20"/>
  <c r="D244" i="20"/>
  <c r="D276" i="20"/>
  <c r="D445" i="20"/>
  <c r="C293" i="20"/>
  <c r="C423" i="20"/>
  <c r="AX91" i="22"/>
  <c r="BJ91" i="22"/>
  <c r="D107" i="20"/>
  <c r="AY11" i="22"/>
  <c r="BK11" i="22"/>
  <c r="E27" i="20"/>
  <c r="BA26" i="22"/>
  <c r="BM26" i="22"/>
  <c r="G42" i="20"/>
  <c r="AZ16" i="22"/>
  <c r="BL16" i="22"/>
  <c r="F32" i="20"/>
  <c r="AY26" i="22"/>
  <c r="BK26" i="22"/>
  <c r="E42" i="20"/>
  <c r="AZ30" i="22"/>
  <c r="BL30" i="22"/>
  <c r="F46" i="20"/>
  <c r="BC48" i="22"/>
  <c r="BO48" i="22"/>
  <c r="I64" i="20"/>
  <c r="BC59" i="22"/>
  <c r="BO59" i="22"/>
  <c r="I75" i="20"/>
  <c r="BB76" i="22"/>
  <c r="BN76" i="22"/>
  <c r="H92" i="20"/>
  <c r="BB87" i="22"/>
  <c r="BN87" i="22"/>
  <c r="H103" i="20"/>
  <c r="BA97" i="22"/>
  <c r="BM97" i="22"/>
  <c r="G113" i="20"/>
  <c r="AY114" i="22"/>
  <c r="BK114" i="22"/>
  <c r="E130" i="20"/>
  <c r="BA136" i="22"/>
  <c r="BM136" i="22"/>
  <c r="G152" i="20"/>
  <c r="BD157" i="22"/>
  <c r="BP157" i="22"/>
  <c r="J173" i="20"/>
  <c r="AZ27" i="22"/>
  <c r="BL27" i="22"/>
  <c r="F43" i="20"/>
  <c r="AW31" i="22"/>
  <c r="BI31" i="22"/>
  <c r="C47" i="20"/>
  <c r="AX42" i="22"/>
  <c r="BJ42" i="22"/>
  <c r="D58" i="20"/>
  <c r="AY46" i="22"/>
  <c r="BK46" i="22"/>
  <c r="E62" i="20"/>
  <c r="BA54" i="22"/>
  <c r="BM54" i="22"/>
  <c r="G70" i="20"/>
  <c r="BD64" i="22"/>
  <c r="BP64" i="22"/>
  <c r="J80" i="20"/>
  <c r="BB88" i="22"/>
  <c r="BN88" i="22"/>
  <c r="H104" i="20"/>
  <c r="BA116" i="22"/>
  <c r="BM116" i="22"/>
  <c r="G132" i="20"/>
  <c r="BB120" i="22"/>
  <c r="BN120" i="22"/>
  <c r="H136" i="20"/>
  <c r="AZ171" i="22"/>
  <c r="BL171" i="22"/>
  <c r="F187" i="20"/>
  <c r="C205" i="20"/>
  <c r="BC215" i="22"/>
  <c r="BO215" i="22"/>
  <c r="I231" i="20"/>
  <c r="D259" i="20"/>
  <c r="AZ37" i="22"/>
  <c r="BL37" i="22"/>
  <c r="F53" i="20"/>
  <c r="AY56" i="22"/>
  <c r="BK56" i="22"/>
  <c r="E72" i="20"/>
  <c r="BA98" i="22"/>
  <c r="BM98" i="22"/>
  <c r="G114" i="20"/>
  <c r="BD277" i="22"/>
  <c r="BP277" i="22"/>
  <c r="J293" i="20"/>
  <c r="BD309" i="22"/>
  <c r="BP309" i="22"/>
  <c r="J325" i="20"/>
  <c r="E287" i="20"/>
  <c r="I474" i="20"/>
  <c r="E515" i="20"/>
  <c r="BC287" i="22"/>
  <c r="BO287" i="22"/>
  <c r="I303" i="20"/>
  <c r="BE93" i="22"/>
  <c r="BQ93" i="22"/>
  <c r="K109" i="20"/>
  <c r="BE109" i="22"/>
  <c r="BQ109" i="22"/>
  <c r="K125" i="20"/>
  <c r="BD170" i="22"/>
  <c r="BP170" i="22"/>
  <c r="J186" i="20"/>
  <c r="BD234" i="22"/>
  <c r="BP234" i="22"/>
  <c r="J250" i="20"/>
  <c r="G354" i="20"/>
  <c r="E388" i="20"/>
  <c r="BE380" i="22"/>
  <c r="BQ380" i="22"/>
  <c r="K396" i="20"/>
  <c r="G396" i="20"/>
  <c r="F396" i="20"/>
  <c r="I396" i="20"/>
  <c r="H396" i="20"/>
  <c r="E396" i="20"/>
  <c r="G412" i="20"/>
  <c r="F412" i="20"/>
  <c r="E412" i="20"/>
  <c r="D432" i="20"/>
  <c r="G432" i="20"/>
  <c r="E432" i="20"/>
  <c r="J452" i="20"/>
  <c r="BE436" i="22"/>
  <c r="BQ436" i="22"/>
  <c r="K452" i="20"/>
  <c r="I452" i="20"/>
  <c r="H452" i="20"/>
  <c r="F452" i="20"/>
  <c r="G452" i="20"/>
  <c r="E452" i="20"/>
  <c r="E474" i="20"/>
  <c r="G474" i="20"/>
  <c r="D474" i="20"/>
  <c r="F474" i="20"/>
  <c r="D494" i="20"/>
  <c r="E494" i="20"/>
  <c r="G494" i="20"/>
  <c r="F494" i="20"/>
  <c r="E508" i="20"/>
  <c r="G508" i="20"/>
  <c r="F508" i="20"/>
  <c r="AZ168" i="22"/>
  <c r="BL168" i="22"/>
  <c r="F184" i="20"/>
  <c r="E184" i="20"/>
  <c r="BE198" i="22"/>
  <c r="BQ198" i="22"/>
  <c r="K214" i="20"/>
  <c r="BC198" i="22"/>
  <c r="BO198" i="22"/>
  <c r="I214" i="20"/>
  <c r="BB198" i="22"/>
  <c r="BN198" i="22"/>
  <c r="H214" i="20"/>
  <c r="BC216" i="22"/>
  <c r="BO216" i="22"/>
  <c r="I232" i="20"/>
  <c r="BD216" i="22"/>
  <c r="BP216" i="22"/>
  <c r="J232" i="20"/>
  <c r="BA242" i="22"/>
  <c r="BM242" i="22"/>
  <c r="G258" i="20"/>
  <c r="D258" i="20"/>
  <c r="BE260" i="22"/>
  <c r="BQ260" i="22"/>
  <c r="K276" i="20"/>
  <c r="BC260" i="22"/>
  <c r="BO260" i="22"/>
  <c r="I276" i="20"/>
  <c r="BB260" i="22"/>
  <c r="BN260" i="22"/>
  <c r="H276" i="20"/>
  <c r="G290" i="20"/>
  <c r="D290" i="20"/>
  <c r="D336" i="20"/>
  <c r="F336" i="20"/>
  <c r="G336" i="20"/>
  <c r="BD334" i="22"/>
  <c r="BP334" i="22"/>
  <c r="J350" i="20"/>
  <c r="BE334" i="22"/>
  <c r="BQ334" i="22"/>
  <c r="K350" i="20"/>
  <c r="BC334" i="22"/>
  <c r="BO334" i="22"/>
  <c r="I350" i="20"/>
  <c r="G350" i="20"/>
  <c r="H350" i="20"/>
  <c r="F374" i="20"/>
  <c r="G374" i="20"/>
  <c r="H400" i="20"/>
  <c r="BD384" i="22"/>
  <c r="BP384" i="22"/>
  <c r="J400" i="20"/>
  <c r="BE384" i="22"/>
  <c r="BQ384" i="22"/>
  <c r="K400" i="20"/>
  <c r="I400" i="20"/>
  <c r="BE422" i="22"/>
  <c r="BQ422" i="22"/>
  <c r="K438" i="20"/>
  <c r="G438" i="20"/>
  <c r="J438" i="20"/>
  <c r="I438" i="20"/>
  <c r="E438" i="20"/>
  <c r="H438" i="20"/>
  <c r="F438" i="20"/>
  <c r="K520" i="20"/>
  <c r="E520" i="20"/>
  <c r="D520" i="20"/>
  <c r="G520" i="20"/>
  <c r="H520" i="20"/>
  <c r="J520" i="20"/>
  <c r="F520" i="20"/>
  <c r="C374" i="20"/>
  <c r="C452" i="20"/>
  <c r="C476" i="20"/>
  <c r="C508" i="20"/>
  <c r="D404" i="20"/>
  <c r="E258" i="20"/>
  <c r="E290" i="20"/>
  <c r="BD380" i="22"/>
  <c r="BP380" i="22"/>
  <c r="J396" i="20"/>
  <c r="I520" i="20"/>
  <c r="D338" i="20"/>
  <c r="F338" i="20"/>
  <c r="G338" i="20"/>
  <c r="G370" i="20"/>
  <c r="F420" i="20"/>
  <c r="E420" i="20"/>
  <c r="F460" i="20"/>
  <c r="G460" i="20"/>
  <c r="E460" i="20"/>
  <c r="K486" i="20"/>
  <c r="E486" i="20"/>
  <c r="D486" i="20"/>
  <c r="G486" i="20"/>
  <c r="J486" i="20"/>
  <c r="H486" i="20"/>
  <c r="F486" i="20"/>
  <c r="K500" i="20"/>
  <c r="J500" i="20"/>
  <c r="H500" i="20"/>
  <c r="D522" i="20"/>
  <c r="E522" i="20"/>
  <c r="G522" i="20"/>
  <c r="F522" i="20"/>
  <c r="BC208" i="22"/>
  <c r="BO208" i="22"/>
  <c r="I224" i="20"/>
  <c r="BE208" i="22"/>
  <c r="BQ208" i="22"/>
  <c r="K224" i="20"/>
  <c r="F284" i="20"/>
  <c r="BE268" i="22"/>
  <c r="BQ268" i="22"/>
  <c r="K284" i="20"/>
  <c r="G284" i="20"/>
  <c r="BC268" i="22"/>
  <c r="BO268" i="22"/>
  <c r="I284" i="20"/>
  <c r="H368" i="20"/>
  <c r="F368" i="20"/>
  <c r="D368" i="20"/>
  <c r="BE352" i="22"/>
  <c r="BQ352" i="22"/>
  <c r="K368" i="20"/>
  <c r="G368" i="20"/>
  <c r="BC352" i="22"/>
  <c r="BO352" i="22"/>
  <c r="I368" i="20"/>
  <c r="G430" i="20"/>
  <c r="H430" i="20"/>
  <c r="BE414" i="22"/>
  <c r="BQ414" i="22"/>
  <c r="K430" i="20"/>
  <c r="I430" i="20"/>
  <c r="J430" i="20"/>
  <c r="G444" i="20"/>
  <c r="E444" i="20"/>
  <c r="K476" i="20"/>
  <c r="D476" i="20"/>
  <c r="E476" i="20"/>
  <c r="G476" i="20"/>
  <c r="J476" i="20"/>
  <c r="F476" i="20"/>
  <c r="E500" i="20"/>
  <c r="G500" i="20"/>
  <c r="D500" i="20"/>
  <c r="F500" i="20"/>
  <c r="H510" i="20"/>
  <c r="K510" i="20"/>
  <c r="J510" i="20"/>
  <c r="C258" i="20"/>
  <c r="C494" i="20"/>
  <c r="D388" i="20"/>
  <c r="BD198" i="22"/>
  <c r="BP198" i="22"/>
  <c r="J214" i="20"/>
  <c r="BD260" i="22"/>
  <c r="BP260" i="22"/>
  <c r="J276" i="20"/>
  <c r="BC306" i="22"/>
  <c r="BO306" i="22"/>
  <c r="I322" i="20"/>
  <c r="D184" i="20"/>
  <c r="BB216" i="22"/>
  <c r="BN216" i="22"/>
  <c r="H232" i="20"/>
  <c r="F290" i="20"/>
  <c r="BE306" i="22"/>
  <c r="BQ306" i="22"/>
  <c r="K322" i="20"/>
  <c r="E336" i="20"/>
  <c r="E368" i="20"/>
  <c r="F404" i="20"/>
  <c r="BD306" i="22"/>
  <c r="BP306" i="22"/>
  <c r="J322" i="20"/>
  <c r="G404" i="20"/>
  <c r="I486" i="20"/>
  <c r="I510" i="20"/>
  <c r="C184" i="20"/>
  <c r="C520" i="20"/>
  <c r="D412" i="20"/>
  <c r="BE216" i="22"/>
  <c r="BQ216" i="22"/>
  <c r="K232" i="20"/>
  <c r="BD208" i="22"/>
  <c r="BP208" i="22"/>
  <c r="J224" i="20"/>
  <c r="F258" i="20"/>
  <c r="E284" i="20"/>
  <c r="F430" i="20"/>
  <c r="D460" i="20"/>
  <c r="I476" i="20"/>
  <c r="F432" i="20"/>
  <c r="D508" i="20"/>
  <c r="AW32" i="22"/>
  <c r="BI32" i="22"/>
  <c r="C48" i="20"/>
  <c r="AW48" i="22"/>
  <c r="BI48" i="22"/>
  <c r="C64" i="20"/>
  <c r="C80" i="20"/>
  <c r="C112" i="20"/>
  <c r="C128" i="20"/>
  <c r="C160" i="20"/>
  <c r="C224" i="20"/>
  <c r="C256" i="20"/>
  <c r="C272" i="20"/>
  <c r="C288" i="20"/>
  <c r="C304" i="20"/>
  <c r="C320" i="20"/>
  <c r="C336" i="20"/>
  <c r="C368" i="20"/>
  <c r="C400" i="20"/>
  <c r="C432" i="20"/>
  <c r="C448" i="20"/>
  <c r="C387" i="20"/>
  <c r="C519" i="20"/>
  <c r="AW20" i="22"/>
  <c r="BI20" i="22"/>
  <c r="C36" i="20"/>
  <c r="AW36" i="22"/>
  <c r="BI36" i="22"/>
  <c r="C52" i="20"/>
  <c r="AW52" i="22"/>
  <c r="BI52" i="22"/>
  <c r="C68" i="20"/>
  <c r="C84" i="20"/>
  <c r="C132" i="20"/>
  <c r="C148" i="20"/>
  <c r="C244" i="20"/>
  <c r="C260" i="20"/>
  <c r="C276" i="20"/>
  <c r="C292" i="20"/>
  <c r="C308" i="20"/>
  <c r="C324" i="20"/>
  <c r="C340" i="20"/>
  <c r="C356" i="20"/>
  <c r="C372" i="20"/>
  <c r="C388" i="20"/>
  <c r="C404" i="20"/>
  <c r="C420" i="20"/>
  <c r="L16" i="23"/>
  <c r="L15" i="23"/>
  <c r="G11" i="23"/>
  <c r="L14" i="23"/>
  <c r="U12" i="23"/>
  <c r="H12" i="23"/>
  <c r="E11" i="23"/>
  <c r="D6" i="25"/>
  <c r="E5" i="21"/>
  <c r="E6" i="25"/>
  <c r="BK158" i="22"/>
  <c r="E174" i="20"/>
  <c r="G74" i="20"/>
  <c r="I74" i="20"/>
  <c r="K74" i="20"/>
  <c r="H74" i="20"/>
  <c r="D74" i="20"/>
  <c r="J74" i="20"/>
  <c r="BF8" i="22"/>
  <c r="J13" i="20"/>
  <c r="J17" i="20"/>
  <c r="F7" i="25"/>
  <c r="E12" i="23"/>
  <c r="D7" i="25"/>
  <c r="M16" i="23"/>
  <c r="M14" i="23"/>
  <c r="U13" i="23"/>
  <c r="M17" i="23"/>
  <c r="G12" i="23"/>
  <c r="M15" i="23"/>
  <c r="M13" i="23"/>
  <c r="R13" i="23"/>
  <c r="T13" i="23"/>
  <c r="H13" i="23"/>
  <c r="F8" i="25"/>
  <c r="F12" i="23"/>
  <c r="F5" i="21"/>
  <c r="N15" i="23"/>
  <c r="E13" i="23"/>
  <c r="D8" i="25"/>
  <c r="N16" i="23"/>
  <c r="G13" i="23"/>
  <c r="BR8" i="22"/>
  <c r="AW8" i="22"/>
  <c r="BD8" i="22"/>
  <c r="BA8" i="22"/>
  <c r="AZ8" i="22"/>
  <c r="BB8" i="22"/>
  <c r="BC8" i="22"/>
  <c r="AY8" i="22"/>
  <c r="AX8" i="22"/>
  <c r="BE8" i="22"/>
  <c r="I13" i="20"/>
  <c r="I17" i="20"/>
  <c r="N17" i="23"/>
  <c r="N14" i="23"/>
  <c r="R14" i="23"/>
  <c r="T14" i="23"/>
  <c r="E7" i="25"/>
  <c r="U14" i="23"/>
  <c r="F13" i="23"/>
  <c r="G5" i="21"/>
  <c r="E8" i="25"/>
  <c r="L24" i="20"/>
  <c r="CE7" i="22"/>
  <c r="A13" i="20"/>
  <c r="A17" i="20"/>
  <c r="C13" i="20"/>
  <c r="C17" i="20"/>
  <c r="G13" i="20"/>
  <c r="G17" i="20"/>
  <c r="H13" i="20"/>
  <c r="H17" i="20"/>
  <c r="B13" i="20"/>
  <c r="B17" i="20"/>
  <c r="D13" i="20"/>
  <c r="D17" i="20"/>
  <c r="E13" i="20"/>
  <c r="E17" i="20"/>
  <c r="F13" i="20"/>
  <c r="F17" i="20"/>
  <c r="BO8" i="22"/>
  <c r="BP8" i="22"/>
  <c r="BQ8" i="22"/>
  <c r="BN8" i="22"/>
  <c r="BI8" i="22"/>
  <c r="BJ8" i="22"/>
  <c r="BL8" i="22"/>
  <c r="BK8" i="22"/>
  <c r="BM8" i="22"/>
  <c r="H14" i="23"/>
  <c r="BX7" i="22"/>
  <c r="BY7" i="22"/>
  <c r="K24" i="20"/>
  <c r="CD7" i="22"/>
  <c r="D24" i="20"/>
  <c r="BW7" i="22"/>
  <c r="J24" i="20"/>
  <c r="CC7" i="22"/>
  <c r="G24" i="20"/>
  <c r="BZ7" i="22"/>
  <c r="I24" i="20"/>
  <c r="CB7" i="22"/>
  <c r="H24" i="20"/>
  <c r="CA7" i="22"/>
  <c r="BV7" i="22"/>
  <c r="F24" i="20"/>
  <c r="C24" i="20"/>
  <c r="E24" i="20"/>
  <c r="G14" i="23"/>
  <c r="O17" i="23"/>
  <c r="O16" i="23"/>
  <c r="C3" i="21"/>
  <c r="D3" i="21"/>
  <c r="E3" i="21"/>
  <c r="F3" i="21"/>
  <c r="G3" i="21"/>
  <c r="H3" i="21"/>
  <c r="I3" i="21"/>
  <c r="J3" i="21"/>
  <c r="K3" i="21"/>
  <c r="B3" i="21"/>
  <c r="C6" i="21"/>
  <c r="D6" i="21"/>
  <c r="E6" i="21"/>
  <c r="F6" i="21"/>
  <c r="G6" i="21"/>
  <c r="H6" i="21"/>
  <c r="I6" i="21"/>
  <c r="J6" i="21"/>
  <c r="K6" i="21"/>
  <c r="B6" i="21"/>
  <c r="C7" i="20"/>
  <c r="D5" i="20"/>
  <c r="E5" i="20"/>
  <c r="C5" i="20"/>
  <c r="F9" i="25"/>
  <c r="E14" i="23"/>
  <c r="D9" i="25"/>
  <c r="O15" i="23"/>
  <c r="R15" i="23"/>
  <c r="T15" i="23"/>
  <c r="H15" i="23"/>
  <c r="F10" i="25"/>
  <c r="U15" i="23"/>
  <c r="F14" i="23"/>
  <c r="H5" i="21"/>
  <c r="E9" i="25"/>
  <c r="G15" i="23"/>
  <c r="B7" i="21"/>
  <c r="D7" i="20"/>
  <c r="F5" i="20"/>
  <c r="G5" i="20"/>
  <c r="H5" i="20"/>
  <c r="I5" i="20"/>
  <c r="J5" i="20"/>
  <c r="K5" i="20"/>
  <c r="F15" i="23"/>
  <c r="E10" i="25"/>
  <c r="P16" i="23"/>
  <c r="R16" i="23"/>
  <c r="T16" i="23"/>
  <c r="E15" i="23"/>
  <c r="D10" i="25"/>
  <c r="U16" i="23"/>
  <c r="P17" i="23"/>
  <c r="I5" i="21"/>
  <c r="E7" i="20"/>
  <c r="H16" i="23"/>
  <c r="F7" i="20"/>
  <c r="F11" i="25"/>
  <c r="F16" i="23"/>
  <c r="U17" i="23"/>
  <c r="G16" i="23"/>
  <c r="Q17" i="23"/>
  <c r="R17" i="23"/>
  <c r="T17" i="23"/>
  <c r="E16" i="23"/>
  <c r="D11" i="25"/>
  <c r="G7" i="20"/>
  <c r="J5" i="21"/>
  <c r="E11" i="25"/>
  <c r="H17" i="23"/>
  <c r="H7" i="20"/>
  <c r="F12" i="25"/>
  <c r="G17" i="23"/>
  <c r="F17" i="23"/>
  <c r="E17" i="23"/>
  <c r="D12" i="25"/>
  <c r="I7" i="20"/>
  <c r="K5" i="21"/>
  <c r="E12" i="25"/>
  <c r="J7" i="20"/>
  <c r="K7" i="20"/>
  <c r="E7" i="21"/>
  <c r="D7" i="21"/>
  <c r="C7" i="21"/>
  <c r="F7" i="21"/>
  <c r="H7" i="21"/>
  <c r="G7" i="21"/>
  <c r="K7" i="21"/>
  <c r="J7" i="21"/>
  <c r="I7" i="21"/>
  <c r="B9" i="21"/>
</calcChain>
</file>

<file path=xl/comments1.xml><?xml version="1.0" encoding="utf-8"?>
<comments xmlns="http://schemas.openxmlformats.org/spreadsheetml/2006/main">
  <authors>
    <author>Emrah Ozpeynirci</author>
  </authors>
  <commentList>
    <comment ref="C10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no data available, averaged between two observed data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no data available, averaged between two observed data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no data available, averaged between two observed data</t>
        </r>
      </text>
    </comment>
    <comment ref="C16" authorId="0" shapeId="0">
      <text>
        <r>
          <rPr>
            <b/>
            <sz val="9"/>
            <color indexed="81"/>
            <rFont val="Tahoma"/>
            <family val="2"/>
          </rPr>
          <t>Emrah Ozpeynirci:</t>
        </r>
        <r>
          <rPr>
            <sz val="9"/>
            <color indexed="81"/>
            <rFont val="Tahoma"/>
            <family val="2"/>
          </rPr>
          <t xml:space="preserve">
no data available, averaged between two observed data</t>
        </r>
      </text>
    </comment>
  </commentList>
</comments>
</file>

<file path=xl/sharedStrings.xml><?xml version="1.0" encoding="utf-8"?>
<sst xmlns="http://schemas.openxmlformats.org/spreadsheetml/2006/main" count="727" uniqueCount="618">
  <si>
    <t>DF</t>
  </si>
  <si>
    <t>PROBABILITY OF DEFAULT</t>
  </si>
  <si>
    <t>dt</t>
  </si>
  <si>
    <t>MARKET</t>
  </si>
  <si>
    <t>IMPLIED</t>
  </si>
  <si>
    <t>Recovery Rate</t>
  </si>
  <si>
    <t>first term</t>
  </si>
  <si>
    <t>sum</t>
  </si>
  <si>
    <t>last term</t>
  </si>
  <si>
    <t>quotient</t>
  </si>
  <si>
    <t>Lambda</t>
  </si>
  <si>
    <t>PD</t>
  </si>
  <si>
    <t>T0</t>
  </si>
  <si>
    <t>T1</t>
  </si>
  <si>
    <t>T2</t>
  </si>
  <si>
    <t>T3</t>
  </si>
  <si>
    <t>T4</t>
  </si>
  <si>
    <t>N=</t>
  </si>
  <si>
    <t>T5</t>
  </si>
  <si>
    <t>T6</t>
  </si>
  <si>
    <t>T7</t>
  </si>
  <si>
    <t>T8</t>
  </si>
  <si>
    <t>T9</t>
  </si>
  <si>
    <t>T10</t>
  </si>
  <si>
    <t>MTM</t>
  </si>
  <si>
    <t>Exposure</t>
  </si>
  <si>
    <t>T0-T1</t>
  </si>
  <si>
    <t>T1-T2</t>
  </si>
  <si>
    <t>T2-T3</t>
  </si>
  <si>
    <t>T3-T4</t>
  </si>
  <si>
    <t>(1-R)</t>
  </si>
  <si>
    <t>CVA_PERIODO</t>
  </si>
  <si>
    <t>CVA</t>
  </si>
  <si>
    <t>T4-T5</t>
  </si>
  <si>
    <t>T5-T6</t>
  </si>
  <si>
    <t>T6-T7</t>
  </si>
  <si>
    <t>T7-T8</t>
  </si>
  <si>
    <t>T8-T9</t>
  </si>
  <si>
    <t>T9-T10</t>
  </si>
  <si>
    <t>FIX</t>
  </si>
  <si>
    <t>Average Expected Exposure</t>
  </si>
  <si>
    <t>Simulation 1</t>
  </si>
  <si>
    <t>Simulation 2</t>
  </si>
  <si>
    <t>Simulation 3</t>
  </si>
  <si>
    <t>Simulation 4</t>
  </si>
  <si>
    <t>Simulation 5</t>
  </si>
  <si>
    <t>Simulation 6</t>
  </si>
  <si>
    <t>Simulation 7</t>
  </si>
  <si>
    <t>Simulation 8</t>
  </si>
  <si>
    <t>Simulation 9</t>
  </si>
  <si>
    <t>Simulation 10</t>
  </si>
  <si>
    <t>Simulation 11</t>
  </si>
  <si>
    <t>Simulation 12</t>
  </si>
  <si>
    <t>Simulation 13</t>
  </si>
  <si>
    <t>Simulation 14</t>
  </si>
  <si>
    <t>Simulation 15</t>
  </si>
  <si>
    <t>Simulation 16</t>
  </si>
  <si>
    <t>Simulation 17</t>
  </si>
  <si>
    <t>Simulation 18</t>
  </si>
  <si>
    <t>Simulation 19</t>
  </si>
  <si>
    <t>Simulation 20</t>
  </si>
  <si>
    <t>Simulation 21</t>
  </si>
  <si>
    <t>Simulation 22</t>
  </si>
  <si>
    <t>Simulation 23</t>
  </si>
  <si>
    <t>Simulation 24</t>
  </si>
  <si>
    <t>Simulation 25</t>
  </si>
  <si>
    <t>Simulation 26</t>
  </si>
  <si>
    <t>Simulation 27</t>
  </si>
  <si>
    <t>Simulation 28</t>
  </si>
  <si>
    <t>Simulation 29</t>
  </si>
  <si>
    <t>Simulation 30</t>
  </si>
  <si>
    <t>Simulation 31</t>
  </si>
  <si>
    <t>Simulation 32</t>
  </si>
  <si>
    <t>Simulation 33</t>
  </si>
  <si>
    <t>Simulation 34</t>
  </si>
  <si>
    <t>Simulation 35</t>
  </si>
  <si>
    <t>Simulation 36</t>
  </si>
  <si>
    <t>Simulation 37</t>
  </si>
  <si>
    <t>Simulation 38</t>
  </si>
  <si>
    <t>Simulation 39</t>
  </si>
  <si>
    <t>Simulation 40</t>
  </si>
  <si>
    <t>Simulation 41</t>
  </si>
  <si>
    <t>Simulation 42</t>
  </si>
  <si>
    <t>Simulation 43</t>
  </si>
  <si>
    <t>Simulation 44</t>
  </si>
  <si>
    <t>Simulation 45</t>
  </si>
  <si>
    <t>Simulation 46</t>
  </si>
  <si>
    <t>Simulation 47</t>
  </si>
  <si>
    <t>Simulation 48</t>
  </si>
  <si>
    <t>Simulation 49</t>
  </si>
  <si>
    <t>Simulation 50</t>
  </si>
  <si>
    <t>Simulation 51</t>
  </si>
  <si>
    <t>Simulation 52</t>
  </si>
  <si>
    <t>Simulation 53</t>
  </si>
  <si>
    <t>Simulation 54</t>
  </si>
  <si>
    <t>Simulation 55</t>
  </si>
  <si>
    <t>Simulation 56</t>
  </si>
  <si>
    <t>Simulation 57</t>
  </si>
  <si>
    <t>Simulation 58</t>
  </si>
  <si>
    <t>Simulation 59</t>
  </si>
  <si>
    <t>Simulation 60</t>
  </si>
  <si>
    <t>Simulation 61</t>
  </si>
  <si>
    <t>Simulation 62</t>
  </si>
  <si>
    <t>Simulation 63</t>
  </si>
  <si>
    <t>Simulation 64</t>
  </si>
  <si>
    <t>Simulation 65</t>
  </si>
  <si>
    <t>Simulation 66</t>
  </si>
  <si>
    <t>Simulation 67</t>
  </si>
  <si>
    <t>Simulation 68</t>
  </si>
  <si>
    <t>Simulation 69</t>
  </si>
  <si>
    <t>Simulation 70</t>
  </si>
  <si>
    <t>Simulation 71</t>
  </si>
  <si>
    <t>Simulation 72</t>
  </si>
  <si>
    <t>Simulation 73</t>
  </si>
  <si>
    <t>Simulation 74</t>
  </si>
  <si>
    <t>Simulation 75</t>
  </si>
  <si>
    <t>Simulation 76</t>
  </si>
  <si>
    <t>Simulation 77</t>
  </si>
  <si>
    <t>Simulation 78</t>
  </si>
  <si>
    <t>Simulation 79</t>
  </si>
  <si>
    <t>Simulation 80</t>
  </si>
  <si>
    <t>Simulation 81</t>
  </si>
  <si>
    <t>Simulation 82</t>
  </si>
  <si>
    <t>Simulation 83</t>
  </si>
  <si>
    <t>Simulation 84</t>
  </si>
  <si>
    <t>Simulation 85</t>
  </si>
  <si>
    <t>Simulation 86</t>
  </si>
  <si>
    <t>Simulation 87</t>
  </si>
  <si>
    <t>Simulation 88</t>
  </si>
  <si>
    <t>Simulation 89</t>
  </si>
  <si>
    <t>Simulation 90</t>
  </si>
  <si>
    <t>Simulation 91</t>
  </si>
  <si>
    <t>Simulation 92</t>
  </si>
  <si>
    <t>Simulation 93</t>
  </si>
  <si>
    <t>Simulation 94</t>
  </si>
  <si>
    <t>Simulation 95</t>
  </si>
  <si>
    <t>Simulation 96</t>
  </si>
  <si>
    <t>Simulation 97</t>
  </si>
  <si>
    <t>Simulation 98</t>
  </si>
  <si>
    <t>Simulation 99</t>
  </si>
  <si>
    <t>Simulation 100</t>
  </si>
  <si>
    <t>Simulation 101</t>
  </si>
  <si>
    <t>Simulation 102</t>
  </si>
  <si>
    <t>Simulation 103</t>
  </si>
  <si>
    <t>Simulation 104</t>
  </si>
  <si>
    <t>Simulation 105</t>
  </si>
  <si>
    <t>Simulation 106</t>
  </si>
  <si>
    <t>Simulation 107</t>
  </si>
  <si>
    <t>Simulation 108</t>
  </si>
  <si>
    <t>Simulation 109</t>
  </si>
  <si>
    <t>Simulation 110</t>
  </si>
  <si>
    <t>Simulation 111</t>
  </si>
  <si>
    <t>Simulation 112</t>
  </si>
  <si>
    <t>Simulation 113</t>
  </si>
  <si>
    <t>Simulation 114</t>
  </si>
  <si>
    <t>Simulation 115</t>
  </si>
  <si>
    <t>Simulation 116</t>
  </si>
  <si>
    <t>Simulation 117</t>
  </si>
  <si>
    <t>Simulation 118</t>
  </si>
  <si>
    <t>Simulation 119</t>
  </si>
  <si>
    <t>Simulation 120</t>
  </si>
  <si>
    <t>Simulation 121</t>
  </si>
  <si>
    <t>Simulation 122</t>
  </si>
  <si>
    <t>Simulation 123</t>
  </si>
  <si>
    <t>Simulation 124</t>
  </si>
  <si>
    <t>Simulation 125</t>
  </si>
  <si>
    <t>Simulation 126</t>
  </si>
  <si>
    <t>Simulation 127</t>
  </si>
  <si>
    <t>Simulation 128</t>
  </si>
  <si>
    <t>Simulation 129</t>
  </si>
  <si>
    <t>Simulation 130</t>
  </si>
  <si>
    <t>Simulation 131</t>
  </si>
  <si>
    <t>Simulation 132</t>
  </si>
  <si>
    <t>Simulation 133</t>
  </si>
  <si>
    <t>Simulation 134</t>
  </si>
  <si>
    <t>Simulation 135</t>
  </si>
  <si>
    <t>Simulation 136</t>
  </si>
  <si>
    <t>Simulation 137</t>
  </si>
  <si>
    <t>Simulation 138</t>
  </si>
  <si>
    <t>Simulation 139</t>
  </si>
  <si>
    <t>Simulation 140</t>
  </si>
  <si>
    <t>Simulation 141</t>
  </si>
  <si>
    <t>Simulation 142</t>
  </si>
  <si>
    <t>Simulation 143</t>
  </si>
  <si>
    <t>Simulation 144</t>
  </si>
  <si>
    <t>Simulation 145</t>
  </si>
  <si>
    <t>Simulation 146</t>
  </si>
  <si>
    <t>Simulation 147</t>
  </si>
  <si>
    <t>Simulation 148</t>
  </si>
  <si>
    <t>Simulation 149</t>
  </si>
  <si>
    <t>Simulation 150</t>
  </si>
  <si>
    <t>Simulation 151</t>
  </si>
  <si>
    <t>Simulation 152</t>
  </si>
  <si>
    <t>Simulation 153</t>
  </si>
  <si>
    <t>Simulation 154</t>
  </si>
  <si>
    <t>Simulation 155</t>
  </si>
  <si>
    <t>Simulation 156</t>
  </si>
  <si>
    <t>Simulation 157</t>
  </si>
  <si>
    <t>Simulation 158</t>
  </si>
  <si>
    <t>Simulation 159</t>
  </si>
  <si>
    <t>Simulation 160</t>
  </si>
  <si>
    <t>Simulation 161</t>
  </si>
  <si>
    <t>Simulation 162</t>
  </si>
  <si>
    <t>Simulation 163</t>
  </si>
  <si>
    <t>Simulation 164</t>
  </si>
  <si>
    <t>Simulation 165</t>
  </si>
  <si>
    <t>Simulation 166</t>
  </si>
  <si>
    <t>Simulation 167</t>
  </si>
  <si>
    <t>Simulation 168</t>
  </si>
  <si>
    <t>Simulation 169</t>
  </si>
  <si>
    <t>Simulation 170</t>
  </si>
  <si>
    <t>Simulation 171</t>
  </si>
  <si>
    <t>Simulation 172</t>
  </si>
  <si>
    <t>Simulation 173</t>
  </si>
  <si>
    <t>Simulation 174</t>
  </si>
  <si>
    <t>Simulation 175</t>
  </si>
  <si>
    <t>Simulation 176</t>
  </si>
  <si>
    <t>Simulation 177</t>
  </si>
  <si>
    <t>Simulation 178</t>
  </si>
  <si>
    <t>Simulation 179</t>
  </si>
  <si>
    <t>Simulation 180</t>
  </si>
  <si>
    <t>Simulation 181</t>
  </si>
  <si>
    <t>Simulation 182</t>
  </si>
  <si>
    <t>Simulation 183</t>
  </si>
  <si>
    <t>Simulation 184</t>
  </si>
  <si>
    <t>Simulation 185</t>
  </si>
  <si>
    <t>Simulation 186</t>
  </si>
  <si>
    <t>Simulation 187</t>
  </si>
  <si>
    <t>Simulation 188</t>
  </si>
  <si>
    <t>Simulation 189</t>
  </si>
  <si>
    <t>Simulation 190</t>
  </si>
  <si>
    <t>Simulation 191</t>
  </si>
  <si>
    <t>Simulation 192</t>
  </si>
  <si>
    <t>Simulation 193</t>
  </si>
  <si>
    <t>Simulation 194</t>
  </si>
  <si>
    <t>Simulation 195</t>
  </si>
  <si>
    <t>Simulation 196</t>
  </si>
  <si>
    <t>Simulation 197</t>
  </si>
  <si>
    <t>Simulation 198</t>
  </si>
  <si>
    <t>Simulation 199</t>
  </si>
  <si>
    <t>Simulation 200</t>
  </si>
  <si>
    <t>Simulation 201</t>
  </si>
  <si>
    <t>Simulation 202</t>
  </si>
  <si>
    <t>Simulation 203</t>
  </si>
  <si>
    <t>Simulation 204</t>
  </si>
  <si>
    <t>Simulation 205</t>
  </si>
  <si>
    <t>Simulation 206</t>
  </si>
  <si>
    <t>Simulation 207</t>
  </si>
  <si>
    <t>Simulation 208</t>
  </si>
  <si>
    <t>Simulation 209</t>
  </si>
  <si>
    <t>Simulation 210</t>
  </si>
  <si>
    <t>Simulation 211</t>
  </si>
  <si>
    <t>Simulation 212</t>
  </si>
  <si>
    <t>Simulation 213</t>
  </si>
  <si>
    <t>Simulation 214</t>
  </si>
  <si>
    <t>Simulation 215</t>
  </si>
  <si>
    <t>Simulation 216</t>
  </si>
  <si>
    <t>Simulation 217</t>
  </si>
  <si>
    <t>Simulation 218</t>
  </si>
  <si>
    <t>Simulation 219</t>
  </si>
  <si>
    <t>Simulation 220</t>
  </si>
  <si>
    <t>Simulation 221</t>
  </si>
  <si>
    <t>Simulation 222</t>
  </si>
  <si>
    <t>Simulation 223</t>
  </si>
  <si>
    <t>Simulation 224</t>
  </si>
  <si>
    <t>Simulation 225</t>
  </si>
  <si>
    <t>Simulation 226</t>
  </si>
  <si>
    <t>Simulation 227</t>
  </si>
  <si>
    <t>Simulation 228</t>
  </si>
  <si>
    <t>Simulation 229</t>
  </si>
  <si>
    <t>Simulation 230</t>
  </si>
  <si>
    <t>Simulation 231</t>
  </si>
  <si>
    <t>Simulation 232</t>
  </si>
  <si>
    <t>Simulation 233</t>
  </si>
  <si>
    <t>Simulation 234</t>
  </si>
  <si>
    <t>Simulation 235</t>
  </si>
  <si>
    <t>Simulation 236</t>
  </si>
  <si>
    <t>Simulation 237</t>
  </si>
  <si>
    <t>Simulation 238</t>
  </si>
  <si>
    <t>Simulation 239</t>
  </si>
  <si>
    <t>Simulation 240</t>
  </si>
  <si>
    <t>Simulation 241</t>
  </si>
  <si>
    <t>Simulation 242</t>
  </si>
  <si>
    <t>Simulation 243</t>
  </si>
  <si>
    <t>Simulation 244</t>
  </si>
  <si>
    <t>Simulation 245</t>
  </si>
  <si>
    <t>Simulation 246</t>
  </si>
  <si>
    <t>Simulation 247</t>
  </si>
  <si>
    <t>Simulation 248</t>
  </si>
  <si>
    <t>Simulation 249</t>
  </si>
  <si>
    <t>Simulation 250</t>
  </si>
  <si>
    <t>Simulation 251</t>
  </si>
  <si>
    <t>Simulation 252</t>
  </si>
  <si>
    <t>Simulation 253</t>
  </si>
  <si>
    <t>Simulation 254</t>
  </si>
  <si>
    <t>Simulation 255</t>
  </si>
  <si>
    <t>Simulation 256</t>
  </si>
  <si>
    <t>Simulation 257</t>
  </si>
  <si>
    <t>Simulation 258</t>
  </si>
  <si>
    <t>Simulation 259</t>
  </si>
  <si>
    <t>Simulation 260</t>
  </si>
  <si>
    <t>Simulation 261</t>
  </si>
  <si>
    <t>Simulation 262</t>
  </si>
  <si>
    <t>Simulation 263</t>
  </si>
  <si>
    <t>Simulation 264</t>
  </si>
  <si>
    <t>Simulation 265</t>
  </si>
  <si>
    <t>Simulation 266</t>
  </si>
  <si>
    <t>Simulation 267</t>
  </si>
  <si>
    <t>Simulation 268</t>
  </si>
  <si>
    <t>Simulation 269</t>
  </si>
  <si>
    <t>Simulation 270</t>
  </si>
  <si>
    <t>Simulation 271</t>
  </si>
  <si>
    <t>Simulation 272</t>
  </si>
  <si>
    <t>Simulation 273</t>
  </si>
  <si>
    <t>Simulation 274</t>
  </si>
  <si>
    <t>Simulation 275</t>
  </si>
  <si>
    <t>Simulation 276</t>
  </si>
  <si>
    <t>Simulation 277</t>
  </si>
  <si>
    <t>Simulation 278</t>
  </si>
  <si>
    <t>Simulation 279</t>
  </si>
  <si>
    <t>Simulation 280</t>
  </si>
  <si>
    <t>Simulation 281</t>
  </si>
  <si>
    <t>Simulation 282</t>
  </si>
  <si>
    <t>Simulation 283</t>
  </si>
  <si>
    <t>Simulation 284</t>
  </si>
  <si>
    <t>Simulation 285</t>
  </si>
  <si>
    <t>Simulation 286</t>
  </si>
  <si>
    <t>Simulation 287</t>
  </si>
  <si>
    <t>Simulation 288</t>
  </si>
  <si>
    <t>Simulation 289</t>
  </si>
  <si>
    <t>Simulation 290</t>
  </si>
  <si>
    <t>Simulation 291</t>
  </si>
  <si>
    <t>Simulation 292</t>
  </si>
  <si>
    <t>Simulation 293</t>
  </si>
  <si>
    <t>Simulation 294</t>
  </si>
  <si>
    <t>Simulation 295</t>
  </si>
  <si>
    <t>Simulation 296</t>
  </si>
  <si>
    <t>Simulation 297</t>
  </si>
  <si>
    <t>Simulation 298</t>
  </si>
  <si>
    <t>Simulation 299</t>
  </si>
  <si>
    <t>Simulation 300</t>
  </si>
  <si>
    <t>Simulation 301</t>
  </si>
  <si>
    <t>Simulation 302</t>
  </si>
  <si>
    <t>Simulation 303</t>
  </si>
  <si>
    <t>Simulation 304</t>
  </si>
  <si>
    <t>Simulation 305</t>
  </si>
  <si>
    <t>Simulation 306</t>
  </si>
  <si>
    <t>Simulation 307</t>
  </si>
  <si>
    <t>Simulation 308</t>
  </si>
  <si>
    <t>Simulation 309</t>
  </si>
  <si>
    <t>Simulation 310</t>
  </si>
  <si>
    <t>Simulation 311</t>
  </si>
  <si>
    <t>Simulation 312</t>
  </si>
  <si>
    <t>Simulation 313</t>
  </si>
  <si>
    <t>Simulation 314</t>
  </si>
  <si>
    <t>Simulation 315</t>
  </si>
  <si>
    <t>Simulation 316</t>
  </si>
  <si>
    <t>Simulation 317</t>
  </si>
  <si>
    <t>Simulation 318</t>
  </si>
  <si>
    <t>Simulation 319</t>
  </si>
  <si>
    <t>Simulation 320</t>
  </si>
  <si>
    <t>Simulation 321</t>
  </si>
  <si>
    <t>Simulation 322</t>
  </si>
  <si>
    <t>Simulation 323</t>
  </si>
  <si>
    <t>Simulation 324</t>
  </si>
  <si>
    <t>Simulation 325</t>
  </si>
  <si>
    <t>Simulation 326</t>
  </si>
  <si>
    <t>Simulation 327</t>
  </si>
  <si>
    <t>Simulation 328</t>
  </si>
  <si>
    <t>Simulation 329</t>
  </si>
  <si>
    <t>Simulation 330</t>
  </si>
  <si>
    <t>Simulation 331</t>
  </si>
  <si>
    <t>Simulation 332</t>
  </si>
  <si>
    <t>Simulation 333</t>
  </si>
  <si>
    <t>Simulation 334</t>
  </si>
  <si>
    <t>Simulation 335</t>
  </si>
  <si>
    <t>Simulation 336</t>
  </si>
  <si>
    <t>Simulation 337</t>
  </si>
  <si>
    <t>Simulation 338</t>
  </si>
  <si>
    <t>Simulation 339</t>
  </si>
  <si>
    <t>Simulation 340</t>
  </si>
  <si>
    <t>Simulation 341</t>
  </si>
  <si>
    <t>Simulation 342</t>
  </si>
  <si>
    <t>Simulation 343</t>
  </si>
  <si>
    <t>Simulation 344</t>
  </si>
  <si>
    <t>Simulation 345</t>
  </si>
  <si>
    <t>Simulation 346</t>
  </si>
  <si>
    <t>Simulation 347</t>
  </si>
  <si>
    <t>Simulation 348</t>
  </si>
  <si>
    <t>Simulation 349</t>
  </si>
  <si>
    <t>Simulation 350</t>
  </si>
  <si>
    <t>Simulation 351</t>
  </si>
  <si>
    <t>Simulation 352</t>
  </si>
  <si>
    <t>Simulation 353</t>
  </si>
  <si>
    <t>Simulation 354</t>
  </si>
  <si>
    <t>Simulation 355</t>
  </si>
  <si>
    <t>Simulation 356</t>
  </si>
  <si>
    <t>Simulation 357</t>
  </si>
  <si>
    <t>Simulation 358</t>
  </si>
  <si>
    <t>Simulation 359</t>
  </si>
  <si>
    <t>Simulation 360</t>
  </si>
  <si>
    <t>Simulation 361</t>
  </si>
  <si>
    <t>Simulation 362</t>
  </si>
  <si>
    <t>Simulation 363</t>
  </si>
  <si>
    <t>Simulation 364</t>
  </si>
  <si>
    <t>Simulation 365</t>
  </si>
  <si>
    <t>Simulation 366</t>
  </si>
  <si>
    <t>Simulation 367</t>
  </si>
  <si>
    <t>Simulation 368</t>
  </si>
  <si>
    <t>Simulation 369</t>
  </si>
  <si>
    <t>Simulation 370</t>
  </si>
  <si>
    <t>Simulation 371</t>
  </si>
  <si>
    <t>Simulation 372</t>
  </si>
  <si>
    <t>Simulation 373</t>
  </si>
  <si>
    <t>Simulation 374</t>
  </si>
  <si>
    <t>Simulation 375</t>
  </si>
  <si>
    <t>Simulation 376</t>
  </si>
  <si>
    <t>Simulation 377</t>
  </si>
  <si>
    <t>Simulation 378</t>
  </si>
  <si>
    <t>Simulation 379</t>
  </si>
  <si>
    <t>Simulation 380</t>
  </si>
  <si>
    <t>Simulation 381</t>
  </si>
  <si>
    <t>Simulation 382</t>
  </si>
  <si>
    <t>Simulation 383</t>
  </si>
  <si>
    <t>Simulation 384</t>
  </si>
  <si>
    <t>Simulation 385</t>
  </si>
  <si>
    <t>Simulation 386</t>
  </si>
  <si>
    <t>Simulation 387</t>
  </si>
  <si>
    <t>Simulation 388</t>
  </si>
  <si>
    <t>Simulation 389</t>
  </si>
  <si>
    <t>Simulation 390</t>
  </si>
  <si>
    <t>Simulation 391</t>
  </si>
  <si>
    <t>Simulation 392</t>
  </si>
  <si>
    <t>Simulation 393</t>
  </si>
  <si>
    <t>Simulation 394</t>
  </si>
  <si>
    <t>Simulation 395</t>
  </si>
  <si>
    <t>Simulation 396</t>
  </si>
  <si>
    <t>Simulation 397</t>
  </si>
  <si>
    <t>Simulation 398</t>
  </si>
  <si>
    <t>Simulation 399</t>
  </si>
  <si>
    <t>Simulation 400</t>
  </si>
  <si>
    <t>Simulation 401</t>
  </si>
  <si>
    <t>Simulation 402</t>
  </si>
  <si>
    <t>Simulation 403</t>
  </si>
  <si>
    <t>Simulation 404</t>
  </si>
  <si>
    <t>Simulation 405</t>
  </si>
  <si>
    <t>Simulation 406</t>
  </si>
  <si>
    <t>Simulation 407</t>
  </si>
  <si>
    <t>Simulation 408</t>
  </si>
  <si>
    <t>Simulation 409</t>
  </si>
  <si>
    <t>Simulation 410</t>
  </si>
  <si>
    <t>Simulation 411</t>
  </si>
  <si>
    <t>Simulation 412</t>
  </si>
  <si>
    <t>Simulation 413</t>
  </si>
  <si>
    <t>Simulation 414</t>
  </si>
  <si>
    <t>Simulation 415</t>
  </si>
  <si>
    <t>Simulation 416</t>
  </si>
  <si>
    <t>Simulation 417</t>
  </si>
  <si>
    <t>Simulation 418</t>
  </si>
  <si>
    <t>Simulation 419</t>
  </si>
  <si>
    <t>Simulation 420</t>
  </si>
  <si>
    <t>Simulation 421</t>
  </si>
  <si>
    <t>Simulation 422</t>
  </si>
  <si>
    <t>Simulation 423</t>
  </si>
  <si>
    <t>Simulation 424</t>
  </si>
  <si>
    <t>Simulation 425</t>
  </si>
  <si>
    <t>Simulation 426</t>
  </si>
  <si>
    <t>Simulation 427</t>
  </si>
  <si>
    <t>Simulation 428</t>
  </si>
  <si>
    <t>Simulation 429</t>
  </si>
  <si>
    <t>Simulation 430</t>
  </si>
  <si>
    <t>Simulation 431</t>
  </si>
  <si>
    <t>Simulation 432</t>
  </si>
  <si>
    <t>Simulation 433</t>
  </si>
  <si>
    <t>Simulation 434</t>
  </si>
  <si>
    <t>Simulation 435</t>
  </si>
  <si>
    <t>Simulation 436</t>
  </si>
  <si>
    <t>Simulation 437</t>
  </si>
  <si>
    <t>Simulation 438</t>
  </si>
  <si>
    <t>Simulation 439</t>
  </si>
  <si>
    <t>Simulation 440</t>
  </si>
  <si>
    <t>Simulation 441</t>
  </si>
  <si>
    <t>Simulation 442</t>
  </si>
  <si>
    <t>Simulation 443</t>
  </si>
  <si>
    <t>Simulation 444</t>
  </si>
  <si>
    <t>Simulation 445</t>
  </si>
  <si>
    <t>Simulation 446</t>
  </si>
  <si>
    <t>Simulation 447</t>
  </si>
  <si>
    <t>Simulation 448</t>
  </si>
  <si>
    <t>Simulation 449</t>
  </si>
  <si>
    <t>Simulation 450</t>
  </si>
  <si>
    <t>Simulation 451</t>
  </si>
  <si>
    <t>Simulation 452</t>
  </si>
  <si>
    <t>Simulation 453</t>
  </si>
  <si>
    <t>Simulation 454</t>
  </si>
  <si>
    <t>Simulation 455</t>
  </si>
  <si>
    <t>Simulation 456</t>
  </si>
  <si>
    <t>Simulation 457</t>
  </si>
  <si>
    <t>Simulation 458</t>
  </si>
  <si>
    <t>Simulation 459</t>
  </si>
  <si>
    <t>Simulation 460</t>
  </si>
  <si>
    <t>Simulation 461</t>
  </si>
  <si>
    <t>Simulation 462</t>
  </si>
  <si>
    <t>Simulation 463</t>
  </si>
  <si>
    <t>Simulation 464</t>
  </si>
  <si>
    <t>Simulation 465</t>
  </si>
  <si>
    <t>Simulation 466</t>
  </si>
  <si>
    <t>Simulation 467</t>
  </si>
  <si>
    <t>Simulation 468</t>
  </si>
  <si>
    <t>Simulation 469</t>
  </si>
  <si>
    <t>Simulation 470</t>
  </si>
  <si>
    <t>Simulation 471</t>
  </si>
  <si>
    <t>Simulation 472</t>
  </si>
  <si>
    <t>Simulation 473</t>
  </si>
  <si>
    <t>Simulation 474</t>
  </si>
  <si>
    <t>Simulation 475</t>
  </si>
  <si>
    <t>Simulation 476</t>
  </si>
  <si>
    <t>Simulation 477</t>
  </si>
  <si>
    <t>Simulation 478</t>
  </si>
  <si>
    <t>Simulation 479</t>
  </si>
  <si>
    <t>Simulation 480</t>
  </si>
  <si>
    <t>Simulation 481</t>
  </si>
  <si>
    <t>Simulation 482</t>
  </si>
  <si>
    <t>Simulation 483</t>
  </si>
  <si>
    <t>Simulation 484</t>
  </si>
  <si>
    <t>Simulation 485</t>
  </si>
  <si>
    <t>Simulation 486</t>
  </si>
  <si>
    <t>Simulation 487</t>
  </si>
  <si>
    <t>Simulation 488</t>
  </si>
  <si>
    <t>Simulation 489</t>
  </si>
  <si>
    <t>Simulation 490</t>
  </si>
  <si>
    <t>Simulation 491</t>
  </si>
  <si>
    <t>Simulation 492</t>
  </si>
  <si>
    <t>Simulation 493</t>
  </si>
  <si>
    <t>Simulation 494</t>
  </si>
  <si>
    <t>Simulation 495</t>
  </si>
  <si>
    <t>Simulation 496</t>
  </si>
  <si>
    <t>Simulation 497</t>
  </si>
  <si>
    <t>Simulation 498</t>
  </si>
  <si>
    <t>Simulation 499</t>
  </si>
  <si>
    <t>Simulation 500</t>
  </si>
  <si>
    <t>Simulation 501</t>
  </si>
  <si>
    <t>Tenor</t>
  </si>
  <si>
    <t>parameters</t>
  </si>
  <si>
    <t>IRS Fix Leg</t>
  </si>
  <si>
    <t>N</t>
  </si>
  <si>
    <t>Forward Rates</t>
  </si>
  <si>
    <t>PAYMENTS</t>
  </si>
  <si>
    <t>CVA Computation</t>
  </si>
  <si>
    <t>SWAP MARK-TO-MARKET EVOLUTION</t>
  </si>
  <si>
    <t>This part of the sheet hs been taken from the HJM Model updated according to the BOE Bank Liability Curve</t>
  </si>
  <si>
    <t>Discount Rates</t>
  </si>
  <si>
    <t>Deutsche Bank</t>
  </si>
  <si>
    <t xml:space="preserve">Time </t>
  </si>
  <si>
    <t>PERIOD DEFAULT PROB</t>
  </si>
  <si>
    <t>CUM DEFAULT PROB</t>
  </si>
  <si>
    <t>CUM SURVIVAL PROB</t>
  </si>
  <si>
    <t>Step</t>
  </si>
  <si>
    <t>Level</t>
  </si>
  <si>
    <t>Discount</t>
  </si>
  <si>
    <t>HAZARD RATES</t>
  </si>
  <si>
    <t>P(t-1)-P(t)</t>
  </si>
  <si>
    <t>1-P(t)</t>
  </si>
  <si>
    <t>P(t)</t>
  </si>
  <si>
    <t>TIME ( in Years)</t>
  </si>
  <si>
    <t>CDS</t>
  </si>
  <si>
    <t>Factors</t>
  </si>
  <si>
    <t>PD_cum</t>
  </si>
  <si>
    <t>P_cum</t>
  </si>
  <si>
    <t>1st term</t>
  </si>
  <si>
    <t>2nd term</t>
  </si>
  <si>
    <t>3rd term</t>
  </si>
  <si>
    <t>4th term</t>
  </si>
  <si>
    <t>5th term</t>
  </si>
  <si>
    <t>6th term</t>
  </si>
  <si>
    <t>7th term</t>
  </si>
  <si>
    <t>8th term</t>
  </si>
  <si>
    <t>9th term</t>
  </si>
  <si>
    <t>Counterparty B</t>
  </si>
  <si>
    <t>T1 - T2</t>
  </si>
  <si>
    <t>T2 -T3</t>
  </si>
  <si>
    <t>T3 - T4</t>
  </si>
  <si>
    <t>T4 - T5</t>
  </si>
  <si>
    <t>T5 - T6</t>
  </si>
  <si>
    <t>T6 - T7</t>
  </si>
  <si>
    <t>Expected Exposure</t>
  </si>
  <si>
    <t>Expected EXPOSURE</t>
  </si>
  <si>
    <t>Median</t>
  </si>
  <si>
    <r>
      <rPr>
        <b/>
        <sz val="9"/>
        <rFont val="Calibri"/>
        <family val="2"/>
        <scheme val="minor"/>
      </rPr>
      <t>Option 2.</t>
    </r>
    <r>
      <rPr>
        <sz val="9"/>
        <rFont val="Calibri"/>
        <family val="2"/>
        <scheme val="minor"/>
      </rPr>
      <t xml:space="preserve"> Using HJM output (simualted)</t>
    </r>
  </si>
  <si>
    <t>tau --&gt;   0.5</t>
  </si>
  <si>
    <t>Forward L(T, T+)</t>
  </si>
  <si>
    <t>L_6M today</t>
  </si>
  <si>
    <t>t=T_i</t>
  </si>
  <si>
    <t>fix, not simulated</t>
  </si>
  <si>
    <t>Z(0, T+) implied</t>
  </si>
  <si>
    <t>t=0</t>
  </si>
  <si>
    <t>t=0.5Y</t>
  </si>
  <si>
    <t>…</t>
  </si>
  <si>
    <t>t=1Y</t>
  </si>
  <si>
    <t>t=1.5Y</t>
  </si>
  <si>
    <t>t=2Y</t>
  </si>
  <si>
    <t>t=2.5Y</t>
  </si>
  <si>
    <t>t=3Y</t>
  </si>
  <si>
    <t>t=3.5Y</t>
  </si>
  <si>
    <t>t=4Y</t>
  </si>
  <si>
    <t>t=4.5Y</t>
  </si>
  <si>
    <t>t=5Y</t>
  </si>
  <si>
    <t>Interest Rate Swap</t>
  </si>
  <si>
    <t>Fixed Leg, K</t>
  </si>
  <si>
    <t>Notional</t>
  </si>
  <si>
    <t>Delta T</t>
  </si>
  <si>
    <t>Simulated Payoffs and MtMs (Exposure) at each valuation time</t>
  </si>
  <si>
    <t>Tenor, tau --&gt;</t>
  </si>
  <si>
    <t>MtM(t)</t>
  </si>
  <si>
    <t>Positive Exposure(t)</t>
  </si>
  <si>
    <t>Simulated Payoffs and MtMs (Exposure) at each valuation time -- DF computed from separate simulated rows</t>
  </si>
  <si>
    <t>DF for MtM</t>
  </si>
  <si>
    <t>Z(0, T+) curve-wise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</si>
</sst>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3" formatCode="_-* #,##0.00_-;\-* #,##0.00_-;_-* &quot;-&quot;??_-;_-@_-"/>
    <numFmt numFmtId="164" formatCode="_-&quot;€&quot;\ * #,##0.00_-;\-&quot;€&quot;\ * #,##0.00_-;_-&quot;€&quot;\ * &quot;-&quot;??_-;_-@_-"/>
    <numFmt numFmtId="165" formatCode="0.0000"/>
    <numFmt numFmtId="166" formatCode="_-* #,##0.0000_-;\-* #,##0.0000_-;_-* &quot;-&quot;??_-;_-@_-"/>
    <numFmt numFmtId="167" formatCode="_-* #,##0.00000_-;\-* #,##0.00000_-;_-* &quot;-&quot;??_-;_-@_-"/>
    <numFmt numFmtId="168" formatCode="_-[$$-409]* #,##0.00_ ;_-[$$-409]* \-#,##0.00\ ;_-[$$-409]* &quot;-&quot;??_ ;_-@_ "/>
    <numFmt numFmtId="169" formatCode="0.0"/>
    <numFmt numFmtId="170" formatCode="_-[$$-409]* #,##0_ ;_-[$$-409]* \-#,##0\ ;_-[$$-409]* &quot;-&quot;??_ ;_-@_ "/>
    <numFmt numFmtId="171" formatCode="0.0000000000%"/>
    <numFmt numFmtId="172" formatCode="_-* #,##0.000000_-;\-* #,##0.000000_-;_-* &quot;-&quot;??_-;_-@_-"/>
    <numFmt numFmtId="173" formatCode="_-* #,##0_-;\-* #,##0_-;_-* &quot;-&quot;??_-;_-@_-"/>
    <numFmt numFmtId="174" formatCode="0.0000%"/>
    <numFmt numFmtId="175" formatCode="0.00000"/>
    <numFmt numFmtId="176" formatCode="0.00000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0"/>
      <name val="Calibri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</font>
    <font>
      <b/>
      <i/>
      <sz val="10"/>
      <name val="Calibri"/>
      <family val="2"/>
      <scheme val="minor"/>
    </font>
    <font>
      <b/>
      <sz val="14"/>
      <name val="Calibri"/>
      <family val="2"/>
      <scheme val="minor"/>
    </font>
    <font>
      <i/>
      <sz val="10"/>
      <name val="Calibri"/>
      <family val="2"/>
      <scheme val="minor"/>
    </font>
    <font>
      <sz val="10"/>
      <color rgb="FFFF0000"/>
      <name val="Arial"/>
      <family val="2"/>
    </font>
    <font>
      <sz val="11"/>
      <color rgb="FF3F3F76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BFBFBF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b/>
      <strike/>
      <sz val="10"/>
      <name val="Calibri"/>
      <family val="2"/>
      <scheme val="minor"/>
    </font>
    <font>
      <strike/>
      <sz val="9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  <font>
      <b/>
      <u/>
      <sz val="9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000000"/>
      <name val="Arial"/>
      <family val="2"/>
    </font>
    <font>
      <sz val="9"/>
      <color rgb="FF00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7">
    <xf numFmtId="0" fontId="0" fillId="0" borderId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6" fillId="5" borderId="8" applyNumberFormat="0" applyAlignment="0" applyProtection="0"/>
    <xf numFmtId="0" fontId="2" fillId="0" borderId="0"/>
    <xf numFmtId="0" fontId="1" fillId="0" borderId="0"/>
  </cellStyleXfs>
  <cellXfs count="149">
    <xf numFmtId="0" fontId="0" fillId="0" borderId="0" xfId="0"/>
    <xf numFmtId="165" fontId="6" fillId="3" borderId="3" xfId="0" applyNumberFormat="1" applyFont="1" applyFill="1" applyBorder="1"/>
    <xf numFmtId="0" fontId="2" fillId="0" borderId="0" xfId="0" applyFont="1"/>
    <xf numFmtId="0" fontId="2" fillId="0" borderId="3" xfId="0" applyFont="1" applyFill="1" applyBorder="1"/>
    <xf numFmtId="0" fontId="4" fillId="0" borderId="0" xfId="0" applyFont="1" applyFill="1"/>
    <xf numFmtId="9" fontId="10" fillId="0" borderId="3" xfId="0" applyNumberFormat="1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168" fontId="10" fillId="0" borderId="3" xfId="3" applyNumberFormat="1" applyFont="1" applyFill="1" applyBorder="1" applyAlignment="1">
      <alignment horizontal="center" vertical="center"/>
    </xf>
    <xf numFmtId="10" fontId="10" fillId="0" borderId="3" xfId="3" applyNumberFormat="1" applyFont="1" applyFill="1" applyBorder="1" applyAlignment="1">
      <alignment horizontal="center" vertical="center"/>
    </xf>
    <xf numFmtId="166" fontId="10" fillId="0" borderId="3" xfId="1" applyNumberFormat="1" applyFont="1" applyFill="1" applyBorder="1" applyAlignment="1">
      <alignment horizontal="center" vertical="center"/>
    </xf>
    <xf numFmtId="43" fontId="10" fillId="0" borderId="3" xfId="1" applyNumberFormat="1" applyFont="1" applyFill="1" applyBorder="1" applyAlignment="1">
      <alignment horizontal="center" vertical="center"/>
    </xf>
    <xf numFmtId="0" fontId="4" fillId="0" borderId="3" xfId="0" applyFont="1" applyFill="1" applyBorder="1"/>
    <xf numFmtId="0" fontId="11" fillId="0" borderId="3" xfId="0" applyFont="1" applyFill="1" applyBorder="1" applyAlignment="1">
      <alignment horizontal="center" vertical="center"/>
    </xf>
    <xf numFmtId="0" fontId="11" fillId="0" borderId="3" xfId="0" applyFont="1" applyFill="1" applyBorder="1"/>
    <xf numFmtId="168" fontId="7" fillId="0" borderId="3" xfId="0" applyNumberFormat="1" applyFont="1" applyFill="1" applyBorder="1" applyAlignment="1">
      <alignment horizontal="center" vertical="center"/>
    </xf>
    <xf numFmtId="166" fontId="7" fillId="0" borderId="3" xfId="1" applyNumberFormat="1" applyFont="1" applyFill="1" applyBorder="1" applyAlignment="1">
      <alignment horizontal="center" vertical="center"/>
    </xf>
    <xf numFmtId="10" fontId="7" fillId="0" borderId="3" xfId="3" applyNumberFormat="1" applyFont="1" applyFill="1" applyBorder="1" applyAlignment="1">
      <alignment horizontal="center" vertical="center"/>
    </xf>
    <xf numFmtId="9" fontId="7" fillId="0" borderId="3" xfId="3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9" fontId="7" fillId="0" borderId="3" xfId="0" applyNumberFormat="1" applyFont="1" applyFill="1" applyBorder="1" applyAlignment="1">
      <alignment horizontal="center" vertical="center"/>
    </xf>
    <xf numFmtId="168" fontId="7" fillId="0" borderId="3" xfId="2" applyNumberFormat="1" applyFont="1" applyFill="1" applyBorder="1" applyAlignment="1">
      <alignment horizontal="center" vertical="center"/>
    </xf>
    <xf numFmtId="169" fontId="9" fillId="2" borderId="0" xfId="0" applyNumberFormat="1" applyFont="1" applyFill="1" applyAlignment="1">
      <alignment horizontal="center"/>
    </xf>
    <xf numFmtId="170" fontId="0" fillId="0" borderId="0" xfId="2" applyNumberFormat="1" applyFont="1"/>
    <xf numFmtId="10" fontId="6" fillId="3" borderId="2" xfId="3" applyNumberFormat="1" applyFont="1" applyFill="1" applyBorder="1"/>
    <xf numFmtId="170" fontId="0" fillId="0" borderId="0" xfId="0" applyNumberFormat="1"/>
    <xf numFmtId="0" fontId="12" fillId="4" borderId="0" xfId="0" applyFont="1" applyFill="1" applyAlignment="1">
      <alignment horizontal="center"/>
    </xf>
    <xf numFmtId="2" fontId="12" fillId="4" borderId="0" xfId="0" applyNumberFormat="1" applyFont="1" applyFill="1" applyAlignment="1">
      <alignment horizontal="center"/>
    </xf>
    <xf numFmtId="169" fontId="12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10" fontId="14" fillId="4" borderId="0" xfId="3" applyNumberFormat="1" applyFont="1" applyFill="1" applyAlignment="1">
      <alignment horizontal="center"/>
    </xf>
    <xf numFmtId="10" fontId="12" fillId="4" borderId="0" xfId="3" applyNumberFormat="1" applyFont="1" applyFill="1" applyAlignment="1">
      <alignment horizontal="center"/>
    </xf>
    <xf numFmtId="0" fontId="15" fillId="0" borderId="0" xfId="0" applyFont="1"/>
    <xf numFmtId="0" fontId="17" fillId="6" borderId="0" xfId="5" applyFont="1" applyFill="1" applyBorder="1" applyAlignment="1">
      <alignment horizontal="left"/>
    </xf>
    <xf numFmtId="0" fontId="7" fillId="0" borderId="0" xfId="5" applyFont="1"/>
    <xf numFmtId="0" fontId="7" fillId="0" borderId="0" xfId="5" applyFont="1" applyFill="1"/>
    <xf numFmtId="0" fontId="8" fillId="0" borderId="0" xfId="5" applyFont="1" applyFill="1" applyBorder="1" applyAlignment="1">
      <alignment horizontal="center"/>
    </xf>
    <xf numFmtId="9" fontId="18" fillId="6" borderId="0" xfId="4" applyNumberFormat="1" applyFont="1" applyFill="1" applyBorder="1" applyAlignment="1">
      <alignment horizontal="center"/>
    </xf>
    <xf numFmtId="0" fontId="13" fillId="0" borderId="0" xfId="5" applyFont="1"/>
    <xf numFmtId="0" fontId="18" fillId="6" borderId="0" xfId="5" applyFont="1" applyFill="1" applyBorder="1" applyAlignment="1">
      <alignment horizontal="center" vertical="center"/>
    </xf>
    <xf numFmtId="0" fontId="7" fillId="0" borderId="0" xfId="5" applyFont="1" applyBorder="1" applyAlignment="1">
      <alignment horizontal="center" vertical="center"/>
    </xf>
    <xf numFmtId="0" fontId="7" fillId="0" borderId="0" xfId="5" applyFont="1" applyFill="1" applyBorder="1" applyAlignment="1">
      <alignment horizontal="center" vertical="center"/>
    </xf>
    <xf numFmtId="0" fontId="7" fillId="0" borderId="0" xfId="5" applyFont="1" applyFill="1" applyBorder="1"/>
    <xf numFmtId="0" fontId="19" fillId="0" borderId="0" xfId="5" applyFont="1" applyAlignment="1">
      <alignment horizontal="left"/>
    </xf>
    <xf numFmtId="0" fontId="20" fillId="0" borderId="0" xfId="6" applyFont="1" applyFill="1" applyAlignment="1">
      <alignment wrapText="1"/>
    </xf>
    <xf numFmtId="10" fontId="0" fillId="0" borderId="0" xfId="0" applyNumberFormat="1"/>
    <xf numFmtId="168" fontId="8" fillId="8" borderId="3" xfId="0" applyNumberFormat="1" applyFont="1" applyFill="1" applyBorder="1" applyAlignment="1">
      <alignment horizontal="center" vertical="center"/>
    </xf>
    <xf numFmtId="168" fontId="8" fillId="8" borderId="3" xfId="2" applyNumberFormat="1" applyFont="1" applyFill="1" applyBorder="1"/>
    <xf numFmtId="1" fontId="4" fillId="0" borderId="0" xfId="0" applyNumberFormat="1" applyFont="1" applyFill="1"/>
    <xf numFmtId="170" fontId="11" fillId="0" borderId="3" xfId="0" applyNumberFormat="1" applyFont="1" applyFill="1" applyBorder="1"/>
    <xf numFmtId="170" fontId="10" fillId="0" borderId="3" xfId="3" applyNumberFormat="1" applyFont="1" applyFill="1" applyBorder="1" applyAlignment="1">
      <alignment horizontal="center" vertical="center"/>
    </xf>
    <xf numFmtId="10" fontId="23" fillId="10" borderId="3" xfId="3" applyNumberFormat="1" applyFont="1" applyFill="1" applyBorder="1" applyAlignment="1">
      <alignment horizontal="center" vertical="center"/>
    </xf>
    <xf numFmtId="165" fontId="6" fillId="11" borderId="3" xfId="0" applyNumberFormat="1" applyFont="1" applyFill="1" applyBorder="1"/>
    <xf numFmtId="165" fontId="6" fillId="12" borderId="3" xfId="0" applyNumberFormat="1" applyFont="1" applyFill="1" applyBorder="1"/>
    <xf numFmtId="165" fontId="6" fillId="13" borderId="3" xfId="0" applyNumberFormat="1" applyFont="1" applyFill="1" applyBorder="1"/>
    <xf numFmtId="165" fontId="6" fillId="14" borderId="3" xfId="0" applyNumberFormat="1" applyFont="1" applyFill="1" applyBorder="1"/>
    <xf numFmtId="165" fontId="6" fillId="15" borderId="3" xfId="0" applyNumberFormat="1" applyFont="1" applyFill="1" applyBorder="1"/>
    <xf numFmtId="165" fontId="6" fillId="16" borderId="3" xfId="0" applyNumberFormat="1" applyFont="1" applyFill="1" applyBorder="1"/>
    <xf numFmtId="165" fontId="6" fillId="17" borderId="3" xfId="0" applyNumberFormat="1" applyFont="1" applyFill="1" applyBorder="1"/>
    <xf numFmtId="165" fontId="6" fillId="7" borderId="3" xfId="0" applyNumberFormat="1" applyFont="1" applyFill="1" applyBorder="1"/>
    <xf numFmtId="165" fontId="6" fillId="18" borderId="3" xfId="0" applyNumberFormat="1" applyFont="1" applyFill="1" applyBorder="1"/>
    <xf numFmtId="165" fontId="6" fillId="19" borderId="3" xfId="0" applyNumberFormat="1" applyFont="1" applyFill="1" applyBorder="1"/>
    <xf numFmtId="165" fontId="6" fillId="20" borderId="3" xfId="0" applyNumberFormat="1" applyFont="1" applyFill="1" applyBorder="1"/>
    <xf numFmtId="165" fontId="6" fillId="9" borderId="3" xfId="0" applyNumberFormat="1" applyFont="1" applyFill="1" applyBorder="1"/>
    <xf numFmtId="165" fontId="6" fillId="4" borderId="3" xfId="0" applyNumberFormat="1" applyFont="1" applyFill="1" applyBorder="1"/>
    <xf numFmtId="165" fontId="6" fillId="8" borderId="3" xfId="0" applyNumberFormat="1" applyFont="1" applyFill="1" applyBorder="1"/>
    <xf numFmtId="165" fontId="6" fillId="21" borderId="3" xfId="0" applyNumberFormat="1" applyFont="1" applyFill="1" applyBorder="1"/>
    <xf numFmtId="165" fontId="6" fillId="22" borderId="3" xfId="0" applyNumberFormat="1" applyFont="1" applyFill="1" applyBorder="1"/>
    <xf numFmtId="165" fontId="6" fillId="23" borderId="3" xfId="0" applyNumberFormat="1" applyFont="1" applyFill="1" applyBorder="1"/>
    <xf numFmtId="9" fontId="10" fillId="0" borderId="0" xfId="0" applyNumberFormat="1" applyFont="1" applyFill="1" applyBorder="1" applyAlignment="1">
      <alignment horizontal="center" vertical="center"/>
    </xf>
    <xf numFmtId="173" fontId="0" fillId="0" borderId="0" xfId="1" applyNumberFormat="1" applyFont="1" applyBorder="1"/>
    <xf numFmtId="0" fontId="24" fillId="0" borderId="0" xfId="0" applyFont="1" applyFill="1"/>
    <xf numFmtId="169" fontId="9" fillId="2" borderId="0" xfId="0" applyNumberFormat="1" applyFont="1" applyFill="1" applyBorder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Fill="1" applyBorder="1" applyAlignment="1">
      <alignment horizontal="right"/>
    </xf>
    <xf numFmtId="0" fontId="25" fillId="0" borderId="0" xfId="0" applyFont="1" applyFill="1" applyBorder="1" applyAlignment="1">
      <alignment horizontal="right"/>
    </xf>
    <xf numFmtId="0" fontId="24" fillId="0" borderId="0" xfId="0" applyFont="1" applyBorder="1" applyAlignment="1">
      <alignment horizontal="right"/>
    </xf>
    <xf numFmtId="0" fontId="24" fillId="0" borderId="0" xfId="0" applyFont="1"/>
    <xf numFmtId="174" fontId="9" fillId="24" borderId="0" xfId="3" applyNumberFormat="1" applyFont="1" applyFill="1" applyBorder="1"/>
    <xf numFmtId="174" fontId="26" fillId="24" borderId="0" xfId="3" applyNumberFormat="1" applyFont="1" applyFill="1" applyBorder="1"/>
    <xf numFmtId="10" fontId="14" fillId="25" borderId="0" xfId="3" applyNumberFormat="1" applyFont="1" applyFill="1" applyAlignment="1">
      <alignment horizontal="center"/>
    </xf>
    <xf numFmtId="0" fontId="24" fillId="0" borderId="0" xfId="0" applyFont="1" applyAlignment="1">
      <alignment horizontal="right"/>
    </xf>
    <xf numFmtId="165" fontId="24" fillId="0" borderId="0" xfId="3" applyNumberFormat="1" applyFont="1" applyBorder="1"/>
    <xf numFmtId="165" fontId="27" fillId="0" borderId="0" xfId="3" applyNumberFormat="1" applyFont="1" applyBorder="1"/>
    <xf numFmtId="0" fontId="24" fillId="0" borderId="0" xfId="0" applyFont="1" applyAlignment="1">
      <alignment horizontal="center"/>
    </xf>
    <xf numFmtId="0" fontId="28" fillId="0" borderId="0" xfId="0" applyFont="1"/>
    <xf numFmtId="0" fontId="25" fillId="0" borderId="0" xfId="0" applyFont="1" applyFill="1" applyAlignment="1">
      <alignment horizontal="left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175" fontId="30" fillId="0" borderId="0" xfId="0" applyNumberFormat="1" applyFont="1"/>
    <xf numFmtId="0" fontId="29" fillId="0" borderId="0" xfId="0" applyFont="1" applyAlignment="1">
      <alignment horizontal="right"/>
    </xf>
    <xf numFmtId="175" fontId="29" fillId="0" borderId="0" xfId="0" applyNumberFormat="1" applyFont="1"/>
    <xf numFmtId="1" fontId="29" fillId="0" borderId="0" xfId="0" applyNumberFormat="1" applyFont="1"/>
    <xf numFmtId="0" fontId="31" fillId="0" borderId="0" xfId="0" quotePrefix="1" applyFont="1" applyAlignment="1">
      <alignment horizontal="right"/>
    </xf>
    <xf numFmtId="176" fontId="24" fillId="0" borderId="0" xfId="0" applyNumberFormat="1" applyFont="1" applyFill="1"/>
    <xf numFmtId="0" fontId="32" fillId="0" borderId="3" xfId="0" applyFont="1" applyFill="1" applyBorder="1" applyAlignment="1">
      <alignment horizontal="center" vertical="center"/>
    </xf>
    <xf numFmtId="9" fontId="32" fillId="0" borderId="3" xfId="0" applyNumberFormat="1" applyFont="1" applyFill="1" applyBorder="1" applyAlignment="1">
      <alignment horizontal="center" vertical="center"/>
    </xf>
    <xf numFmtId="168" fontId="32" fillId="0" borderId="3" xfId="0" applyNumberFormat="1" applyFont="1" applyFill="1" applyBorder="1" applyAlignment="1">
      <alignment horizontal="center" vertical="center"/>
    </xf>
    <xf numFmtId="166" fontId="32" fillId="0" borderId="3" xfId="1" applyNumberFormat="1" applyFont="1" applyFill="1" applyBorder="1" applyAlignment="1">
      <alignment horizontal="center" vertical="center"/>
    </xf>
    <xf numFmtId="10" fontId="32" fillId="0" borderId="3" xfId="3" applyNumberFormat="1" applyFont="1" applyFill="1" applyBorder="1" applyAlignment="1">
      <alignment horizontal="center" vertical="center"/>
    </xf>
    <xf numFmtId="9" fontId="32" fillId="0" borderId="3" xfId="3" applyNumberFormat="1" applyFont="1" applyFill="1" applyBorder="1" applyAlignment="1">
      <alignment horizontal="center" vertical="center"/>
    </xf>
    <xf numFmtId="168" fontId="32" fillId="0" borderId="3" xfId="2" applyNumberFormat="1" applyFont="1" applyFill="1" applyBorder="1" applyAlignment="1">
      <alignment horizontal="center" vertical="center"/>
    </xf>
    <xf numFmtId="168" fontId="9" fillId="8" borderId="3" xfId="0" applyNumberFormat="1" applyFont="1" applyFill="1" applyBorder="1" applyAlignment="1">
      <alignment horizontal="center" vertical="center"/>
    </xf>
    <xf numFmtId="168" fontId="9" fillId="8" borderId="3" xfId="2" applyNumberFormat="1" applyFont="1" applyFill="1" applyBorder="1"/>
    <xf numFmtId="0" fontId="33" fillId="25" borderId="10" xfId="0" applyFont="1" applyFill="1" applyBorder="1"/>
    <xf numFmtId="10" fontId="33" fillId="25" borderId="11" xfId="0" applyNumberFormat="1" applyFont="1" applyFill="1" applyBorder="1" applyAlignment="1">
      <alignment horizontal="left"/>
    </xf>
    <xf numFmtId="173" fontId="25" fillId="0" borderId="0" xfId="1" applyNumberFormat="1" applyFont="1" applyFill="1" applyAlignment="1">
      <alignment horizontal="left"/>
    </xf>
    <xf numFmtId="0" fontId="34" fillId="26" borderId="12" xfId="0" applyFont="1" applyFill="1" applyBorder="1" applyAlignment="1">
      <alignment wrapText="1"/>
    </xf>
    <xf numFmtId="0" fontId="35" fillId="26" borderId="13" xfId="0" applyFont="1" applyFill="1" applyBorder="1" applyAlignment="1">
      <alignment wrapText="1"/>
    </xf>
    <xf numFmtId="0" fontId="35" fillId="26" borderId="14" xfId="0" applyFont="1" applyFill="1" applyBorder="1" applyAlignment="1">
      <alignment wrapText="1"/>
    </xf>
    <xf numFmtId="0" fontId="34" fillId="27" borderId="15" xfId="0" applyFont="1" applyFill="1" applyBorder="1" applyAlignment="1">
      <alignment wrapText="1"/>
    </xf>
    <xf numFmtId="0" fontId="35" fillId="27" borderId="0" xfId="0" applyFont="1" applyFill="1" applyBorder="1" applyAlignment="1">
      <alignment wrapText="1"/>
    </xf>
    <xf numFmtId="0" fontId="35" fillId="27" borderId="16" xfId="0" applyFont="1" applyFill="1" applyBorder="1" applyAlignment="1">
      <alignment wrapText="1"/>
    </xf>
    <xf numFmtId="0" fontId="34" fillId="26" borderId="15" xfId="0" applyFont="1" applyFill="1" applyBorder="1" applyAlignment="1">
      <alignment wrapText="1"/>
    </xf>
    <xf numFmtId="0" fontId="35" fillId="26" borderId="0" xfId="0" applyFont="1" applyFill="1" applyBorder="1" applyAlignment="1">
      <alignment wrapText="1"/>
    </xf>
    <xf numFmtId="0" fontId="35" fillId="26" borderId="16" xfId="0" applyFont="1" applyFill="1" applyBorder="1" applyAlignment="1">
      <alignment wrapText="1"/>
    </xf>
    <xf numFmtId="0" fontId="34" fillId="26" borderId="17" xfId="0" applyFont="1" applyFill="1" applyBorder="1" applyAlignment="1">
      <alignment wrapText="1"/>
    </xf>
    <xf numFmtId="0" fontId="35" fillId="26" borderId="18" xfId="0" applyFont="1" applyFill="1" applyBorder="1" applyAlignment="1">
      <alignment wrapText="1"/>
    </xf>
    <xf numFmtId="0" fontId="35" fillId="26" borderId="19" xfId="0" applyFont="1" applyFill="1" applyBorder="1" applyAlignment="1">
      <alignment wrapText="1"/>
    </xf>
    <xf numFmtId="169" fontId="7" fillId="0" borderId="3" xfId="4" applyNumberFormat="1" applyFont="1" applyFill="1" applyBorder="1" applyAlignment="1">
      <alignment horizontal="center"/>
    </xf>
    <xf numFmtId="0" fontId="7" fillId="0" borderId="3" xfId="5" applyNumberFormat="1" applyFont="1" applyFill="1" applyBorder="1" applyAlignment="1">
      <alignment horizontal="center"/>
    </xf>
    <xf numFmtId="9" fontId="7" fillId="0" borderId="3" xfId="5" applyNumberFormat="1" applyFont="1" applyFill="1" applyBorder="1"/>
    <xf numFmtId="166" fontId="7" fillId="0" borderId="3" xfId="4" applyNumberFormat="1" applyFont="1" applyFill="1" applyBorder="1" applyAlignment="1">
      <alignment horizontal="center" vertical="center"/>
    </xf>
    <xf numFmtId="171" fontId="7" fillId="0" borderId="3" xfId="3" applyNumberFormat="1" applyFont="1" applyFill="1" applyBorder="1" applyAlignment="1">
      <alignment horizontal="center"/>
    </xf>
    <xf numFmtId="10" fontId="7" fillId="0" borderId="3" xfId="5" applyNumberFormat="1" applyFont="1" applyFill="1" applyBorder="1" applyAlignment="1">
      <alignment horizontal="center"/>
    </xf>
    <xf numFmtId="10" fontId="7" fillId="0" borderId="3" xfId="4" applyNumberFormat="1" applyFont="1" applyFill="1" applyBorder="1" applyAlignment="1">
      <alignment horizontal="center"/>
    </xf>
    <xf numFmtId="172" fontId="7" fillId="0" borderId="3" xfId="1" applyNumberFormat="1" applyFont="1" applyFill="1" applyBorder="1" applyAlignment="1">
      <alignment horizontal="center"/>
    </xf>
    <xf numFmtId="169" fontId="7" fillId="0" borderId="3" xfId="5" applyNumberFormat="1" applyFont="1" applyFill="1" applyBorder="1" applyAlignment="1">
      <alignment horizontal="center"/>
    </xf>
    <xf numFmtId="0" fontId="7" fillId="0" borderId="3" xfId="4" applyNumberFormat="1" applyFont="1" applyFill="1" applyBorder="1" applyAlignment="1">
      <alignment horizontal="center"/>
    </xf>
    <xf numFmtId="43" fontId="7" fillId="0" borderId="3" xfId="4" applyNumberFormat="1" applyFont="1" applyFill="1" applyBorder="1" applyAlignment="1">
      <alignment horizontal="center" vertical="center"/>
    </xf>
    <xf numFmtId="10" fontId="7" fillId="0" borderId="3" xfId="3" applyNumberFormat="1" applyFont="1" applyFill="1" applyBorder="1" applyAlignment="1">
      <alignment horizontal="center"/>
    </xf>
    <xf numFmtId="43" fontId="7" fillId="0" borderId="3" xfId="5" applyNumberFormat="1" applyFont="1" applyFill="1" applyBorder="1" applyAlignment="1">
      <alignment vertical="center"/>
    </xf>
    <xf numFmtId="167" fontId="7" fillId="0" borderId="3" xfId="1" applyNumberFormat="1" applyFont="1" applyFill="1" applyBorder="1" applyAlignment="1">
      <alignment horizontal="center"/>
    </xf>
    <xf numFmtId="0" fontId="8" fillId="8" borderId="6" xfId="0" applyFont="1" applyFill="1" applyBorder="1" applyAlignment="1">
      <alignment horizontal="center" wrapText="1"/>
    </xf>
    <xf numFmtId="0" fontId="8" fillId="8" borderId="0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8" borderId="4" xfId="0" applyFont="1" applyFill="1" applyBorder="1" applyAlignment="1">
      <alignment horizontal="center" wrapText="1"/>
    </xf>
    <xf numFmtId="0" fontId="3" fillId="8" borderId="7" xfId="0" applyFont="1" applyFill="1" applyBorder="1" applyAlignment="1">
      <alignment horizontal="center" wrapText="1"/>
    </xf>
    <xf numFmtId="0" fontId="13" fillId="8" borderId="1" xfId="0" applyFont="1" applyFill="1" applyBorder="1" applyAlignment="1">
      <alignment horizontal="center" wrapText="1"/>
    </xf>
    <xf numFmtId="0" fontId="13" fillId="8" borderId="4" xfId="0" applyFont="1" applyFill="1" applyBorder="1" applyAlignment="1">
      <alignment horizontal="center" wrapText="1"/>
    </xf>
    <xf numFmtId="0" fontId="13" fillId="8" borderId="7" xfId="0" applyFont="1" applyFill="1" applyBorder="1" applyAlignment="1">
      <alignment horizontal="center" wrapText="1"/>
    </xf>
    <xf numFmtId="0" fontId="29" fillId="0" borderId="9" xfId="0" applyFont="1" applyBorder="1" applyAlignment="1">
      <alignment horizontal="center"/>
    </xf>
    <xf numFmtId="0" fontId="9" fillId="8" borderId="1" xfId="0" applyFont="1" applyFill="1" applyBorder="1" applyAlignment="1">
      <alignment horizontal="center" wrapText="1"/>
    </xf>
    <xf numFmtId="0" fontId="9" fillId="8" borderId="4" xfId="0" applyFont="1" applyFill="1" applyBorder="1" applyAlignment="1">
      <alignment horizontal="center" wrapText="1"/>
    </xf>
    <xf numFmtId="0" fontId="9" fillId="8" borderId="7" xfId="0" applyFont="1" applyFill="1" applyBorder="1" applyAlignment="1">
      <alignment horizontal="center" wrapText="1"/>
    </xf>
    <xf numFmtId="0" fontId="4" fillId="8" borderId="5" xfId="0" applyFont="1" applyFill="1" applyBorder="1" applyAlignment="1">
      <alignment horizontal="center" wrapText="1"/>
    </xf>
    <xf numFmtId="0" fontId="11" fillId="8" borderId="5" xfId="0" applyFont="1" applyFill="1" applyBorder="1" applyAlignment="1">
      <alignment horizontal="center" wrapText="1"/>
    </xf>
    <xf numFmtId="0" fontId="5" fillId="8" borderId="0" xfId="0" applyFont="1" applyFill="1" applyAlignment="1">
      <alignment horizontal="center" wrapText="1"/>
    </xf>
    <xf numFmtId="0" fontId="11" fillId="8" borderId="0" xfId="0" applyFont="1" applyFill="1" applyAlignment="1">
      <alignment horizontal="center" wrapText="1"/>
    </xf>
  </cellXfs>
  <cellStyles count="7">
    <cellStyle name="Comma" xfId="1" builtinId="3"/>
    <cellStyle name="Currency" xfId="2" builtinId="4"/>
    <cellStyle name="Input" xfId="4" builtinId="20"/>
    <cellStyle name="Normal" xfId="0" builtinId="0"/>
    <cellStyle name="Normal 2" xfId="5"/>
    <cellStyle name="Normal 2 2" xfId="6"/>
    <cellStyle name="Percent" xfId="3" builtinId="5"/>
  </cellStyles>
  <dxfs count="4">
    <dxf>
      <font>
        <color rgb="FF9C0006"/>
      </font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Default Probability per period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'BOOTSTRAP PD'!$F$6</c:f>
              <c:strCache>
                <c:ptCount val="1"/>
                <c:pt idx="0">
                  <c:v>PD</c:v>
                </c:pt>
              </c:strCache>
            </c:strRef>
          </c:tx>
          <c:spPr>
            <a:ln w="22225" cap="rnd">
              <a:solidFill>
                <a:schemeClr val="accent4">
                  <a:tint val="77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  <a:round/>
              </a:ln>
              <a:effectLst/>
            </c:spPr>
          </c:marker>
          <c:xVal>
            <c:numRef>
              <c:f>'BOOTSTRAP PD'!$A$7:$A$17</c:f>
              <c:numCache>
                <c:formatCode>0.0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xVal>
          <c:yVal>
            <c:numRef>
              <c:f>'BOOTSTRAP PD'!$F$7:$F$17</c:f>
              <c:numCache>
                <c:formatCode>0.00%</c:formatCode>
                <c:ptCount val="11"/>
                <c:pt idx="0">
                  <c:v>0</c:v>
                </c:pt>
                <c:pt idx="1">
                  <c:v>9.4433071386118561E-3</c:v>
                </c:pt>
                <c:pt idx="2">
                  <c:v>1.380822758474165E-2</c:v>
                </c:pt>
                <c:pt idx="3">
                  <c:v>1.4266230938006053E-2</c:v>
                </c:pt>
                <c:pt idx="4">
                  <c:v>1.595576488566175E-2</c:v>
                </c:pt>
                <c:pt idx="5">
                  <c:v>1.7501547355309732E-2</c:v>
                </c:pt>
                <c:pt idx="6">
                  <c:v>1.9029091439715762E-2</c:v>
                </c:pt>
                <c:pt idx="7">
                  <c:v>1.9259942096119254E-2</c:v>
                </c:pt>
                <c:pt idx="8">
                  <c:v>2.0339632077653658E-2</c:v>
                </c:pt>
                <c:pt idx="9">
                  <c:v>1.866194285224998E-2</c:v>
                </c:pt>
                <c:pt idx="10">
                  <c:v>1.9131209121559301E-2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90-427C-972B-D5638195C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77920"/>
        <c:axId val="119379840"/>
      </c:scatterChart>
      <c:valAx>
        <c:axId val="119377920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79840"/>
        <c:crosses val="autoZero"/>
        <c:crossBetween val="midCat"/>
        <c:majorUnit val="0.5"/>
      </c:valAx>
      <c:valAx>
        <c:axId val="11937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77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GB" sz="2000"/>
              <a:t>Hazard Rate Term Structure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</c:spPr>
          <c:invertIfNegative val="0"/>
          <c:cat>
            <c:numRef>
              <c:f>'BOOTSTRAP PD'!$A$8:$A$17</c:f>
              <c:numCache>
                <c:formatCode>0.0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cat>
          <c:val>
            <c:numRef>
              <c:f>'BOOTSTRAP PD'!$E$8:$E$17</c:f>
              <c:numCache>
                <c:formatCode>0.00%</c:formatCode>
                <c:ptCount val="10"/>
                <c:pt idx="0">
                  <c:v>1.8976355744616674E-2</c:v>
                </c:pt>
                <c:pt idx="1">
                  <c:v>2.8075876861832501E-2</c:v>
                </c:pt>
                <c:pt idx="2">
                  <c:v>2.9427109034609975E-2</c:v>
                </c:pt>
                <c:pt idx="3">
                  <c:v>3.3433344579941376E-2</c:v>
                </c:pt>
                <c:pt idx="4">
                  <c:v>3.7326741234251164E-2</c:v>
                </c:pt>
                <c:pt idx="5">
                  <c:v>4.1391094897336667E-2</c:v>
                </c:pt>
                <c:pt idx="6">
                  <c:v>4.2784111287440856E-2</c:v>
                </c:pt>
                <c:pt idx="7">
                  <c:v>4.6198773968016346E-2</c:v>
                </c:pt>
                <c:pt idx="8">
                  <c:v>4.3347870881394558E-2</c:v>
                </c:pt>
                <c:pt idx="9">
                  <c:v>4.5435152579595739E-2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8E-48A9-95DE-2CBACB3AD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"/>
        <c:overlap val="-10"/>
        <c:axId val="119547392"/>
        <c:axId val="119549312"/>
      </c:barChart>
      <c:catAx>
        <c:axId val="119547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 (Years)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19549312"/>
        <c:crosses val="autoZero"/>
        <c:auto val="1"/>
        <c:lblAlgn val="ctr"/>
        <c:lblOffset val="100"/>
        <c:noMultiLvlLbl val="0"/>
      </c:catAx>
      <c:valAx>
        <c:axId val="11954931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11954739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Cumulative</a:t>
            </a:r>
            <a:r>
              <a:rPr lang="en-GB" baseline="0"/>
              <a:t> Default and Survival Probabilities</a:t>
            </a:r>
            <a:endParaRPr lang="en-GB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'BOOTSTRAP PD'!$G$6</c:f>
              <c:strCache>
                <c:ptCount val="1"/>
                <c:pt idx="0">
                  <c:v>PD_cum</c:v>
                </c:pt>
              </c:strCache>
            </c:strRef>
          </c:tx>
          <c:xVal>
            <c:numRef>
              <c:f>'BOOTSTRAP PD'!$A$7:$A$17</c:f>
              <c:numCache>
                <c:formatCode>0.0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xVal>
          <c:yVal>
            <c:numRef>
              <c:f>'BOOTSTRAP PD'!$G$7:$G$17</c:f>
              <c:numCache>
                <c:formatCode>0.00%</c:formatCode>
                <c:ptCount val="11"/>
                <c:pt idx="0">
                  <c:v>0</c:v>
                </c:pt>
                <c:pt idx="1">
                  <c:v>9.4433071386118561E-3</c:v>
                </c:pt>
                <c:pt idx="2">
                  <c:v>2.3251534723353506E-2</c:v>
                </c:pt>
                <c:pt idx="3">
                  <c:v>3.7517765661359559E-2</c:v>
                </c:pt>
                <c:pt idx="4">
                  <c:v>5.3473530547021308E-2</c:v>
                </c:pt>
                <c:pt idx="5">
                  <c:v>7.0975077902331041E-2</c:v>
                </c:pt>
                <c:pt idx="6">
                  <c:v>9.0004169342046803E-2</c:v>
                </c:pt>
                <c:pt idx="7">
                  <c:v>0.10926411143816606</c:v>
                </c:pt>
                <c:pt idx="8">
                  <c:v>0.12960374351581971</c:v>
                </c:pt>
                <c:pt idx="9">
                  <c:v>0.14826568636806969</c:v>
                </c:pt>
                <c:pt idx="10">
                  <c:v>0.16739689548962899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CC-413C-A57E-29DA54816D2D}"/>
            </c:ext>
          </c:extLst>
        </c:ser>
        <c:ser>
          <c:idx val="1"/>
          <c:order val="1"/>
          <c:tx>
            <c:strRef>
              <c:f>'BOOTSTRAP PD'!$H$6</c:f>
              <c:strCache>
                <c:ptCount val="1"/>
                <c:pt idx="0">
                  <c:v>P_cum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xVal>
            <c:numRef>
              <c:f>'BOOTSTRAP PD'!$A$7:$A$17</c:f>
              <c:numCache>
                <c:formatCode>0.0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xVal>
          <c:yVal>
            <c:numRef>
              <c:f>'BOOTSTRAP PD'!$H$7:$H$17</c:f>
              <c:numCache>
                <c:formatCode>0.00%</c:formatCode>
                <c:ptCount val="11"/>
                <c:pt idx="0">
                  <c:v>1</c:v>
                </c:pt>
                <c:pt idx="1">
                  <c:v>0.99055669286138814</c:v>
                </c:pt>
                <c:pt idx="2">
                  <c:v>0.97674846527664649</c:v>
                </c:pt>
                <c:pt idx="3">
                  <c:v>0.96248223433864044</c:v>
                </c:pt>
                <c:pt idx="4">
                  <c:v>0.94652646945297869</c:v>
                </c:pt>
                <c:pt idx="5">
                  <c:v>0.92902492209766896</c:v>
                </c:pt>
                <c:pt idx="6">
                  <c:v>0.9099958306579532</c:v>
                </c:pt>
                <c:pt idx="7">
                  <c:v>0.89073588856183394</c:v>
                </c:pt>
                <c:pt idx="8">
                  <c:v>0.87039625648418029</c:v>
                </c:pt>
                <c:pt idx="9">
                  <c:v>0.85173431363193031</c:v>
                </c:pt>
                <c:pt idx="10">
                  <c:v>0.83260310451037101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CC-413C-A57E-29DA54816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578624"/>
        <c:axId val="119580544"/>
      </c:scatterChart>
      <c:valAx>
        <c:axId val="119578624"/>
        <c:scaling>
          <c:orientation val="minMax"/>
          <c:max val="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 (Years)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19580544"/>
        <c:crosses val="autoZero"/>
        <c:crossBetween val="midCat"/>
      </c:valAx>
      <c:valAx>
        <c:axId val="11958054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19578624"/>
        <c:crosses val="autoZero"/>
        <c:crossBetween val="midCat"/>
      </c:valAx>
    </c:plotArea>
    <c:legend>
      <c:legendPos val="t"/>
      <c:overlay val="0"/>
    </c:legend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 Exposure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IRS!$A$16:$J$16</c:f>
              <c:strCache>
                <c:ptCount val="10"/>
                <c:pt idx="0">
                  <c:v>T0-T1</c:v>
                </c:pt>
                <c:pt idx="1">
                  <c:v>T1 - T2</c:v>
                </c:pt>
                <c:pt idx="2">
                  <c:v>T2 -T3</c:v>
                </c:pt>
                <c:pt idx="3">
                  <c:v>T3 - T4</c:v>
                </c:pt>
                <c:pt idx="4">
                  <c:v>T4 - T5</c:v>
                </c:pt>
                <c:pt idx="5">
                  <c:v>T5 - T6</c:v>
                </c:pt>
                <c:pt idx="6">
                  <c:v>T6 - T7</c:v>
                </c:pt>
                <c:pt idx="7">
                  <c:v>T7-T8</c:v>
                </c:pt>
                <c:pt idx="8">
                  <c:v>T8-T9</c:v>
                </c:pt>
                <c:pt idx="9">
                  <c:v>T9-T10</c:v>
                </c:pt>
              </c:strCache>
            </c:strRef>
          </c:cat>
          <c:val>
            <c:numRef>
              <c:f>IRS!$A$17:$K$17</c:f>
              <c:numCache>
                <c:formatCode>_-[$$-409]* #,##0_ ;_-[$$-409]* \-#,##0\ ;_-[$$-409]* "-"??_ ;_-@_ </c:formatCode>
                <c:ptCount val="11"/>
                <c:pt idx="0">
                  <c:v>1.1004885891452431E-11</c:v>
                </c:pt>
                <c:pt idx="1">
                  <c:v>290.56937537774013</c:v>
                </c:pt>
                <c:pt idx="2">
                  <c:v>6126.3889844737241</c:v>
                </c:pt>
                <c:pt idx="3">
                  <c:v>15307.459225915733</c:v>
                </c:pt>
                <c:pt idx="4">
                  <c:v>19364.152845323599</c:v>
                </c:pt>
                <c:pt idx="5">
                  <c:v>22720.015724642129</c:v>
                </c:pt>
                <c:pt idx="6">
                  <c:v>21819.238312706024</c:v>
                </c:pt>
                <c:pt idx="7">
                  <c:v>18490.90524857154</c:v>
                </c:pt>
                <c:pt idx="8">
                  <c:v>14642.396878960559</c:v>
                </c:pt>
                <c:pt idx="9">
                  <c:v>10536.069890252942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3B-4160-9330-613538651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676744"/>
        <c:axId val="565676088"/>
      </c:lineChart>
      <c:catAx>
        <c:axId val="565676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676088"/>
        <c:crosses val="autoZero"/>
        <c:auto val="1"/>
        <c:lblAlgn val="ctr"/>
        <c:lblOffset val="100"/>
        <c:noMultiLvlLbl val="0"/>
      </c:catAx>
      <c:valAx>
        <c:axId val="565676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67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 MTM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IRS!$A$12:$K$12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IRS!$A$13:$K$13</c:f>
              <c:numCache>
                <c:formatCode>_-[$$-409]* #,##0_ ;_-[$$-409]* \-#,##0\ ;_-[$$-409]* "-"??_ ;_-@_ </c:formatCode>
                <c:ptCount val="11"/>
                <c:pt idx="0">
                  <c:v>1.1004885891452431E-11</c:v>
                </c:pt>
                <c:pt idx="1">
                  <c:v>290.56937537774013</c:v>
                </c:pt>
                <c:pt idx="2">
                  <c:v>6126.3889844737241</c:v>
                </c:pt>
                <c:pt idx="3">
                  <c:v>15307.459225915733</c:v>
                </c:pt>
                <c:pt idx="4">
                  <c:v>19364.152845323599</c:v>
                </c:pt>
                <c:pt idx="5">
                  <c:v>22720.015724642129</c:v>
                </c:pt>
                <c:pt idx="6">
                  <c:v>21819.238312706024</c:v>
                </c:pt>
                <c:pt idx="7">
                  <c:v>18490.90524857154</c:v>
                </c:pt>
                <c:pt idx="8">
                  <c:v>14642.396878960559</c:v>
                </c:pt>
                <c:pt idx="9">
                  <c:v>10536.069890252942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ED-459C-8169-72F999CC9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8531384"/>
        <c:axId val="848531712"/>
      </c:lineChart>
      <c:catAx>
        <c:axId val="848531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531712"/>
        <c:crosses val="autoZero"/>
        <c:auto val="1"/>
        <c:lblAlgn val="ctr"/>
        <c:lblOffset val="100"/>
        <c:noMultiLvlLbl val="0"/>
      </c:catAx>
      <c:valAx>
        <c:axId val="84853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531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Simulated</a:t>
            </a:r>
            <a:r>
              <a:rPr lang="en-GB" baseline="0"/>
              <a:t> Exp. Exposure for T0 onwards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IRS!$B$24</c:f>
              <c:strCache>
                <c:ptCount val="1"/>
                <c:pt idx="0">
                  <c:v>Simulation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IRS!$C$24:$M$24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2302.91695762566</c:v>
                </c:pt>
                <c:pt idx="6">
                  <c:v>4971.3672242155808</c:v>
                </c:pt>
                <c:pt idx="7">
                  <c:v>5988.9511858465812</c:v>
                </c:pt>
                <c:pt idx="8">
                  <c:v>5416.2700067541946</c:v>
                </c:pt>
                <c:pt idx="9">
                  <c:v>3369.3937072993895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D7-415B-A7DC-B0B93F2110E8}"/>
            </c:ext>
          </c:extLst>
        </c:ser>
        <c:ser>
          <c:idx val="1"/>
          <c:order val="1"/>
          <c:tx>
            <c:strRef>
              <c:f>IRS!$B$25</c:f>
              <c:strCache>
                <c:ptCount val="1"/>
                <c:pt idx="0">
                  <c:v>Simulation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IRS!$C$25:$M$25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3253.9320492499487</c:v>
                </c:pt>
                <c:pt idx="6">
                  <c:v>5715.2382859755862</c:v>
                </c:pt>
                <c:pt idx="7">
                  <c:v>6528.9189817282022</c:v>
                </c:pt>
                <c:pt idx="8">
                  <c:v>5761.4275923326659</c:v>
                </c:pt>
                <c:pt idx="9">
                  <c:v>3533.4499384399574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D7-415B-A7DC-B0B93F2110E8}"/>
            </c:ext>
          </c:extLst>
        </c:ser>
        <c:ser>
          <c:idx val="2"/>
          <c:order val="2"/>
          <c:tx>
            <c:strRef>
              <c:f>IRS!$B$26</c:f>
              <c:strCache>
                <c:ptCount val="1"/>
                <c:pt idx="0">
                  <c:v>Simulation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IRS!$C$26:$M$26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1884.0156879095266</c:v>
                </c:pt>
                <c:pt idx="6">
                  <c:v>4654.2742572015068</c:v>
                </c:pt>
                <c:pt idx="7">
                  <c:v>5764.1357141605349</c:v>
                </c:pt>
                <c:pt idx="8">
                  <c:v>5274.8563264760542</c:v>
                </c:pt>
                <c:pt idx="9">
                  <c:v>3302.8536555887135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D7-415B-A7DC-B0B93F2110E8}"/>
            </c:ext>
          </c:extLst>
        </c:ser>
        <c:ser>
          <c:idx val="3"/>
          <c:order val="3"/>
          <c:tx>
            <c:strRef>
              <c:f>IRS!$B$27</c:f>
              <c:strCache>
                <c:ptCount val="1"/>
                <c:pt idx="0">
                  <c:v>Simulation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IRS!$C$27:$M$27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147.33303133841082</c:v>
                </c:pt>
                <c:pt idx="6">
                  <c:v>3295.5655784355963</c:v>
                </c:pt>
                <c:pt idx="7">
                  <c:v>4772.7419670448126</c:v>
                </c:pt>
                <c:pt idx="8">
                  <c:v>4635.1187148928493</c:v>
                </c:pt>
                <c:pt idx="9">
                  <c:v>2994.7458756436999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D7-415B-A7DC-B0B93F2110E8}"/>
            </c:ext>
          </c:extLst>
        </c:ser>
        <c:ser>
          <c:idx val="4"/>
          <c:order val="4"/>
          <c:tx>
            <c:strRef>
              <c:f>IRS!$B$28</c:f>
              <c:strCache>
                <c:ptCount val="1"/>
                <c:pt idx="0">
                  <c:v>Simulation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IRS!$C$28:$M$28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906.55333721781108</c:v>
                </c:pt>
                <c:pt idx="6">
                  <c:v>3913.1483497674999</c:v>
                </c:pt>
                <c:pt idx="7">
                  <c:v>5239.5449729205775</c:v>
                </c:pt>
                <c:pt idx="8">
                  <c:v>4946.2832103544379</c:v>
                </c:pt>
                <c:pt idx="9">
                  <c:v>3149.2212259816833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D7-415B-A7DC-B0B93F2110E8}"/>
            </c:ext>
          </c:extLst>
        </c:ser>
        <c:ser>
          <c:idx val="5"/>
          <c:order val="5"/>
          <c:tx>
            <c:strRef>
              <c:f>IRS!$B$29</c:f>
              <c:strCache>
                <c:ptCount val="1"/>
                <c:pt idx="0">
                  <c:v>Simulation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IRS!$C$29:$M$29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2608.4782672190536</c:v>
                </c:pt>
                <c:pt idx="6">
                  <c:v>5217.3257719843705</c:v>
                </c:pt>
                <c:pt idx="7">
                  <c:v>6173.9735398737485</c:v>
                </c:pt>
                <c:pt idx="8">
                  <c:v>5539.9949781065425</c:v>
                </c:pt>
                <c:pt idx="9">
                  <c:v>3431.5712562021054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D7-415B-A7DC-B0B93F2110E8}"/>
            </c:ext>
          </c:extLst>
        </c:ser>
        <c:ser>
          <c:idx val="6"/>
          <c:order val="6"/>
          <c:tx>
            <c:strRef>
              <c:f>IRS!$B$30</c:f>
              <c:strCache>
                <c:ptCount val="1"/>
                <c:pt idx="0">
                  <c:v>Simulation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IRS!$C$30:$M$30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559.38986658909516</c:v>
                </c:pt>
                <c:pt idx="5">
                  <c:v>4458.6002182146185</c:v>
                </c:pt>
                <c:pt idx="6">
                  <c:v>6684.8269614576766</c:v>
                </c:pt>
                <c:pt idx="7">
                  <c:v>7256.5090391019185</c:v>
                </c:pt>
                <c:pt idx="8">
                  <c:v>6244.6058338204766</c:v>
                </c:pt>
                <c:pt idx="9">
                  <c:v>3773.2339175459119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D7-415B-A7DC-B0B93F2110E8}"/>
            </c:ext>
          </c:extLst>
        </c:ser>
        <c:ser>
          <c:idx val="7"/>
          <c:order val="7"/>
          <c:tx>
            <c:strRef>
              <c:f>IRS!$B$31</c:f>
              <c:strCache>
                <c:ptCount val="1"/>
                <c:pt idx="0">
                  <c:v>Simulation 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IRS!$C$31:$M$31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3786.0276424359522</c:v>
                </c:pt>
                <c:pt idx="6">
                  <c:v>6133.6654343051287</c:v>
                </c:pt>
                <c:pt idx="7">
                  <c:v>6833.7323256458094</c:v>
                </c:pt>
                <c:pt idx="8">
                  <c:v>5957.103189581645</c:v>
                </c:pt>
                <c:pt idx="9">
                  <c:v>3627.0997543115268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D7-415B-A7DC-B0B93F2110E8}"/>
            </c:ext>
          </c:extLst>
        </c:ser>
        <c:ser>
          <c:idx val="8"/>
          <c:order val="8"/>
          <c:tx>
            <c:strRef>
              <c:f>IRS!$B$32</c:f>
              <c:strCache>
                <c:ptCount val="1"/>
                <c:pt idx="0">
                  <c:v>Simulation 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IRS!$C$32:$M$32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3832.5683962937155</c:v>
                </c:pt>
                <c:pt idx="6">
                  <c:v>6128.0849842611387</c:v>
                </c:pt>
                <c:pt idx="7">
                  <c:v>6799.0020440434891</c:v>
                </c:pt>
                <c:pt idx="8">
                  <c:v>5914.9728967546744</c:v>
                </c:pt>
                <c:pt idx="9">
                  <c:v>3597.372432540752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AD7-415B-A7DC-B0B93F2110E8}"/>
            </c:ext>
          </c:extLst>
        </c:ser>
        <c:ser>
          <c:idx val="9"/>
          <c:order val="9"/>
          <c:tx>
            <c:strRef>
              <c:f>IRS!$B$33</c:f>
              <c:strCache>
                <c:ptCount val="1"/>
                <c:pt idx="0">
                  <c:v>Simulation 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IRS!$C$33:$M$33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2919.6910609422966</c:v>
                </c:pt>
                <c:pt idx="5">
                  <c:v>6286.5517206428867</c:v>
                </c:pt>
                <c:pt idx="6">
                  <c:v>8033.0005470806827</c:v>
                </c:pt>
                <c:pt idx="7">
                  <c:v>8180.8248567911251</c:v>
                </c:pt>
                <c:pt idx="8">
                  <c:v>6803.3046586319433</c:v>
                </c:pt>
                <c:pt idx="9">
                  <c:v>4024.5173897570862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AD7-415B-A7DC-B0B93F2110E8}"/>
            </c:ext>
          </c:extLst>
        </c:ser>
        <c:ser>
          <c:idx val="10"/>
          <c:order val="10"/>
          <c:tx>
            <c:strRef>
              <c:f>IRS!$B$34</c:f>
              <c:strCache>
                <c:ptCount val="1"/>
                <c:pt idx="0">
                  <c:v>Simulation 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IRS!$C$34:$M$34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3096.3327711642105</c:v>
                </c:pt>
                <c:pt idx="5">
                  <c:v>6497.0115767863972</c:v>
                </c:pt>
                <c:pt idx="6">
                  <c:v>8246.853475775597</c:v>
                </c:pt>
                <c:pt idx="7">
                  <c:v>8371.2562921527897</c:v>
                </c:pt>
                <c:pt idx="8">
                  <c:v>6947.5859081160443</c:v>
                </c:pt>
                <c:pt idx="9">
                  <c:v>4103.9956940445682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F-9AD7-415B-A7DC-B0B93F2110E8}"/>
            </c:ext>
          </c:extLst>
        </c:ser>
        <c:ser>
          <c:idx val="11"/>
          <c:order val="11"/>
          <c:tx>
            <c:strRef>
              <c:f>IRS!$B$35</c:f>
              <c:strCache>
                <c:ptCount val="1"/>
                <c:pt idx="0">
                  <c:v>Simulation 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IRS!$C$35:$M$35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2875.0890054166834</c:v>
                </c:pt>
                <c:pt idx="5">
                  <c:v>6332.1072133942253</c:v>
                </c:pt>
                <c:pt idx="6">
                  <c:v>8128.0123942221526</c:v>
                </c:pt>
                <c:pt idx="7">
                  <c:v>8290.168546077708</c:v>
                </c:pt>
                <c:pt idx="8">
                  <c:v>6897.8958998873932</c:v>
                </c:pt>
                <c:pt idx="9">
                  <c:v>4080.9216975041627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3F-4ECC-9441-248EE7A2EAAF}"/>
            </c:ext>
          </c:extLst>
        </c:ser>
        <c:ser>
          <c:idx val="12"/>
          <c:order val="12"/>
          <c:tx>
            <c:strRef>
              <c:f>IRS!$B$36</c:f>
              <c:strCache>
                <c:ptCount val="1"/>
                <c:pt idx="0">
                  <c:v>Simulation 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IRS!$C$36:$M$36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3660.6373173758279</c:v>
                </c:pt>
                <c:pt idx="6">
                  <c:v>6079.1681688559111</c:v>
                </c:pt>
                <c:pt idx="7">
                  <c:v>6821.0185285441949</c:v>
                </c:pt>
                <c:pt idx="8">
                  <c:v>5963.92192098139</c:v>
                </c:pt>
                <c:pt idx="9">
                  <c:v>3636.6983636153977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3F-4ECC-9441-248EE7A2EAAF}"/>
            </c:ext>
          </c:extLst>
        </c:ser>
        <c:ser>
          <c:idx val="13"/>
          <c:order val="13"/>
          <c:tx>
            <c:strRef>
              <c:f>IRS!$B$37</c:f>
              <c:strCache>
                <c:ptCount val="1"/>
                <c:pt idx="0">
                  <c:v>Simulation 14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IRS!$C$37:$M$37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3459.4828276127791</c:v>
                </c:pt>
                <c:pt idx="5">
                  <c:v>6848.7616090073661</c:v>
                </c:pt>
                <c:pt idx="6">
                  <c:v>8560.2328385600995</c:v>
                </c:pt>
                <c:pt idx="7">
                  <c:v>8624.8579564472384</c:v>
                </c:pt>
                <c:pt idx="8">
                  <c:v>7125.8571026065019</c:v>
                </c:pt>
                <c:pt idx="9">
                  <c:v>4196.3481419270656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3F-4ECC-9441-248EE7A2EAAF}"/>
            </c:ext>
          </c:extLst>
        </c:ser>
        <c:ser>
          <c:idx val="14"/>
          <c:order val="14"/>
          <c:tx>
            <c:strRef>
              <c:f>IRS!$B$38</c:f>
              <c:strCache>
                <c:ptCount val="1"/>
                <c:pt idx="0">
                  <c:v>Simulation 15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IRS!$C$38:$M$38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2191.6475228744139</c:v>
                </c:pt>
                <c:pt idx="5">
                  <c:v>5772.6148699154883</c:v>
                </c:pt>
                <c:pt idx="6">
                  <c:v>7691.4324417966063</c:v>
                </c:pt>
                <c:pt idx="7">
                  <c:v>7972.8925148304561</c:v>
                </c:pt>
                <c:pt idx="8">
                  <c:v>6694.4572204447668</c:v>
                </c:pt>
                <c:pt idx="9">
                  <c:v>3983.855496609327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3F-4ECC-9441-248EE7A2EAAF}"/>
            </c:ext>
          </c:extLst>
        </c:ser>
        <c:ser>
          <c:idx val="15"/>
          <c:order val="15"/>
          <c:tx>
            <c:strRef>
              <c:f>IRS!$B$39</c:f>
              <c:strCache>
                <c:ptCount val="1"/>
                <c:pt idx="0">
                  <c:v>Simulation 16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IRS!$C$39:$M$39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812.3380413032196</c:v>
                </c:pt>
                <c:pt idx="4">
                  <c:v>5321.0443779610941</c:v>
                </c:pt>
                <c:pt idx="5">
                  <c:v>8219.6272604710302</c:v>
                </c:pt>
                <c:pt idx="6">
                  <c:v>9524.1035898194932</c:v>
                </c:pt>
                <c:pt idx="7">
                  <c:v>9256.9188773193036</c:v>
                </c:pt>
                <c:pt idx="8">
                  <c:v>7492.7439024232244</c:v>
                </c:pt>
                <c:pt idx="9">
                  <c:v>4355.6054821886546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3F-4ECC-9441-248EE7A2EAAF}"/>
            </c:ext>
          </c:extLst>
        </c:ser>
        <c:ser>
          <c:idx val="16"/>
          <c:order val="16"/>
          <c:tx>
            <c:strRef>
              <c:f>IRS!$B$40</c:f>
              <c:strCache>
                <c:ptCount val="1"/>
                <c:pt idx="0">
                  <c:v>Simulation 17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IRS!$C$40:$M$40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2577.2623176917637</c:v>
                </c:pt>
                <c:pt idx="4">
                  <c:v>6796.2571656666696</c:v>
                </c:pt>
                <c:pt idx="5">
                  <c:v>9416.6779667363407</c:v>
                </c:pt>
                <c:pt idx="6">
                  <c:v>10454.462438924407</c:v>
                </c:pt>
                <c:pt idx="7">
                  <c:v>9933.2049494802122</c:v>
                </c:pt>
                <c:pt idx="8">
                  <c:v>7928.7878913814056</c:v>
                </c:pt>
                <c:pt idx="9">
                  <c:v>4566.0639086411538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3F-4ECC-9441-248EE7A2EAAF}"/>
            </c:ext>
          </c:extLst>
        </c:ser>
        <c:ser>
          <c:idx val="17"/>
          <c:order val="17"/>
          <c:tx>
            <c:strRef>
              <c:f>IRS!$B$41</c:f>
              <c:strCache>
                <c:ptCount val="1"/>
                <c:pt idx="0">
                  <c:v>Simulation 18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IRS!$C$41:$M$41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3543.6718430168444</c:v>
                </c:pt>
                <c:pt idx="4">
                  <c:v>7570.7612905898695</c:v>
                </c:pt>
                <c:pt idx="5">
                  <c:v>10016.837049732674</c:v>
                </c:pt>
                <c:pt idx="6">
                  <c:v>10897.842403924336</c:v>
                </c:pt>
                <c:pt idx="7">
                  <c:v>10238.110203087894</c:v>
                </c:pt>
                <c:pt idx="8">
                  <c:v>8113.9224258206141</c:v>
                </c:pt>
                <c:pt idx="9">
                  <c:v>4649.8473931908266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D3F-4ECC-9441-248EE7A2EAAF}"/>
            </c:ext>
          </c:extLst>
        </c:ser>
        <c:ser>
          <c:idx val="18"/>
          <c:order val="18"/>
          <c:tx>
            <c:strRef>
              <c:f>IRS!$B$42</c:f>
              <c:strCache>
                <c:ptCount val="1"/>
                <c:pt idx="0">
                  <c:v>Simulation 19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IRS!$C$42:$M$42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4155.7224038593231</c:v>
                </c:pt>
                <c:pt idx="4">
                  <c:v>8075.4235763923825</c:v>
                </c:pt>
                <c:pt idx="5">
                  <c:v>10418.204404645086</c:v>
                </c:pt>
                <c:pt idx="6">
                  <c:v>11201.324719015018</c:v>
                </c:pt>
                <c:pt idx="7">
                  <c:v>10451.138928101758</c:v>
                </c:pt>
                <c:pt idx="8">
                  <c:v>8245.6309338203737</c:v>
                </c:pt>
                <c:pt idx="9">
                  <c:v>4710.4005410718846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D3F-4ECC-9441-248EE7A2EAAF}"/>
            </c:ext>
          </c:extLst>
        </c:ser>
        <c:ser>
          <c:idx val="19"/>
          <c:order val="19"/>
          <c:tx>
            <c:strRef>
              <c:f>IRS!$B$43</c:f>
              <c:strCache>
                <c:ptCount val="1"/>
                <c:pt idx="0">
                  <c:v>Simulation 20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IRS!$C$43:$M$43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3560.1953651295235</c:v>
                </c:pt>
                <c:pt idx="4">
                  <c:v>7571.2425738150851</c:v>
                </c:pt>
                <c:pt idx="5">
                  <c:v>10005.655876512345</c:v>
                </c:pt>
                <c:pt idx="6">
                  <c:v>10878.656573221924</c:v>
                </c:pt>
                <c:pt idx="7">
                  <c:v>10215.539335450128</c:v>
                </c:pt>
                <c:pt idx="8">
                  <c:v>8093.4135304883921</c:v>
                </c:pt>
                <c:pt idx="9">
                  <c:v>4636.9840308510493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D3F-4ECC-9441-248EE7A2EAAF}"/>
            </c:ext>
          </c:extLst>
        </c:ser>
        <c:ser>
          <c:idx val="20"/>
          <c:order val="20"/>
          <c:tx>
            <c:strRef>
              <c:f>IRS!$B$44</c:f>
              <c:strCache>
                <c:ptCount val="1"/>
                <c:pt idx="0">
                  <c:v>Simulation 21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IRS!$C$44:$M$44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3158.4941033184191</c:v>
                </c:pt>
                <c:pt idx="4">
                  <c:v>7218.181694479641</c:v>
                </c:pt>
                <c:pt idx="5">
                  <c:v>9708.3666423088507</c:v>
                </c:pt>
                <c:pt idx="6">
                  <c:v>10641.025447602895</c:v>
                </c:pt>
                <c:pt idx="7">
                  <c:v>10039.283078501339</c:v>
                </c:pt>
                <c:pt idx="8">
                  <c:v>7978.3681331242515</c:v>
                </c:pt>
                <c:pt idx="9">
                  <c:v>4581.206838879194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D3F-4ECC-9441-248EE7A2EAAF}"/>
            </c:ext>
          </c:extLst>
        </c:ser>
        <c:ser>
          <c:idx val="21"/>
          <c:order val="21"/>
          <c:tx>
            <c:strRef>
              <c:f>IRS!$B$45</c:f>
              <c:strCache>
                <c:ptCount val="1"/>
                <c:pt idx="0">
                  <c:v>Simulation 22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IRS!$C$45:$M$45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989.28970833791709</c:v>
                </c:pt>
                <c:pt idx="3">
                  <c:v>6281.6755184847625</c:v>
                </c:pt>
                <c:pt idx="4">
                  <c:v>9850.093964439824</c:v>
                </c:pt>
                <c:pt idx="5">
                  <c:v>11852.33948421694</c:v>
                </c:pt>
                <c:pt idx="6">
                  <c:v>12307.615533714477</c:v>
                </c:pt>
                <c:pt idx="7">
                  <c:v>11246.756079676979</c:v>
                </c:pt>
                <c:pt idx="8">
                  <c:v>8751.7878467608389</c:v>
                </c:pt>
                <c:pt idx="9">
                  <c:v>4950.9052930447269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D3F-4ECC-9441-248EE7A2EAAF}"/>
            </c:ext>
          </c:extLst>
        </c:ser>
        <c:ser>
          <c:idx val="22"/>
          <c:order val="22"/>
          <c:tx>
            <c:strRef>
              <c:f>IRS!$B$46</c:f>
              <c:strCache>
                <c:ptCount val="1"/>
                <c:pt idx="0">
                  <c:v>Simulation 23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IRS!$C$46:$M$46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1004.7728198795448</c:v>
                </c:pt>
                <c:pt idx="3">
                  <c:v>6197.2989832525946</c:v>
                </c:pt>
                <c:pt idx="4">
                  <c:v>9701.7861156279469</c:v>
                </c:pt>
                <c:pt idx="5">
                  <c:v>11670.269662630948</c:v>
                </c:pt>
                <c:pt idx="6">
                  <c:v>12118.930655469369</c:v>
                </c:pt>
                <c:pt idx="7">
                  <c:v>11076.067979617408</c:v>
                </c:pt>
                <c:pt idx="8">
                  <c:v>8620.8288222887149</c:v>
                </c:pt>
                <c:pt idx="9">
                  <c:v>4878.0462218594066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D3F-4ECC-9441-248EE7A2EAAF}"/>
            </c:ext>
          </c:extLst>
        </c:ser>
        <c:ser>
          <c:idx val="23"/>
          <c:order val="23"/>
          <c:tx>
            <c:strRef>
              <c:f>IRS!$B$47</c:f>
              <c:strCache>
                <c:ptCount val="1"/>
                <c:pt idx="0">
                  <c:v>Simulation 24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IRS!$C$47:$M$47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739.17835917163893</c:v>
                </c:pt>
                <c:pt idx="3">
                  <c:v>5798.5052153497245</c:v>
                </c:pt>
                <c:pt idx="4">
                  <c:v>9238.6436481060809</c:v>
                </c:pt>
                <c:pt idx="5">
                  <c:v>11198.569814956589</c:v>
                </c:pt>
                <c:pt idx="6">
                  <c:v>11684.554272087877</c:v>
                </c:pt>
                <c:pt idx="7">
                  <c:v>10715.961739614377</c:v>
                </c:pt>
                <c:pt idx="8">
                  <c:v>8363.305359369695</c:v>
                </c:pt>
                <c:pt idx="9">
                  <c:v>4743.1087770924942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D3F-4ECC-9441-248EE7A2EAAF}"/>
            </c:ext>
          </c:extLst>
        </c:ser>
        <c:ser>
          <c:idx val="24"/>
          <c:order val="24"/>
          <c:tx>
            <c:strRef>
              <c:f>IRS!$B$48</c:f>
              <c:strCache>
                <c:ptCount val="1"/>
                <c:pt idx="0">
                  <c:v>Simulation 25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IRS!$C$48:$M$48</c:f>
              <c:numCache>
                <c:formatCode>0</c:formatCode>
                <c:ptCount val="11"/>
                <c:pt idx="0">
                  <c:v>0</c:v>
                </c:pt>
                <c:pt idx="1">
                  <c:v>718.70084382390723</c:v>
                </c:pt>
                <c:pt idx="2">
                  <c:v>6989.1259515845686</c:v>
                </c:pt>
                <c:pt idx="3">
                  <c:v>11056.480268864821</c:v>
                </c:pt>
                <c:pt idx="4">
                  <c:v>13564.509077599816</c:v>
                </c:pt>
                <c:pt idx="5">
                  <c:v>14650.096953305272</c:v>
                </c:pt>
                <c:pt idx="6">
                  <c:v>14320.972481133087</c:v>
                </c:pt>
                <c:pt idx="7">
                  <c:v>12598.768474596216</c:v>
                </c:pt>
                <c:pt idx="8">
                  <c:v>9555.5476579864408</c:v>
                </c:pt>
                <c:pt idx="9">
                  <c:v>5308.0798469892015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D3F-4ECC-9441-248EE7A2EAAF}"/>
            </c:ext>
          </c:extLst>
        </c:ser>
        <c:ser>
          <c:idx val="25"/>
          <c:order val="25"/>
          <c:tx>
            <c:strRef>
              <c:f>IRS!$B$49</c:f>
              <c:strCache>
                <c:ptCount val="1"/>
                <c:pt idx="0">
                  <c:v>Simulation 26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IRS!$C$49:$M$49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4561.8031875360502</c:v>
                </c:pt>
                <c:pt idx="3">
                  <c:v>8910.7015169761962</c:v>
                </c:pt>
                <c:pt idx="4">
                  <c:v>11726.170018624158</c:v>
                </c:pt>
                <c:pt idx="5">
                  <c:v>13132.495924444243</c:v>
                </c:pt>
                <c:pt idx="6">
                  <c:v>13128.029941009958</c:v>
                </c:pt>
                <c:pt idx="7">
                  <c:v>11726.4084906481</c:v>
                </c:pt>
                <c:pt idx="8">
                  <c:v>8992.6616566020348</c:v>
                </c:pt>
                <c:pt idx="9">
                  <c:v>5037.5615763825454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D3F-4ECC-9441-248EE7A2EAAF}"/>
            </c:ext>
          </c:extLst>
        </c:ser>
        <c:ser>
          <c:idx val="26"/>
          <c:order val="26"/>
          <c:tx>
            <c:strRef>
              <c:f>IRS!$B$50</c:f>
              <c:strCache>
                <c:ptCount val="1"/>
                <c:pt idx="0">
                  <c:v>Simulation 27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IRS!$C$50:$M$50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5192.8083061556308</c:v>
                </c:pt>
                <c:pt idx="3">
                  <c:v>9533.3826125582582</c:v>
                </c:pt>
                <c:pt idx="4">
                  <c:v>12310.628338456932</c:v>
                </c:pt>
                <c:pt idx="5">
                  <c:v>13651.997283224599</c:v>
                </c:pt>
                <c:pt idx="6">
                  <c:v>13561.654196599375</c:v>
                </c:pt>
                <c:pt idx="7">
                  <c:v>12059.598165631869</c:v>
                </c:pt>
                <c:pt idx="8">
                  <c:v>9216.8143869313935</c:v>
                </c:pt>
                <c:pt idx="9">
                  <c:v>5149.2210560028934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D3F-4ECC-9441-248EE7A2EAAF}"/>
            </c:ext>
          </c:extLst>
        </c:ser>
        <c:ser>
          <c:idx val="27"/>
          <c:order val="27"/>
          <c:tx>
            <c:strRef>
              <c:f>IRS!$B$51</c:f>
              <c:strCache>
                <c:ptCount val="1"/>
                <c:pt idx="0">
                  <c:v>Simulation 28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IRS!$C$51:$M$51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5948.5074447268671</c:v>
                </c:pt>
                <c:pt idx="3">
                  <c:v>10172.236920788571</c:v>
                </c:pt>
                <c:pt idx="4">
                  <c:v>12837.017144597385</c:v>
                </c:pt>
                <c:pt idx="5">
                  <c:v>14069.673691539461</c:v>
                </c:pt>
                <c:pt idx="6">
                  <c:v>13876.338686452193</c:v>
                </c:pt>
                <c:pt idx="7">
                  <c:v>12279.428648686076</c:v>
                </c:pt>
                <c:pt idx="8">
                  <c:v>9351.8840161791595</c:v>
                </c:pt>
                <c:pt idx="9">
                  <c:v>5210.8324331458025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D3F-4ECC-9441-248EE7A2EAAF}"/>
            </c:ext>
          </c:extLst>
        </c:ser>
        <c:ser>
          <c:idx val="28"/>
          <c:order val="28"/>
          <c:tx>
            <c:strRef>
              <c:f>IRS!$B$52</c:f>
              <c:strCache>
                <c:ptCount val="1"/>
                <c:pt idx="0">
                  <c:v>Simulation 29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IRS!$C$52:$M$52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496.67719486665465</c:v>
                </c:pt>
                <c:pt idx="3">
                  <c:v>5680.5948086578646</c:v>
                </c:pt>
                <c:pt idx="4">
                  <c:v>9222.5879384264117</c:v>
                </c:pt>
                <c:pt idx="5">
                  <c:v>11249.131875735678</c:v>
                </c:pt>
                <c:pt idx="6">
                  <c:v>11768.392763864162</c:v>
                </c:pt>
                <c:pt idx="7">
                  <c:v>10805.788870262879</c:v>
                </c:pt>
                <c:pt idx="8">
                  <c:v>8437.9836525268729</c:v>
                </c:pt>
                <c:pt idx="9">
                  <c:v>4786.484747048723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D3F-4ECC-9441-248EE7A2EAAF}"/>
            </c:ext>
          </c:extLst>
        </c:ser>
        <c:ser>
          <c:idx val="29"/>
          <c:order val="29"/>
          <c:tx>
            <c:strRef>
              <c:f>IRS!$B$53</c:f>
              <c:strCache>
                <c:ptCount val="1"/>
                <c:pt idx="0">
                  <c:v>Simulation 30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IRS!$C$53:$M$53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1608.7029393457919</c:v>
                </c:pt>
                <c:pt idx="3">
                  <c:v>6760.876574072835</c:v>
                </c:pt>
                <c:pt idx="4">
                  <c:v>10225.27500353327</c:v>
                </c:pt>
                <c:pt idx="5">
                  <c:v>12134.323983634167</c:v>
                </c:pt>
                <c:pt idx="6">
                  <c:v>12504.763567076636</c:v>
                </c:pt>
                <c:pt idx="7">
                  <c:v>11371.124159202196</c:v>
                </c:pt>
                <c:pt idx="8">
                  <c:v>8818.6844308949003</c:v>
                </c:pt>
                <c:pt idx="9">
                  <c:v>4976.5740021061911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D3F-4ECC-9441-248EE7A2EAAF}"/>
            </c:ext>
          </c:extLst>
        </c:ser>
        <c:ser>
          <c:idx val="30"/>
          <c:order val="30"/>
          <c:tx>
            <c:strRef>
              <c:f>IRS!$B$54</c:f>
              <c:strCache>
                <c:ptCount val="1"/>
                <c:pt idx="0">
                  <c:v>Simulation 31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IRS!$C$54:$M$54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801.73322985156847</c:v>
                </c:pt>
                <c:pt idx="3">
                  <c:v>6132.8650402755557</c:v>
                </c:pt>
                <c:pt idx="4">
                  <c:v>9757.591367746114</c:v>
                </c:pt>
                <c:pt idx="5">
                  <c:v>11803.887510787054</c:v>
                </c:pt>
                <c:pt idx="6">
                  <c:v>12287.190721311506</c:v>
                </c:pt>
                <c:pt idx="7">
                  <c:v>11242.068865572477</c:v>
                </c:pt>
                <c:pt idx="8">
                  <c:v>8754.5231173409011</c:v>
                </c:pt>
                <c:pt idx="9">
                  <c:v>4954.8785140830696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D3F-4ECC-9441-248EE7A2EAAF}"/>
            </c:ext>
          </c:extLst>
        </c:ser>
        <c:ser>
          <c:idx val="31"/>
          <c:order val="31"/>
          <c:tx>
            <c:strRef>
              <c:f>IRS!$B$55</c:f>
              <c:strCache>
                <c:ptCount val="1"/>
                <c:pt idx="0">
                  <c:v>Simulation 32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IRS!$C$55:$M$55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3037.5898629468802</c:v>
                </c:pt>
                <c:pt idx="3">
                  <c:v>8105.5124585443746</c:v>
                </c:pt>
                <c:pt idx="4">
                  <c:v>11460.966072437226</c:v>
                </c:pt>
                <c:pt idx="5">
                  <c:v>13230.002315423168</c:v>
                </c:pt>
                <c:pt idx="6">
                  <c:v>13429.515963524864</c:v>
                </c:pt>
                <c:pt idx="7">
                  <c:v>12096.845717966578</c:v>
                </c:pt>
                <c:pt idx="8">
                  <c:v>9321.086436867492</c:v>
                </c:pt>
                <c:pt idx="9">
                  <c:v>5235.5675928709834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D3F-4ECC-9441-248EE7A2EAAF}"/>
            </c:ext>
          </c:extLst>
        </c:ser>
        <c:ser>
          <c:idx val="32"/>
          <c:order val="32"/>
          <c:tx>
            <c:strRef>
              <c:f>IRS!$B$56</c:f>
              <c:strCache>
                <c:ptCount val="1"/>
                <c:pt idx="0">
                  <c:v>Simulation 33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IRS!$C$56:$M$56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1876.6715737764298</c:v>
                </c:pt>
                <c:pt idx="3">
                  <c:v>7142.0640845037178</c:v>
                </c:pt>
                <c:pt idx="4">
                  <c:v>10687.006223570792</c:v>
                </c:pt>
                <c:pt idx="5">
                  <c:v>12631.552434513533</c:v>
                </c:pt>
                <c:pt idx="6">
                  <c:v>12989.607273556441</c:v>
                </c:pt>
                <c:pt idx="7">
                  <c:v>11796.788147923724</c:v>
                </c:pt>
                <c:pt idx="8">
                  <c:v>9141.1661032503744</c:v>
                </c:pt>
                <c:pt idx="9">
                  <c:v>5155.614172317155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D3F-4ECC-9441-248EE7A2EAAF}"/>
            </c:ext>
          </c:extLst>
        </c:ser>
        <c:ser>
          <c:idx val="33"/>
          <c:order val="33"/>
          <c:tx>
            <c:strRef>
              <c:f>IRS!$B$57</c:f>
              <c:strCache>
                <c:ptCount val="1"/>
                <c:pt idx="0">
                  <c:v>Simulation 34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IRS!$C$57:$M$57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3559.9741127872353</c:v>
                </c:pt>
                <c:pt idx="4">
                  <c:v>7738.1491557346253</c:v>
                </c:pt>
                <c:pt idx="5">
                  <c:v>10276.866361103666</c:v>
                </c:pt>
                <c:pt idx="6">
                  <c:v>11188.551592378102</c:v>
                </c:pt>
                <c:pt idx="7">
                  <c:v>10508.086207162689</c:v>
                </c:pt>
                <c:pt idx="8">
                  <c:v>8323.2408548588319</c:v>
                </c:pt>
                <c:pt idx="9">
                  <c:v>4767.032927434273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D3F-4ECC-9441-248EE7A2EAAF}"/>
            </c:ext>
          </c:extLst>
        </c:ser>
        <c:ser>
          <c:idx val="34"/>
          <c:order val="34"/>
          <c:tx>
            <c:strRef>
              <c:f>IRS!$B$58</c:f>
              <c:strCache>
                <c:ptCount val="1"/>
                <c:pt idx="0">
                  <c:v>Simulation 35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IRS!$C$58:$M$58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2186.1410949412548</c:v>
                </c:pt>
                <c:pt idx="4">
                  <c:v>6543.217154276268</c:v>
                </c:pt>
                <c:pt idx="5">
                  <c:v>9277.7846110792416</c:v>
                </c:pt>
                <c:pt idx="6">
                  <c:v>10394.651157039665</c:v>
                </c:pt>
                <c:pt idx="7">
                  <c:v>9922.1726618114444</c:v>
                </c:pt>
                <c:pt idx="8">
                  <c:v>7942.2542690217761</c:v>
                </c:pt>
                <c:pt idx="9">
                  <c:v>4582.760958130857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D3F-4ECC-9441-248EE7A2EAAF}"/>
            </c:ext>
          </c:extLst>
        </c:ser>
        <c:ser>
          <c:idx val="35"/>
          <c:order val="35"/>
          <c:tx>
            <c:strRef>
              <c:f>IRS!$B$59</c:f>
              <c:strCache>
                <c:ptCount val="1"/>
                <c:pt idx="0">
                  <c:v>Simulation 36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IRS!$C$59:$M$59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2636.9100525041813</c:v>
                </c:pt>
                <c:pt idx="4">
                  <c:v>6844.5599526647202</c:v>
                </c:pt>
                <c:pt idx="5">
                  <c:v>9470.2265857574639</c:v>
                </c:pt>
                <c:pt idx="6">
                  <c:v>10510.490702212102</c:v>
                </c:pt>
                <c:pt idx="7">
                  <c:v>9986.660028693881</c:v>
                </c:pt>
                <c:pt idx="8">
                  <c:v>7974.1536275973122</c:v>
                </c:pt>
                <c:pt idx="9">
                  <c:v>4594.8918224437211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D3F-4ECC-9441-248EE7A2EAAF}"/>
            </c:ext>
          </c:extLst>
        </c:ser>
        <c:ser>
          <c:idx val="36"/>
          <c:order val="36"/>
          <c:tx>
            <c:strRef>
              <c:f>IRS!$B$60</c:f>
              <c:strCache>
                <c:ptCount val="1"/>
                <c:pt idx="0">
                  <c:v>Simulation 37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IRS!$C$60:$M$60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472.75138680653254</c:v>
                </c:pt>
                <c:pt idx="4">
                  <c:v>5043.7487116749189</c:v>
                </c:pt>
                <c:pt idx="5">
                  <c:v>8021.8209905079511</c:v>
                </c:pt>
                <c:pt idx="6">
                  <c:v>9398.3072914359036</c:v>
                </c:pt>
                <c:pt idx="7">
                  <c:v>9190.3905630286499</c:v>
                </c:pt>
                <c:pt idx="8">
                  <c:v>7470.123199557338</c:v>
                </c:pt>
                <c:pt idx="9">
                  <c:v>4356.8422814773885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D3F-4ECC-9441-248EE7A2EAAF}"/>
            </c:ext>
          </c:extLst>
        </c:ser>
        <c:ser>
          <c:idx val="37"/>
          <c:order val="37"/>
          <c:tx>
            <c:strRef>
              <c:f>IRS!$B$61</c:f>
              <c:strCache>
                <c:ptCount val="1"/>
                <c:pt idx="0">
                  <c:v>Simulation 38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IRS!$C$61:$M$61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61.83354220846013</c:v>
                </c:pt>
                <c:pt idx="4">
                  <c:v>4740.7323194289202</c:v>
                </c:pt>
                <c:pt idx="5">
                  <c:v>7811.6385664149966</c:v>
                </c:pt>
                <c:pt idx="6">
                  <c:v>9264.1870065886214</c:v>
                </c:pt>
                <c:pt idx="7">
                  <c:v>9115.0424695674101</c:v>
                </c:pt>
                <c:pt idx="8">
                  <c:v>7436.323018510474</c:v>
                </c:pt>
                <c:pt idx="9">
                  <c:v>4347.8503404630228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D3F-4ECC-9441-248EE7A2EAAF}"/>
            </c:ext>
          </c:extLst>
        </c:ser>
        <c:ser>
          <c:idx val="38"/>
          <c:order val="38"/>
          <c:tx>
            <c:strRef>
              <c:f>IRS!$B$62</c:f>
              <c:strCache>
                <c:ptCount val="1"/>
                <c:pt idx="0">
                  <c:v>Simulation 39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IRS!$C$62:$M$62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2568.3257930129625</c:v>
                </c:pt>
                <c:pt idx="4">
                  <c:v>6836.5391648443747</c:v>
                </c:pt>
                <c:pt idx="5">
                  <c:v>9507.1578910117423</c:v>
                </c:pt>
                <c:pt idx="6">
                  <c:v>10574.250482767437</c:v>
                </c:pt>
                <c:pt idx="7">
                  <c:v>10059.275065204292</c:v>
                </c:pt>
                <c:pt idx="8">
                  <c:v>8038.4458843076318</c:v>
                </c:pt>
                <c:pt idx="9">
                  <c:v>4634.5890401274828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D3F-4ECC-9441-248EE7A2EAAF}"/>
            </c:ext>
          </c:extLst>
        </c:ser>
        <c:ser>
          <c:idx val="39"/>
          <c:order val="39"/>
          <c:tx>
            <c:strRef>
              <c:f>IRS!$B$63</c:f>
              <c:strCache>
                <c:ptCount val="1"/>
                <c:pt idx="0">
                  <c:v>Simulation 40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IRS!$C$63:$M$63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3924.877504336936</c:v>
                </c:pt>
                <c:pt idx="4">
                  <c:v>8020.1498349429148</c:v>
                </c:pt>
                <c:pt idx="5">
                  <c:v>10510.716498429687</c:v>
                </c:pt>
                <c:pt idx="6">
                  <c:v>11389.676437760287</c:v>
                </c:pt>
                <c:pt idx="7">
                  <c:v>10678.960874063303</c:v>
                </c:pt>
                <c:pt idx="8">
                  <c:v>8455.9185799729166</c:v>
                </c:pt>
                <c:pt idx="9">
                  <c:v>4844.8855333400079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D3F-4ECC-9441-248EE7A2EAAF}"/>
            </c:ext>
          </c:extLst>
        </c:ser>
        <c:ser>
          <c:idx val="40"/>
          <c:order val="40"/>
          <c:tx>
            <c:strRef>
              <c:f>IRS!$B$64</c:f>
              <c:strCache>
                <c:ptCount val="1"/>
                <c:pt idx="0">
                  <c:v>Simulation 41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IRS!$C$64:$M$64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5115.5455759040615</c:v>
                </c:pt>
                <c:pt idx="4">
                  <c:v>8977.8630897980474</c:v>
                </c:pt>
                <c:pt idx="5">
                  <c:v>11258.738145114521</c:v>
                </c:pt>
                <c:pt idx="6">
                  <c:v>11949.592761742502</c:v>
                </c:pt>
                <c:pt idx="7">
                  <c:v>11071.322754278928</c:v>
                </c:pt>
                <c:pt idx="8">
                  <c:v>8700.1137798717955</c:v>
                </c:pt>
                <c:pt idx="9">
                  <c:v>4958.8398188326591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D3F-4ECC-9441-248EE7A2EAAF}"/>
            </c:ext>
          </c:extLst>
        </c:ser>
        <c:ser>
          <c:idx val="41"/>
          <c:order val="41"/>
          <c:tx>
            <c:strRef>
              <c:f>IRS!$B$65</c:f>
              <c:strCache>
                <c:ptCount val="1"/>
                <c:pt idx="0">
                  <c:v>Simulation 42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IRS!$C$65:$M$65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4656.5474491460946</c:v>
                </c:pt>
                <c:pt idx="4">
                  <c:v>8627.7753521423656</c:v>
                </c:pt>
                <c:pt idx="5">
                  <c:v>11002.174053293114</c:v>
                </c:pt>
                <c:pt idx="6">
                  <c:v>11771.194574651083</c:v>
                </c:pt>
                <c:pt idx="7">
                  <c:v>10956.575168003419</c:v>
                </c:pt>
                <c:pt idx="8">
                  <c:v>8635.559561447868</c:v>
                </c:pt>
                <c:pt idx="9">
                  <c:v>4932.1354611462457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D3F-4ECC-9441-248EE7A2EAAF}"/>
            </c:ext>
          </c:extLst>
        </c:ser>
        <c:ser>
          <c:idx val="42"/>
          <c:order val="42"/>
          <c:tx>
            <c:strRef>
              <c:f>IRS!$B$66</c:f>
              <c:strCache>
                <c:ptCount val="1"/>
                <c:pt idx="0">
                  <c:v>Simulation 43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IRS!$C$66:$M$66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3736.4128532440745</c:v>
                </c:pt>
                <c:pt idx="4">
                  <c:v>7859.8197319239553</c:v>
                </c:pt>
                <c:pt idx="5">
                  <c:v>10375.646682025377</c:v>
                </c:pt>
                <c:pt idx="6">
                  <c:v>11277.898275440188</c:v>
                </c:pt>
                <c:pt idx="7">
                  <c:v>10590.894768412476</c:v>
                </c:pt>
                <c:pt idx="8">
                  <c:v>8393.8796685315338</c:v>
                </c:pt>
                <c:pt idx="9">
                  <c:v>4812.1269674819205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D3F-4ECC-9441-248EE7A2EAAF}"/>
            </c:ext>
          </c:extLst>
        </c:ser>
        <c:ser>
          <c:idx val="43"/>
          <c:order val="43"/>
          <c:tx>
            <c:strRef>
              <c:f>IRS!$B$67</c:f>
              <c:strCache>
                <c:ptCount val="1"/>
                <c:pt idx="0">
                  <c:v>Simulation 44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IRS!$C$67:$M$67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3863.7633504570981</c:v>
                </c:pt>
                <c:pt idx="4">
                  <c:v>7950.1974239011815</c:v>
                </c:pt>
                <c:pt idx="5">
                  <c:v>10433.561290087982</c:v>
                </c:pt>
                <c:pt idx="6">
                  <c:v>11308.993614368064</c:v>
                </c:pt>
                <c:pt idx="7">
                  <c:v>10602.175795617932</c:v>
                </c:pt>
                <c:pt idx="8">
                  <c:v>8393.2576924238801</c:v>
                </c:pt>
                <c:pt idx="9">
                  <c:v>4807.8128160813603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D3F-4ECC-9441-248EE7A2EAAF}"/>
            </c:ext>
          </c:extLst>
        </c:ser>
        <c:ser>
          <c:idx val="44"/>
          <c:order val="44"/>
          <c:tx>
            <c:strRef>
              <c:f>IRS!$B$68</c:f>
              <c:strCache>
                <c:ptCount val="1"/>
                <c:pt idx="0">
                  <c:v>Simulation 45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IRS!$C$68:$M$68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2148.3266381188869</c:v>
                </c:pt>
                <c:pt idx="5">
                  <c:v>5750.344711567247</c:v>
                </c:pt>
                <c:pt idx="6">
                  <c:v>7691.8263969709724</c:v>
                </c:pt>
                <c:pt idx="7">
                  <c:v>7991.5229866199188</c:v>
                </c:pt>
                <c:pt idx="8">
                  <c:v>6723.6966798544254</c:v>
                </c:pt>
                <c:pt idx="9">
                  <c:v>4009.4304867497281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D3F-4ECC-9441-248EE7A2EAAF}"/>
            </c:ext>
          </c:extLst>
        </c:ser>
        <c:ser>
          <c:idx val="45"/>
          <c:order val="45"/>
          <c:tx>
            <c:strRef>
              <c:f>IRS!$B$69</c:f>
              <c:strCache>
                <c:ptCount val="1"/>
                <c:pt idx="0">
                  <c:v>Simulation 46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IRS!$C$69:$M$69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4499.6465029062056</c:v>
                </c:pt>
                <c:pt idx="5">
                  <c:v>7578.7490939905556</c:v>
                </c:pt>
                <c:pt idx="6">
                  <c:v>9049.1681207016081</c:v>
                </c:pt>
                <c:pt idx="7">
                  <c:v>8930.9868241706063</c:v>
                </c:pt>
                <c:pt idx="8">
                  <c:v>7298.6488733110837</c:v>
                </c:pt>
                <c:pt idx="9">
                  <c:v>4272.032745224632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D3F-4ECC-9441-248EE7A2EAAF}"/>
            </c:ext>
          </c:extLst>
        </c:ser>
        <c:ser>
          <c:idx val="46"/>
          <c:order val="46"/>
          <c:tx>
            <c:strRef>
              <c:f>IRS!$B$70</c:f>
              <c:strCache>
                <c:ptCount val="1"/>
                <c:pt idx="0">
                  <c:v>Simulation 47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IRS!$C$70:$M$70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1209.5149177994535</c:v>
                </c:pt>
                <c:pt idx="4">
                  <c:v>5672.1776825870611</c:v>
                </c:pt>
                <c:pt idx="5">
                  <c:v>8540.9870711585208</c:v>
                </c:pt>
                <c:pt idx="6">
                  <c:v>9805.3886533591794</c:v>
                </c:pt>
                <c:pt idx="7">
                  <c:v>9486.7644814673404</c:v>
                </c:pt>
                <c:pt idx="8">
                  <c:v>7660.8745467495373</c:v>
                </c:pt>
                <c:pt idx="9">
                  <c:v>4448.6972063238418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D3F-4ECC-9441-248EE7A2EAAF}"/>
            </c:ext>
          </c:extLst>
        </c:ser>
        <c:ser>
          <c:idx val="47"/>
          <c:order val="47"/>
          <c:tx>
            <c:strRef>
              <c:f>IRS!$B$71</c:f>
              <c:strCache>
                <c:ptCount val="1"/>
                <c:pt idx="0">
                  <c:v>Simulation 48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IRS!$C$71:$M$71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1740.7738267747604</c:v>
                </c:pt>
                <c:pt idx="4">
                  <c:v>6134.3460138881019</c:v>
                </c:pt>
                <c:pt idx="5">
                  <c:v>8925.7223453243987</c:v>
                </c:pt>
                <c:pt idx="6">
                  <c:v>10108.141501321563</c:v>
                </c:pt>
                <c:pt idx="7">
                  <c:v>9706.9769768936494</c:v>
                </c:pt>
                <c:pt idx="8">
                  <c:v>7801.4453158221568</c:v>
                </c:pt>
                <c:pt idx="9">
                  <c:v>4515.2144974044922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D3F-4ECC-9441-248EE7A2EAAF}"/>
            </c:ext>
          </c:extLst>
        </c:ser>
        <c:ser>
          <c:idx val="48"/>
          <c:order val="48"/>
          <c:tx>
            <c:strRef>
              <c:f>IRS!$B$72</c:f>
              <c:strCache>
                <c:ptCount val="1"/>
                <c:pt idx="0">
                  <c:v>Simulation 49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IRS!$C$72:$M$72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363.53176159738587</c:v>
                </c:pt>
                <c:pt idx="4">
                  <c:v>5033.6947362102674</c:v>
                </c:pt>
                <c:pt idx="5">
                  <c:v>8074.7052661183088</c:v>
                </c:pt>
                <c:pt idx="6">
                  <c:v>9479.3537069312442</c:v>
                </c:pt>
                <c:pt idx="7">
                  <c:v>9273.419595933301</c:v>
                </c:pt>
                <c:pt idx="8">
                  <c:v>7536.9431340145184</c:v>
                </c:pt>
                <c:pt idx="9">
                  <c:v>4394.7375514418409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D3F-4ECC-9441-248EE7A2EAAF}"/>
            </c:ext>
          </c:extLst>
        </c:ser>
        <c:ser>
          <c:idx val="49"/>
          <c:order val="49"/>
          <c:tx>
            <c:strRef>
              <c:f>IRS!$B$73</c:f>
              <c:strCache>
                <c:ptCount val="1"/>
                <c:pt idx="0">
                  <c:v>Simulation 50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IRS!$C$73:$M$73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1574.6862898413879</c:v>
                </c:pt>
                <c:pt idx="5">
                  <c:v>5304.6324031894274</c:v>
                </c:pt>
                <c:pt idx="6">
                  <c:v>7360.2122706526989</c:v>
                </c:pt>
                <c:pt idx="7">
                  <c:v>7760.9502783497283</c:v>
                </c:pt>
                <c:pt idx="8">
                  <c:v>6581.9330887173128</c:v>
                </c:pt>
                <c:pt idx="9">
                  <c:v>3944.5050986622368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D3F-4ECC-9441-248EE7A2EAAF}"/>
            </c:ext>
          </c:extLst>
        </c:ser>
        <c:ser>
          <c:idx val="50"/>
          <c:order val="50"/>
          <c:tx>
            <c:strRef>
              <c:f>IRS!$B$74</c:f>
              <c:strCache>
                <c:ptCount val="1"/>
                <c:pt idx="0">
                  <c:v>Simulation 51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IRS!$C$23:$M$23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cat>
          <c:val>
            <c:numRef>
              <c:f>IRS!$C$74:$M$74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2856.7749530590672</c:v>
                </c:pt>
                <c:pt idx="6">
                  <c:v>5428.2223952409477</c:v>
                </c:pt>
                <c:pt idx="7">
                  <c:v>6339.8515761540166</c:v>
                </c:pt>
                <c:pt idx="8">
                  <c:v>5658.0517054001048</c:v>
                </c:pt>
                <c:pt idx="9">
                  <c:v>3496.4605405136635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6-4334-A596-5C3BA08D2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0905520"/>
        <c:axId val="860904864"/>
      </c:lineChart>
      <c:catAx>
        <c:axId val="86090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904864"/>
        <c:crosses val="autoZero"/>
        <c:auto val="1"/>
        <c:lblAlgn val="ctr"/>
        <c:lblOffset val="100"/>
        <c:noMultiLvlLbl val="0"/>
      </c:catAx>
      <c:valAx>
        <c:axId val="86090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90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Simulated</a:t>
            </a:r>
            <a:r>
              <a:rPr lang="en-GB" baseline="0"/>
              <a:t> Exp. Exposure for T1 onwards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IRS!$B$24</c:f>
              <c:strCache>
                <c:ptCount val="1"/>
                <c:pt idx="0">
                  <c:v>Simulation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IRS!$D$24:$M$24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2302.91695762566</c:v>
                </c:pt>
                <c:pt idx="5">
                  <c:v>4971.3672242155808</c:v>
                </c:pt>
                <c:pt idx="6">
                  <c:v>5988.9511858465812</c:v>
                </c:pt>
                <c:pt idx="7">
                  <c:v>5416.2700067541946</c:v>
                </c:pt>
                <c:pt idx="8">
                  <c:v>3369.3937072993895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32-4F57-B5BC-CFB42A84AD0E}"/>
            </c:ext>
          </c:extLst>
        </c:ser>
        <c:ser>
          <c:idx val="1"/>
          <c:order val="1"/>
          <c:tx>
            <c:strRef>
              <c:f>IRS!$B$25</c:f>
              <c:strCache>
                <c:ptCount val="1"/>
                <c:pt idx="0">
                  <c:v>Simulation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IRS!$D$25:$M$25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3253.9320492499487</c:v>
                </c:pt>
                <c:pt idx="5">
                  <c:v>5715.2382859755862</c:v>
                </c:pt>
                <c:pt idx="6">
                  <c:v>6528.9189817282022</c:v>
                </c:pt>
                <c:pt idx="7">
                  <c:v>5761.4275923326659</c:v>
                </c:pt>
                <c:pt idx="8">
                  <c:v>3533.4499384399574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32-4F57-B5BC-CFB42A84AD0E}"/>
            </c:ext>
          </c:extLst>
        </c:ser>
        <c:ser>
          <c:idx val="2"/>
          <c:order val="2"/>
          <c:tx>
            <c:strRef>
              <c:f>IRS!$B$26</c:f>
              <c:strCache>
                <c:ptCount val="1"/>
                <c:pt idx="0">
                  <c:v>Simulation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IRS!$D$26:$M$26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1884.0156879095266</c:v>
                </c:pt>
                <c:pt idx="5">
                  <c:v>4654.2742572015068</c:v>
                </c:pt>
                <c:pt idx="6">
                  <c:v>5764.1357141605349</c:v>
                </c:pt>
                <c:pt idx="7">
                  <c:v>5274.8563264760542</c:v>
                </c:pt>
                <c:pt idx="8">
                  <c:v>3302.8536555887135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32-4F57-B5BC-CFB42A84AD0E}"/>
            </c:ext>
          </c:extLst>
        </c:ser>
        <c:ser>
          <c:idx val="3"/>
          <c:order val="3"/>
          <c:tx>
            <c:strRef>
              <c:f>IRS!$B$27</c:f>
              <c:strCache>
                <c:ptCount val="1"/>
                <c:pt idx="0">
                  <c:v>Simulation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IRS!$D$27:$M$27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147.33303133841082</c:v>
                </c:pt>
                <c:pt idx="5">
                  <c:v>3295.5655784355963</c:v>
                </c:pt>
                <c:pt idx="6">
                  <c:v>4772.7419670448126</c:v>
                </c:pt>
                <c:pt idx="7">
                  <c:v>4635.1187148928493</c:v>
                </c:pt>
                <c:pt idx="8">
                  <c:v>2994.7458756436999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32-4F57-B5BC-CFB42A84AD0E}"/>
            </c:ext>
          </c:extLst>
        </c:ser>
        <c:ser>
          <c:idx val="4"/>
          <c:order val="4"/>
          <c:tx>
            <c:strRef>
              <c:f>IRS!$B$28</c:f>
              <c:strCache>
                <c:ptCount val="1"/>
                <c:pt idx="0">
                  <c:v>Simulation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IRS!$D$28:$M$28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906.55333721781108</c:v>
                </c:pt>
                <c:pt idx="5">
                  <c:v>3913.1483497674999</c:v>
                </c:pt>
                <c:pt idx="6">
                  <c:v>5239.5449729205775</c:v>
                </c:pt>
                <c:pt idx="7">
                  <c:v>4946.2832103544379</c:v>
                </c:pt>
                <c:pt idx="8">
                  <c:v>3149.2212259816833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32-4F57-B5BC-CFB42A84AD0E}"/>
            </c:ext>
          </c:extLst>
        </c:ser>
        <c:ser>
          <c:idx val="5"/>
          <c:order val="5"/>
          <c:tx>
            <c:strRef>
              <c:f>IRS!$B$29</c:f>
              <c:strCache>
                <c:ptCount val="1"/>
                <c:pt idx="0">
                  <c:v>Simulation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IRS!$D$29:$M$29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2608.4782672190536</c:v>
                </c:pt>
                <c:pt idx="5">
                  <c:v>5217.3257719843705</c:v>
                </c:pt>
                <c:pt idx="6">
                  <c:v>6173.9735398737485</c:v>
                </c:pt>
                <c:pt idx="7">
                  <c:v>5539.9949781065425</c:v>
                </c:pt>
                <c:pt idx="8">
                  <c:v>3431.5712562021054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A32-4F57-B5BC-CFB42A84AD0E}"/>
            </c:ext>
          </c:extLst>
        </c:ser>
        <c:ser>
          <c:idx val="6"/>
          <c:order val="6"/>
          <c:tx>
            <c:strRef>
              <c:f>IRS!$B$30</c:f>
              <c:strCache>
                <c:ptCount val="1"/>
                <c:pt idx="0">
                  <c:v>Simulation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IRS!$D$30:$M$30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559.38986658909516</c:v>
                </c:pt>
                <c:pt idx="4">
                  <c:v>4458.6002182146185</c:v>
                </c:pt>
                <c:pt idx="5">
                  <c:v>6684.8269614576766</c:v>
                </c:pt>
                <c:pt idx="6">
                  <c:v>7256.5090391019185</c:v>
                </c:pt>
                <c:pt idx="7">
                  <c:v>6244.6058338204766</c:v>
                </c:pt>
                <c:pt idx="8">
                  <c:v>3773.2339175459119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A32-4F57-B5BC-CFB42A84AD0E}"/>
            </c:ext>
          </c:extLst>
        </c:ser>
        <c:ser>
          <c:idx val="7"/>
          <c:order val="7"/>
          <c:tx>
            <c:strRef>
              <c:f>IRS!$B$31</c:f>
              <c:strCache>
                <c:ptCount val="1"/>
                <c:pt idx="0">
                  <c:v>Simulation 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IRS!$D$31:$M$31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3786.0276424359522</c:v>
                </c:pt>
                <c:pt idx="5">
                  <c:v>6133.6654343051287</c:v>
                </c:pt>
                <c:pt idx="6">
                  <c:v>6833.7323256458094</c:v>
                </c:pt>
                <c:pt idx="7">
                  <c:v>5957.103189581645</c:v>
                </c:pt>
                <c:pt idx="8">
                  <c:v>3627.0997543115268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A32-4F57-B5BC-CFB42A84AD0E}"/>
            </c:ext>
          </c:extLst>
        </c:ser>
        <c:ser>
          <c:idx val="8"/>
          <c:order val="8"/>
          <c:tx>
            <c:strRef>
              <c:f>IRS!$B$32</c:f>
              <c:strCache>
                <c:ptCount val="1"/>
                <c:pt idx="0">
                  <c:v>Simulation 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IRS!$D$32:$M$32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3832.5683962937155</c:v>
                </c:pt>
                <c:pt idx="5">
                  <c:v>6128.0849842611387</c:v>
                </c:pt>
                <c:pt idx="6">
                  <c:v>6799.0020440434891</c:v>
                </c:pt>
                <c:pt idx="7">
                  <c:v>5914.9728967546744</c:v>
                </c:pt>
                <c:pt idx="8">
                  <c:v>3597.372432540752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A32-4F57-B5BC-CFB42A84AD0E}"/>
            </c:ext>
          </c:extLst>
        </c:ser>
        <c:ser>
          <c:idx val="9"/>
          <c:order val="9"/>
          <c:tx>
            <c:strRef>
              <c:f>IRS!$B$33</c:f>
              <c:strCache>
                <c:ptCount val="1"/>
                <c:pt idx="0">
                  <c:v>Simulation 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IRS!$D$33:$M$33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2919.6910609422966</c:v>
                </c:pt>
                <c:pt idx="4">
                  <c:v>6286.5517206428867</c:v>
                </c:pt>
                <c:pt idx="5">
                  <c:v>8033.0005470806827</c:v>
                </c:pt>
                <c:pt idx="6">
                  <c:v>8180.8248567911251</c:v>
                </c:pt>
                <c:pt idx="7">
                  <c:v>6803.3046586319433</c:v>
                </c:pt>
                <c:pt idx="8">
                  <c:v>4024.5173897570862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A32-4F57-B5BC-CFB42A84AD0E}"/>
            </c:ext>
          </c:extLst>
        </c:ser>
        <c:ser>
          <c:idx val="10"/>
          <c:order val="10"/>
          <c:tx>
            <c:strRef>
              <c:f>IRS!$B$34</c:f>
              <c:strCache>
                <c:ptCount val="1"/>
                <c:pt idx="0">
                  <c:v>Simulation 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IRS!$D$34:$M$34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3096.3327711642105</c:v>
                </c:pt>
                <c:pt idx="4">
                  <c:v>6497.0115767863972</c:v>
                </c:pt>
                <c:pt idx="5">
                  <c:v>8246.853475775597</c:v>
                </c:pt>
                <c:pt idx="6">
                  <c:v>8371.2562921527897</c:v>
                </c:pt>
                <c:pt idx="7">
                  <c:v>6947.5859081160443</c:v>
                </c:pt>
                <c:pt idx="8">
                  <c:v>4103.9956940445682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A32-4F57-B5BC-CFB42A84AD0E}"/>
            </c:ext>
          </c:extLst>
        </c:ser>
        <c:ser>
          <c:idx val="11"/>
          <c:order val="11"/>
          <c:tx>
            <c:strRef>
              <c:f>IRS!$B$35</c:f>
              <c:strCache>
                <c:ptCount val="1"/>
                <c:pt idx="0">
                  <c:v>Simulation 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IRS!$D$35:$M$35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2875.0890054166834</c:v>
                </c:pt>
                <c:pt idx="4">
                  <c:v>6332.1072133942253</c:v>
                </c:pt>
                <c:pt idx="5">
                  <c:v>8128.0123942221526</c:v>
                </c:pt>
                <c:pt idx="6">
                  <c:v>8290.168546077708</c:v>
                </c:pt>
                <c:pt idx="7">
                  <c:v>6897.8958998873932</c:v>
                </c:pt>
                <c:pt idx="8">
                  <c:v>4080.9216975041627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A32-4F57-B5BC-CFB42A84AD0E}"/>
            </c:ext>
          </c:extLst>
        </c:ser>
        <c:ser>
          <c:idx val="12"/>
          <c:order val="12"/>
          <c:tx>
            <c:strRef>
              <c:f>IRS!$B$36</c:f>
              <c:strCache>
                <c:ptCount val="1"/>
                <c:pt idx="0">
                  <c:v>Simulation 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IRS!$D$36:$M$36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3660.6373173758279</c:v>
                </c:pt>
                <c:pt idx="5">
                  <c:v>6079.1681688559111</c:v>
                </c:pt>
                <c:pt idx="6">
                  <c:v>6821.0185285441949</c:v>
                </c:pt>
                <c:pt idx="7">
                  <c:v>5963.92192098139</c:v>
                </c:pt>
                <c:pt idx="8">
                  <c:v>3636.6983636153977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A32-4F57-B5BC-CFB42A84AD0E}"/>
            </c:ext>
          </c:extLst>
        </c:ser>
        <c:ser>
          <c:idx val="13"/>
          <c:order val="13"/>
          <c:tx>
            <c:strRef>
              <c:f>IRS!$B$37</c:f>
              <c:strCache>
                <c:ptCount val="1"/>
                <c:pt idx="0">
                  <c:v>Simulation 14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IRS!$D$37:$M$37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3459.4828276127791</c:v>
                </c:pt>
                <c:pt idx="4">
                  <c:v>6848.7616090073661</c:v>
                </c:pt>
                <c:pt idx="5">
                  <c:v>8560.2328385600995</c:v>
                </c:pt>
                <c:pt idx="6">
                  <c:v>8624.8579564472384</c:v>
                </c:pt>
                <c:pt idx="7">
                  <c:v>7125.8571026065019</c:v>
                </c:pt>
                <c:pt idx="8">
                  <c:v>4196.3481419270656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A32-4F57-B5BC-CFB42A84AD0E}"/>
            </c:ext>
          </c:extLst>
        </c:ser>
        <c:ser>
          <c:idx val="14"/>
          <c:order val="14"/>
          <c:tx>
            <c:strRef>
              <c:f>IRS!$B$38</c:f>
              <c:strCache>
                <c:ptCount val="1"/>
                <c:pt idx="0">
                  <c:v>Simulation 15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IRS!$D$38:$M$38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2191.6475228744139</c:v>
                </c:pt>
                <c:pt idx="4">
                  <c:v>5772.6148699154883</c:v>
                </c:pt>
                <c:pt idx="5">
                  <c:v>7691.4324417966063</c:v>
                </c:pt>
                <c:pt idx="6">
                  <c:v>7972.8925148304561</c:v>
                </c:pt>
                <c:pt idx="7">
                  <c:v>6694.4572204447668</c:v>
                </c:pt>
                <c:pt idx="8">
                  <c:v>3983.855496609327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A32-4F57-B5BC-CFB42A84AD0E}"/>
            </c:ext>
          </c:extLst>
        </c:ser>
        <c:ser>
          <c:idx val="15"/>
          <c:order val="15"/>
          <c:tx>
            <c:strRef>
              <c:f>IRS!$B$39</c:f>
              <c:strCache>
                <c:ptCount val="1"/>
                <c:pt idx="0">
                  <c:v>Simulation 16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IRS!$D$39:$M$39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812.3380413032196</c:v>
                </c:pt>
                <c:pt idx="3">
                  <c:v>5321.0443779610941</c:v>
                </c:pt>
                <c:pt idx="4">
                  <c:v>8219.6272604710302</c:v>
                </c:pt>
                <c:pt idx="5">
                  <c:v>9524.1035898194932</c:v>
                </c:pt>
                <c:pt idx="6">
                  <c:v>9256.9188773193036</c:v>
                </c:pt>
                <c:pt idx="7">
                  <c:v>7492.7439024232244</c:v>
                </c:pt>
                <c:pt idx="8">
                  <c:v>4355.6054821886546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A32-4F57-B5BC-CFB42A84AD0E}"/>
            </c:ext>
          </c:extLst>
        </c:ser>
        <c:ser>
          <c:idx val="16"/>
          <c:order val="16"/>
          <c:tx>
            <c:strRef>
              <c:f>IRS!$B$40</c:f>
              <c:strCache>
                <c:ptCount val="1"/>
                <c:pt idx="0">
                  <c:v>Simulation 17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IRS!$D$40:$M$40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2577.2623176917637</c:v>
                </c:pt>
                <c:pt idx="3">
                  <c:v>6796.2571656666696</c:v>
                </c:pt>
                <c:pt idx="4">
                  <c:v>9416.6779667363407</c:v>
                </c:pt>
                <c:pt idx="5">
                  <c:v>10454.462438924407</c:v>
                </c:pt>
                <c:pt idx="6">
                  <c:v>9933.2049494802122</c:v>
                </c:pt>
                <c:pt idx="7">
                  <c:v>7928.7878913814056</c:v>
                </c:pt>
                <c:pt idx="8">
                  <c:v>4566.0639086411538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A32-4F57-B5BC-CFB42A84AD0E}"/>
            </c:ext>
          </c:extLst>
        </c:ser>
        <c:ser>
          <c:idx val="17"/>
          <c:order val="17"/>
          <c:tx>
            <c:strRef>
              <c:f>IRS!$B$41</c:f>
              <c:strCache>
                <c:ptCount val="1"/>
                <c:pt idx="0">
                  <c:v>Simulation 18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IRS!$D$41:$M$41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3543.6718430168444</c:v>
                </c:pt>
                <c:pt idx="3">
                  <c:v>7570.7612905898695</c:v>
                </c:pt>
                <c:pt idx="4">
                  <c:v>10016.837049732674</c:v>
                </c:pt>
                <c:pt idx="5">
                  <c:v>10897.842403924336</c:v>
                </c:pt>
                <c:pt idx="6">
                  <c:v>10238.110203087894</c:v>
                </c:pt>
                <c:pt idx="7">
                  <c:v>8113.9224258206141</c:v>
                </c:pt>
                <c:pt idx="8">
                  <c:v>4649.8473931908266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A32-4F57-B5BC-CFB42A84AD0E}"/>
            </c:ext>
          </c:extLst>
        </c:ser>
        <c:ser>
          <c:idx val="18"/>
          <c:order val="18"/>
          <c:tx>
            <c:strRef>
              <c:f>IRS!$B$42</c:f>
              <c:strCache>
                <c:ptCount val="1"/>
                <c:pt idx="0">
                  <c:v>Simulation 19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IRS!$D$42:$M$42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4155.7224038593231</c:v>
                </c:pt>
                <c:pt idx="3">
                  <c:v>8075.4235763923825</c:v>
                </c:pt>
                <c:pt idx="4">
                  <c:v>10418.204404645086</c:v>
                </c:pt>
                <c:pt idx="5">
                  <c:v>11201.324719015018</c:v>
                </c:pt>
                <c:pt idx="6">
                  <c:v>10451.138928101758</c:v>
                </c:pt>
                <c:pt idx="7">
                  <c:v>8245.6309338203737</c:v>
                </c:pt>
                <c:pt idx="8">
                  <c:v>4710.4005410718846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A32-4F57-B5BC-CFB42A84AD0E}"/>
            </c:ext>
          </c:extLst>
        </c:ser>
        <c:ser>
          <c:idx val="19"/>
          <c:order val="19"/>
          <c:tx>
            <c:strRef>
              <c:f>IRS!$B$43</c:f>
              <c:strCache>
                <c:ptCount val="1"/>
                <c:pt idx="0">
                  <c:v>Simulation 20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IRS!$D$43:$M$43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3560.1953651295235</c:v>
                </c:pt>
                <c:pt idx="3">
                  <c:v>7571.2425738150851</c:v>
                </c:pt>
                <c:pt idx="4">
                  <c:v>10005.655876512345</c:v>
                </c:pt>
                <c:pt idx="5">
                  <c:v>10878.656573221924</c:v>
                </c:pt>
                <c:pt idx="6">
                  <c:v>10215.539335450128</c:v>
                </c:pt>
                <c:pt idx="7">
                  <c:v>8093.4135304883921</c:v>
                </c:pt>
                <c:pt idx="8">
                  <c:v>4636.9840308510493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A32-4F57-B5BC-CFB42A84AD0E}"/>
            </c:ext>
          </c:extLst>
        </c:ser>
        <c:ser>
          <c:idx val="20"/>
          <c:order val="20"/>
          <c:tx>
            <c:strRef>
              <c:f>IRS!$B$44</c:f>
              <c:strCache>
                <c:ptCount val="1"/>
                <c:pt idx="0">
                  <c:v>Simulation 21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IRS!$D$44:$M$44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3158.4941033184191</c:v>
                </c:pt>
                <c:pt idx="3">
                  <c:v>7218.181694479641</c:v>
                </c:pt>
                <c:pt idx="4">
                  <c:v>9708.3666423088507</c:v>
                </c:pt>
                <c:pt idx="5">
                  <c:v>10641.025447602895</c:v>
                </c:pt>
                <c:pt idx="6">
                  <c:v>10039.283078501339</c:v>
                </c:pt>
                <c:pt idx="7">
                  <c:v>7978.3681331242515</c:v>
                </c:pt>
                <c:pt idx="8">
                  <c:v>4581.206838879194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A32-4F57-B5BC-CFB42A84AD0E}"/>
            </c:ext>
          </c:extLst>
        </c:ser>
        <c:ser>
          <c:idx val="21"/>
          <c:order val="21"/>
          <c:tx>
            <c:strRef>
              <c:f>IRS!$B$45</c:f>
              <c:strCache>
                <c:ptCount val="1"/>
                <c:pt idx="0">
                  <c:v>Simulation 22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IRS!$D$45:$M$45</c:f>
              <c:numCache>
                <c:formatCode>0</c:formatCode>
                <c:ptCount val="10"/>
                <c:pt idx="0">
                  <c:v>0</c:v>
                </c:pt>
                <c:pt idx="1">
                  <c:v>989.28970833791709</c:v>
                </c:pt>
                <c:pt idx="2">
                  <c:v>6281.6755184847625</c:v>
                </c:pt>
                <c:pt idx="3">
                  <c:v>9850.093964439824</c:v>
                </c:pt>
                <c:pt idx="4">
                  <c:v>11852.33948421694</c:v>
                </c:pt>
                <c:pt idx="5">
                  <c:v>12307.615533714477</c:v>
                </c:pt>
                <c:pt idx="6">
                  <c:v>11246.756079676979</c:v>
                </c:pt>
                <c:pt idx="7">
                  <c:v>8751.7878467608389</c:v>
                </c:pt>
                <c:pt idx="8">
                  <c:v>4950.9052930447269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A32-4F57-B5BC-CFB42A84AD0E}"/>
            </c:ext>
          </c:extLst>
        </c:ser>
        <c:ser>
          <c:idx val="22"/>
          <c:order val="22"/>
          <c:tx>
            <c:strRef>
              <c:f>IRS!$B$46</c:f>
              <c:strCache>
                <c:ptCount val="1"/>
                <c:pt idx="0">
                  <c:v>Simulation 23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IRS!$D$46:$M$46</c:f>
              <c:numCache>
                <c:formatCode>0</c:formatCode>
                <c:ptCount val="10"/>
                <c:pt idx="0">
                  <c:v>0</c:v>
                </c:pt>
                <c:pt idx="1">
                  <c:v>1004.7728198795448</c:v>
                </c:pt>
                <c:pt idx="2">
                  <c:v>6197.2989832525946</c:v>
                </c:pt>
                <c:pt idx="3">
                  <c:v>9701.7861156279469</c:v>
                </c:pt>
                <c:pt idx="4">
                  <c:v>11670.269662630948</c:v>
                </c:pt>
                <c:pt idx="5">
                  <c:v>12118.930655469369</c:v>
                </c:pt>
                <c:pt idx="6">
                  <c:v>11076.067979617408</c:v>
                </c:pt>
                <c:pt idx="7">
                  <c:v>8620.8288222887149</c:v>
                </c:pt>
                <c:pt idx="8">
                  <c:v>4878.0462218594066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A32-4F57-B5BC-CFB42A84AD0E}"/>
            </c:ext>
          </c:extLst>
        </c:ser>
        <c:ser>
          <c:idx val="23"/>
          <c:order val="23"/>
          <c:tx>
            <c:strRef>
              <c:f>IRS!$B$47</c:f>
              <c:strCache>
                <c:ptCount val="1"/>
                <c:pt idx="0">
                  <c:v>Simulation 24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IRS!$D$47:$M$47</c:f>
              <c:numCache>
                <c:formatCode>0</c:formatCode>
                <c:ptCount val="10"/>
                <c:pt idx="0">
                  <c:v>0</c:v>
                </c:pt>
                <c:pt idx="1">
                  <c:v>739.17835917163893</c:v>
                </c:pt>
                <c:pt idx="2">
                  <c:v>5798.5052153497245</c:v>
                </c:pt>
                <c:pt idx="3">
                  <c:v>9238.6436481060809</c:v>
                </c:pt>
                <c:pt idx="4">
                  <c:v>11198.569814956589</c:v>
                </c:pt>
                <c:pt idx="5">
                  <c:v>11684.554272087877</c:v>
                </c:pt>
                <c:pt idx="6">
                  <c:v>10715.961739614377</c:v>
                </c:pt>
                <c:pt idx="7">
                  <c:v>8363.305359369695</c:v>
                </c:pt>
                <c:pt idx="8">
                  <c:v>4743.1087770924942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A32-4F57-B5BC-CFB42A84AD0E}"/>
            </c:ext>
          </c:extLst>
        </c:ser>
        <c:ser>
          <c:idx val="24"/>
          <c:order val="24"/>
          <c:tx>
            <c:strRef>
              <c:f>IRS!$B$48</c:f>
              <c:strCache>
                <c:ptCount val="1"/>
                <c:pt idx="0">
                  <c:v>Simulation 25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IRS!$D$48:$M$48</c:f>
              <c:numCache>
                <c:formatCode>0</c:formatCode>
                <c:ptCount val="10"/>
                <c:pt idx="0">
                  <c:v>718.70084382390723</c:v>
                </c:pt>
                <c:pt idx="1">
                  <c:v>6989.1259515845686</c:v>
                </c:pt>
                <c:pt idx="2">
                  <c:v>11056.480268864821</c:v>
                </c:pt>
                <c:pt idx="3">
                  <c:v>13564.509077599816</c:v>
                </c:pt>
                <c:pt idx="4">
                  <c:v>14650.096953305272</c:v>
                </c:pt>
                <c:pt idx="5">
                  <c:v>14320.972481133087</c:v>
                </c:pt>
                <c:pt idx="6">
                  <c:v>12598.768474596216</c:v>
                </c:pt>
                <c:pt idx="7">
                  <c:v>9555.5476579864408</c:v>
                </c:pt>
                <c:pt idx="8">
                  <c:v>5308.0798469892015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A32-4F57-B5BC-CFB42A84AD0E}"/>
            </c:ext>
          </c:extLst>
        </c:ser>
        <c:ser>
          <c:idx val="25"/>
          <c:order val="25"/>
          <c:tx>
            <c:strRef>
              <c:f>IRS!$B$49</c:f>
              <c:strCache>
                <c:ptCount val="1"/>
                <c:pt idx="0">
                  <c:v>Simulation 26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IRS!$D$49:$M$49</c:f>
              <c:numCache>
                <c:formatCode>0</c:formatCode>
                <c:ptCount val="10"/>
                <c:pt idx="0">
                  <c:v>0</c:v>
                </c:pt>
                <c:pt idx="1">
                  <c:v>4561.8031875360502</c:v>
                </c:pt>
                <c:pt idx="2">
                  <c:v>8910.7015169761962</c:v>
                </c:pt>
                <c:pt idx="3">
                  <c:v>11726.170018624158</c:v>
                </c:pt>
                <c:pt idx="4">
                  <c:v>13132.495924444243</c:v>
                </c:pt>
                <c:pt idx="5">
                  <c:v>13128.029941009958</c:v>
                </c:pt>
                <c:pt idx="6">
                  <c:v>11726.4084906481</c:v>
                </c:pt>
                <c:pt idx="7">
                  <c:v>8992.6616566020348</c:v>
                </c:pt>
                <c:pt idx="8">
                  <c:v>5037.5615763825454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A32-4F57-B5BC-CFB42A84AD0E}"/>
            </c:ext>
          </c:extLst>
        </c:ser>
        <c:ser>
          <c:idx val="26"/>
          <c:order val="26"/>
          <c:tx>
            <c:strRef>
              <c:f>IRS!$B$50</c:f>
              <c:strCache>
                <c:ptCount val="1"/>
                <c:pt idx="0">
                  <c:v>Simulation 27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IRS!$D$50:$M$50</c:f>
              <c:numCache>
                <c:formatCode>0</c:formatCode>
                <c:ptCount val="10"/>
                <c:pt idx="0">
                  <c:v>0</c:v>
                </c:pt>
                <c:pt idx="1">
                  <c:v>5192.8083061556308</c:v>
                </c:pt>
                <c:pt idx="2">
                  <c:v>9533.3826125582582</c:v>
                </c:pt>
                <c:pt idx="3">
                  <c:v>12310.628338456932</c:v>
                </c:pt>
                <c:pt idx="4">
                  <c:v>13651.997283224599</c:v>
                </c:pt>
                <c:pt idx="5">
                  <c:v>13561.654196599375</c:v>
                </c:pt>
                <c:pt idx="6">
                  <c:v>12059.598165631869</c:v>
                </c:pt>
                <c:pt idx="7">
                  <c:v>9216.8143869313935</c:v>
                </c:pt>
                <c:pt idx="8">
                  <c:v>5149.2210560028934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A32-4F57-B5BC-CFB42A84AD0E}"/>
            </c:ext>
          </c:extLst>
        </c:ser>
        <c:ser>
          <c:idx val="27"/>
          <c:order val="27"/>
          <c:tx>
            <c:strRef>
              <c:f>IRS!$B$51</c:f>
              <c:strCache>
                <c:ptCount val="1"/>
                <c:pt idx="0">
                  <c:v>Simulation 28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IRS!$D$51:$M$51</c:f>
              <c:numCache>
                <c:formatCode>0</c:formatCode>
                <c:ptCount val="10"/>
                <c:pt idx="0">
                  <c:v>0</c:v>
                </c:pt>
                <c:pt idx="1">
                  <c:v>5948.5074447268671</c:v>
                </c:pt>
                <c:pt idx="2">
                  <c:v>10172.236920788571</c:v>
                </c:pt>
                <c:pt idx="3">
                  <c:v>12837.017144597385</c:v>
                </c:pt>
                <c:pt idx="4">
                  <c:v>14069.673691539461</c:v>
                </c:pt>
                <c:pt idx="5">
                  <c:v>13876.338686452193</c:v>
                </c:pt>
                <c:pt idx="6">
                  <c:v>12279.428648686076</c:v>
                </c:pt>
                <c:pt idx="7">
                  <c:v>9351.8840161791595</c:v>
                </c:pt>
                <c:pt idx="8">
                  <c:v>5210.8324331458025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A32-4F57-B5BC-CFB42A84AD0E}"/>
            </c:ext>
          </c:extLst>
        </c:ser>
        <c:ser>
          <c:idx val="28"/>
          <c:order val="28"/>
          <c:tx>
            <c:strRef>
              <c:f>IRS!$B$52</c:f>
              <c:strCache>
                <c:ptCount val="1"/>
                <c:pt idx="0">
                  <c:v>Simulation 29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IRS!$D$52:$M$52</c:f>
              <c:numCache>
                <c:formatCode>0</c:formatCode>
                <c:ptCount val="10"/>
                <c:pt idx="0">
                  <c:v>0</c:v>
                </c:pt>
                <c:pt idx="1">
                  <c:v>496.67719486665465</c:v>
                </c:pt>
                <c:pt idx="2">
                  <c:v>5680.5948086578646</c:v>
                </c:pt>
                <c:pt idx="3">
                  <c:v>9222.5879384264117</c:v>
                </c:pt>
                <c:pt idx="4">
                  <c:v>11249.131875735678</c:v>
                </c:pt>
                <c:pt idx="5">
                  <c:v>11768.392763864162</c:v>
                </c:pt>
                <c:pt idx="6">
                  <c:v>10805.788870262879</c:v>
                </c:pt>
                <c:pt idx="7">
                  <c:v>8437.9836525268729</c:v>
                </c:pt>
                <c:pt idx="8">
                  <c:v>4786.484747048723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A32-4F57-B5BC-CFB42A84AD0E}"/>
            </c:ext>
          </c:extLst>
        </c:ser>
        <c:ser>
          <c:idx val="29"/>
          <c:order val="29"/>
          <c:tx>
            <c:strRef>
              <c:f>IRS!$B$53</c:f>
              <c:strCache>
                <c:ptCount val="1"/>
                <c:pt idx="0">
                  <c:v>Simulation 30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IRS!$D$53:$M$53</c:f>
              <c:numCache>
                <c:formatCode>0</c:formatCode>
                <c:ptCount val="10"/>
                <c:pt idx="0">
                  <c:v>0</c:v>
                </c:pt>
                <c:pt idx="1">
                  <c:v>1608.7029393457919</c:v>
                </c:pt>
                <c:pt idx="2">
                  <c:v>6760.876574072835</c:v>
                </c:pt>
                <c:pt idx="3">
                  <c:v>10225.27500353327</c:v>
                </c:pt>
                <c:pt idx="4">
                  <c:v>12134.323983634167</c:v>
                </c:pt>
                <c:pt idx="5">
                  <c:v>12504.763567076636</c:v>
                </c:pt>
                <c:pt idx="6">
                  <c:v>11371.124159202196</c:v>
                </c:pt>
                <c:pt idx="7">
                  <c:v>8818.6844308949003</c:v>
                </c:pt>
                <c:pt idx="8">
                  <c:v>4976.5740021061911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A32-4F57-B5BC-CFB42A84AD0E}"/>
            </c:ext>
          </c:extLst>
        </c:ser>
        <c:ser>
          <c:idx val="30"/>
          <c:order val="30"/>
          <c:tx>
            <c:strRef>
              <c:f>IRS!$B$54</c:f>
              <c:strCache>
                <c:ptCount val="1"/>
                <c:pt idx="0">
                  <c:v>Simulation 31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IRS!$D$54:$M$54</c:f>
              <c:numCache>
                <c:formatCode>0</c:formatCode>
                <c:ptCount val="10"/>
                <c:pt idx="0">
                  <c:v>0</c:v>
                </c:pt>
                <c:pt idx="1">
                  <c:v>801.73322985156847</c:v>
                </c:pt>
                <c:pt idx="2">
                  <c:v>6132.8650402755557</c:v>
                </c:pt>
                <c:pt idx="3">
                  <c:v>9757.591367746114</c:v>
                </c:pt>
                <c:pt idx="4">
                  <c:v>11803.887510787054</c:v>
                </c:pt>
                <c:pt idx="5">
                  <c:v>12287.190721311506</c:v>
                </c:pt>
                <c:pt idx="6">
                  <c:v>11242.068865572477</c:v>
                </c:pt>
                <c:pt idx="7">
                  <c:v>8754.5231173409011</c:v>
                </c:pt>
                <c:pt idx="8">
                  <c:v>4954.8785140830696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A32-4F57-B5BC-CFB42A84AD0E}"/>
            </c:ext>
          </c:extLst>
        </c:ser>
        <c:ser>
          <c:idx val="31"/>
          <c:order val="31"/>
          <c:tx>
            <c:strRef>
              <c:f>IRS!$B$55</c:f>
              <c:strCache>
                <c:ptCount val="1"/>
                <c:pt idx="0">
                  <c:v>Simulation 32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IRS!$D$55:$M$55</c:f>
              <c:numCache>
                <c:formatCode>0</c:formatCode>
                <c:ptCount val="10"/>
                <c:pt idx="0">
                  <c:v>0</c:v>
                </c:pt>
                <c:pt idx="1">
                  <c:v>3037.5898629468802</c:v>
                </c:pt>
                <c:pt idx="2">
                  <c:v>8105.5124585443746</c:v>
                </c:pt>
                <c:pt idx="3">
                  <c:v>11460.966072437226</c:v>
                </c:pt>
                <c:pt idx="4">
                  <c:v>13230.002315423168</c:v>
                </c:pt>
                <c:pt idx="5">
                  <c:v>13429.515963524864</c:v>
                </c:pt>
                <c:pt idx="6">
                  <c:v>12096.845717966578</c:v>
                </c:pt>
                <c:pt idx="7">
                  <c:v>9321.086436867492</c:v>
                </c:pt>
                <c:pt idx="8">
                  <c:v>5235.5675928709834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A32-4F57-B5BC-CFB42A84AD0E}"/>
            </c:ext>
          </c:extLst>
        </c:ser>
        <c:ser>
          <c:idx val="32"/>
          <c:order val="32"/>
          <c:tx>
            <c:strRef>
              <c:f>IRS!$B$56</c:f>
              <c:strCache>
                <c:ptCount val="1"/>
                <c:pt idx="0">
                  <c:v>Simulation 33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IRS!$D$56:$M$56</c:f>
              <c:numCache>
                <c:formatCode>0</c:formatCode>
                <c:ptCount val="10"/>
                <c:pt idx="0">
                  <c:v>0</c:v>
                </c:pt>
                <c:pt idx="1">
                  <c:v>1876.6715737764298</c:v>
                </c:pt>
                <c:pt idx="2">
                  <c:v>7142.0640845037178</c:v>
                </c:pt>
                <c:pt idx="3">
                  <c:v>10687.006223570792</c:v>
                </c:pt>
                <c:pt idx="4">
                  <c:v>12631.552434513533</c:v>
                </c:pt>
                <c:pt idx="5">
                  <c:v>12989.607273556441</c:v>
                </c:pt>
                <c:pt idx="6">
                  <c:v>11796.788147923724</c:v>
                </c:pt>
                <c:pt idx="7">
                  <c:v>9141.1661032503744</c:v>
                </c:pt>
                <c:pt idx="8">
                  <c:v>5155.614172317155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A32-4F57-B5BC-CFB42A84AD0E}"/>
            </c:ext>
          </c:extLst>
        </c:ser>
        <c:ser>
          <c:idx val="33"/>
          <c:order val="33"/>
          <c:tx>
            <c:strRef>
              <c:f>IRS!$B$57</c:f>
              <c:strCache>
                <c:ptCount val="1"/>
                <c:pt idx="0">
                  <c:v>Simulation 34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IRS!$D$57:$M$57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3559.9741127872353</c:v>
                </c:pt>
                <c:pt idx="3">
                  <c:v>7738.1491557346253</c:v>
                </c:pt>
                <c:pt idx="4">
                  <c:v>10276.866361103666</c:v>
                </c:pt>
                <c:pt idx="5">
                  <c:v>11188.551592378102</c:v>
                </c:pt>
                <c:pt idx="6">
                  <c:v>10508.086207162689</c:v>
                </c:pt>
                <c:pt idx="7">
                  <c:v>8323.2408548588319</c:v>
                </c:pt>
                <c:pt idx="8">
                  <c:v>4767.032927434273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A32-4F57-B5BC-CFB42A84AD0E}"/>
            </c:ext>
          </c:extLst>
        </c:ser>
        <c:ser>
          <c:idx val="34"/>
          <c:order val="34"/>
          <c:tx>
            <c:strRef>
              <c:f>IRS!$B$58</c:f>
              <c:strCache>
                <c:ptCount val="1"/>
                <c:pt idx="0">
                  <c:v>Simulation 35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IRS!$D$58:$M$58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2186.1410949412548</c:v>
                </c:pt>
                <c:pt idx="3">
                  <c:v>6543.217154276268</c:v>
                </c:pt>
                <c:pt idx="4">
                  <c:v>9277.7846110792416</c:v>
                </c:pt>
                <c:pt idx="5">
                  <c:v>10394.651157039665</c:v>
                </c:pt>
                <c:pt idx="6">
                  <c:v>9922.1726618114444</c:v>
                </c:pt>
                <c:pt idx="7">
                  <c:v>7942.2542690217761</c:v>
                </c:pt>
                <c:pt idx="8">
                  <c:v>4582.760958130857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A32-4F57-B5BC-CFB42A84AD0E}"/>
            </c:ext>
          </c:extLst>
        </c:ser>
        <c:ser>
          <c:idx val="35"/>
          <c:order val="35"/>
          <c:tx>
            <c:strRef>
              <c:f>IRS!$B$59</c:f>
              <c:strCache>
                <c:ptCount val="1"/>
                <c:pt idx="0">
                  <c:v>Simulation 36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IRS!$D$59:$M$59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2636.9100525041813</c:v>
                </c:pt>
                <c:pt idx="3">
                  <c:v>6844.5599526647202</c:v>
                </c:pt>
                <c:pt idx="4">
                  <c:v>9470.2265857574639</c:v>
                </c:pt>
                <c:pt idx="5">
                  <c:v>10510.490702212102</c:v>
                </c:pt>
                <c:pt idx="6">
                  <c:v>9986.660028693881</c:v>
                </c:pt>
                <c:pt idx="7">
                  <c:v>7974.1536275973122</c:v>
                </c:pt>
                <c:pt idx="8">
                  <c:v>4594.8918224437211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A32-4F57-B5BC-CFB42A84AD0E}"/>
            </c:ext>
          </c:extLst>
        </c:ser>
        <c:ser>
          <c:idx val="36"/>
          <c:order val="36"/>
          <c:tx>
            <c:strRef>
              <c:f>IRS!$B$60</c:f>
              <c:strCache>
                <c:ptCount val="1"/>
                <c:pt idx="0">
                  <c:v>Simulation 37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IRS!$D$60:$M$60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472.75138680653254</c:v>
                </c:pt>
                <c:pt idx="3">
                  <c:v>5043.7487116749189</c:v>
                </c:pt>
                <c:pt idx="4">
                  <c:v>8021.8209905079511</c:v>
                </c:pt>
                <c:pt idx="5">
                  <c:v>9398.3072914359036</c:v>
                </c:pt>
                <c:pt idx="6">
                  <c:v>9190.3905630286499</c:v>
                </c:pt>
                <c:pt idx="7">
                  <c:v>7470.123199557338</c:v>
                </c:pt>
                <c:pt idx="8">
                  <c:v>4356.8422814773885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A32-4F57-B5BC-CFB42A84AD0E}"/>
            </c:ext>
          </c:extLst>
        </c:ser>
        <c:ser>
          <c:idx val="37"/>
          <c:order val="37"/>
          <c:tx>
            <c:strRef>
              <c:f>IRS!$B$61</c:f>
              <c:strCache>
                <c:ptCount val="1"/>
                <c:pt idx="0">
                  <c:v>Simulation 38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IRS!$D$61:$M$61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61.83354220846013</c:v>
                </c:pt>
                <c:pt idx="3">
                  <c:v>4740.7323194289202</c:v>
                </c:pt>
                <c:pt idx="4">
                  <c:v>7811.6385664149966</c:v>
                </c:pt>
                <c:pt idx="5">
                  <c:v>9264.1870065886214</c:v>
                </c:pt>
                <c:pt idx="6">
                  <c:v>9115.0424695674101</c:v>
                </c:pt>
                <c:pt idx="7">
                  <c:v>7436.323018510474</c:v>
                </c:pt>
                <c:pt idx="8">
                  <c:v>4347.8503404630228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A32-4F57-B5BC-CFB42A84AD0E}"/>
            </c:ext>
          </c:extLst>
        </c:ser>
        <c:ser>
          <c:idx val="38"/>
          <c:order val="38"/>
          <c:tx>
            <c:strRef>
              <c:f>IRS!$B$62</c:f>
              <c:strCache>
                <c:ptCount val="1"/>
                <c:pt idx="0">
                  <c:v>Simulation 39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IRS!$D$62:$M$62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2568.3257930129625</c:v>
                </c:pt>
                <c:pt idx="3">
                  <c:v>6836.5391648443747</c:v>
                </c:pt>
                <c:pt idx="4">
                  <c:v>9507.1578910117423</c:v>
                </c:pt>
                <c:pt idx="5">
                  <c:v>10574.250482767437</c:v>
                </c:pt>
                <c:pt idx="6">
                  <c:v>10059.275065204292</c:v>
                </c:pt>
                <c:pt idx="7">
                  <c:v>8038.4458843076318</c:v>
                </c:pt>
                <c:pt idx="8">
                  <c:v>4634.5890401274828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A32-4F57-B5BC-CFB42A84AD0E}"/>
            </c:ext>
          </c:extLst>
        </c:ser>
        <c:ser>
          <c:idx val="39"/>
          <c:order val="39"/>
          <c:tx>
            <c:strRef>
              <c:f>IRS!$B$63</c:f>
              <c:strCache>
                <c:ptCount val="1"/>
                <c:pt idx="0">
                  <c:v>Simulation 40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IRS!$D$63:$M$63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3924.877504336936</c:v>
                </c:pt>
                <c:pt idx="3">
                  <c:v>8020.1498349429148</c:v>
                </c:pt>
                <c:pt idx="4">
                  <c:v>10510.716498429687</c:v>
                </c:pt>
                <c:pt idx="5">
                  <c:v>11389.676437760287</c:v>
                </c:pt>
                <c:pt idx="6">
                  <c:v>10678.960874063303</c:v>
                </c:pt>
                <c:pt idx="7">
                  <c:v>8455.9185799729166</c:v>
                </c:pt>
                <c:pt idx="8">
                  <c:v>4844.8855333400079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A32-4F57-B5BC-CFB42A84AD0E}"/>
            </c:ext>
          </c:extLst>
        </c:ser>
        <c:ser>
          <c:idx val="40"/>
          <c:order val="40"/>
          <c:tx>
            <c:strRef>
              <c:f>IRS!$B$64</c:f>
              <c:strCache>
                <c:ptCount val="1"/>
                <c:pt idx="0">
                  <c:v>Simulation 41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IRS!$D$64:$M$64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5115.5455759040615</c:v>
                </c:pt>
                <c:pt idx="3">
                  <c:v>8977.8630897980474</c:v>
                </c:pt>
                <c:pt idx="4">
                  <c:v>11258.738145114521</c:v>
                </c:pt>
                <c:pt idx="5">
                  <c:v>11949.592761742502</c:v>
                </c:pt>
                <c:pt idx="6">
                  <c:v>11071.322754278928</c:v>
                </c:pt>
                <c:pt idx="7">
                  <c:v>8700.1137798717955</c:v>
                </c:pt>
                <c:pt idx="8">
                  <c:v>4958.8398188326591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A32-4F57-B5BC-CFB42A84AD0E}"/>
            </c:ext>
          </c:extLst>
        </c:ser>
        <c:ser>
          <c:idx val="41"/>
          <c:order val="41"/>
          <c:tx>
            <c:strRef>
              <c:f>IRS!$B$65</c:f>
              <c:strCache>
                <c:ptCount val="1"/>
                <c:pt idx="0">
                  <c:v>Simulation 42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IRS!$D$65:$M$65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4656.5474491460946</c:v>
                </c:pt>
                <c:pt idx="3">
                  <c:v>8627.7753521423656</c:v>
                </c:pt>
                <c:pt idx="4">
                  <c:v>11002.174053293114</c:v>
                </c:pt>
                <c:pt idx="5">
                  <c:v>11771.194574651083</c:v>
                </c:pt>
                <c:pt idx="6">
                  <c:v>10956.575168003419</c:v>
                </c:pt>
                <c:pt idx="7">
                  <c:v>8635.559561447868</c:v>
                </c:pt>
                <c:pt idx="8">
                  <c:v>4932.1354611462457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A32-4F57-B5BC-CFB42A84AD0E}"/>
            </c:ext>
          </c:extLst>
        </c:ser>
        <c:ser>
          <c:idx val="42"/>
          <c:order val="42"/>
          <c:tx>
            <c:strRef>
              <c:f>IRS!$B$66</c:f>
              <c:strCache>
                <c:ptCount val="1"/>
                <c:pt idx="0">
                  <c:v>Simulation 43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IRS!$D$66:$M$66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3736.4128532440745</c:v>
                </c:pt>
                <c:pt idx="3">
                  <c:v>7859.8197319239553</c:v>
                </c:pt>
                <c:pt idx="4">
                  <c:v>10375.646682025377</c:v>
                </c:pt>
                <c:pt idx="5">
                  <c:v>11277.898275440188</c:v>
                </c:pt>
                <c:pt idx="6">
                  <c:v>10590.894768412476</c:v>
                </c:pt>
                <c:pt idx="7">
                  <c:v>8393.8796685315338</c:v>
                </c:pt>
                <c:pt idx="8">
                  <c:v>4812.1269674819205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A32-4F57-B5BC-CFB42A84AD0E}"/>
            </c:ext>
          </c:extLst>
        </c:ser>
        <c:ser>
          <c:idx val="43"/>
          <c:order val="43"/>
          <c:tx>
            <c:strRef>
              <c:f>IRS!$B$67</c:f>
              <c:strCache>
                <c:ptCount val="1"/>
                <c:pt idx="0">
                  <c:v>Simulation 44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IRS!$D$67:$M$67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3863.7633504570981</c:v>
                </c:pt>
                <c:pt idx="3">
                  <c:v>7950.1974239011815</c:v>
                </c:pt>
                <c:pt idx="4">
                  <c:v>10433.561290087982</c:v>
                </c:pt>
                <c:pt idx="5">
                  <c:v>11308.993614368064</c:v>
                </c:pt>
                <c:pt idx="6">
                  <c:v>10602.175795617932</c:v>
                </c:pt>
                <c:pt idx="7">
                  <c:v>8393.2576924238801</c:v>
                </c:pt>
                <c:pt idx="8">
                  <c:v>4807.8128160813603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A32-4F57-B5BC-CFB42A84AD0E}"/>
            </c:ext>
          </c:extLst>
        </c:ser>
        <c:ser>
          <c:idx val="44"/>
          <c:order val="44"/>
          <c:tx>
            <c:strRef>
              <c:f>IRS!$B$68</c:f>
              <c:strCache>
                <c:ptCount val="1"/>
                <c:pt idx="0">
                  <c:v>Simulation 45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IRS!$D$68:$M$68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2148.3266381188869</c:v>
                </c:pt>
                <c:pt idx="4">
                  <c:v>5750.344711567247</c:v>
                </c:pt>
                <c:pt idx="5">
                  <c:v>7691.8263969709724</c:v>
                </c:pt>
                <c:pt idx="6">
                  <c:v>7991.5229866199188</c:v>
                </c:pt>
                <c:pt idx="7">
                  <c:v>6723.6966798544254</c:v>
                </c:pt>
                <c:pt idx="8">
                  <c:v>4009.4304867497281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A32-4F57-B5BC-CFB42A84AD0E}"/>
            </c:ext>
          </c:extLst>
        </c:ser>
        <c:ser>
          <c:idx val="45"/>
          <c:order val="45"/>
          <c:tx>
            <c:strRef>
              <c:f>IRS!$B$69</c:f>
              <c:strCache>
                <c:ptCount val="1"/>
                <c:pt idx="0">
                  <c:v>Simulation 46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IRS!$D$69:$M$69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4499.6465029062056</c:v>
                </c:pt>
                <c:pt idx="4">
                  <c:v>7578.7490939905556</c:v>
                </c:pt>
                <c:pt idx="5">
                  <c:v>9049.1681207016081</c:v>
                </c:pt>
                <c:pt idx="6">
                  <c:v>8930.9868241706063</c:v>
                </c:pt>
                <c:pt idx="7">
                  <c:v>7298.6488733110837</c:v>
                </c:pt>
                <c:pt idx="8">
                  <c:v>4272.032745224632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A32-4F57-B5BC-CFB42A84AD0E}"/>
            </c:ext>
          </c:extLst>
        </c:ser>
        <c:ser>
          <c:idx val="46"/>
          <c:order val="46"/>
          <c:tx>
            <c:strRef>
              <c:f>IRS!$B$70</c:f>
              <c:strCache>
                <c:ptCount val="1"/>
                <c:pt idx="0">
                  <c:v>Simulation 47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IRS!$D$70:$M$70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1209.5149177994535</c:v>
                </c:pt>
                <c:pt idx="3">
                  <c:v>5672.1776825870611</c:v>
                </c:pt>
                <c:pt idx="4">
                  <c:v>8540.9870711585208</c:v>
                </c:pt>
                <c:pt idx="5">
                  <c:v>9805.3886533591794</c:v>
                </c:pt>
                <c:pt idx="6">
                  <c:v>9486.7644814673404</c:v>
                </c:pt>
                <c:pt idx="7">
                  <c:v>7660.8745467495373</c:v>
                </c:pt>
                <c:pt idx="8">
                  <c:v>4448.6972063238418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A32-4F57-B5BC-CFB42A84AD0E}"/>
            </c:ext>
          </c:extLst>
        </c:ser>
        <c:ser>
          <c:idx val="47"/>
          <c:order val="47"/>
          <c:tx>
            <c:strRef>
              <c:f>IRS!$B$71</c:f>
              <c:strCache>
                <c:ptCount val="1"/>
                <c:pt idx="0">
                  <c:v>Simulation 48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IRS!$D$71:$M$71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1740.7738267747604</c:v>
                </c:pt>
                <c:pt idx="3">
                  <c:v>6134.3460138881019</c:v>
                </c:pt>
                <c:pt idx="4">
                  <c:v>8925.7223453243987</c:v>
                </c:pt>
                <c:pt idx="5">
                  <c:v>10108.141501321563</c:v>
                </c:pt>
                <c:pt idx="6">
                  <c:v>9706.9769768936494</c:v>
                </c:pt>
                <c:pt idx="7">
                  <c:v>7801.4453158221568</c:v>
                </c:pt>
                <c:pt idx="8">
                  <c:v>4515.2144974044922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A32-4F57-B5BC-CFB42A84AD0E}"/>
            </c:ext>
          </c:extLst>
        </c:ser>
        <c:ser>
          <c:idx val="48"/>
          <c:order val="48"/>
          <c:tx>
            <c:strRef>
              <c:f>IRS!$B$72</c:f>
              <c:strCache>
                <c:ptCount val="1"/>
                <c:pt idx="0">
                  <c:v>Simulation 49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IRS!$D$72:$M$72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363.53176159738587</c:v>
                </c:pt>
                <c:pt idx="3">
                  <c:v>5033.6947362102674</c:v>
                </c:pt>
                <c:pt idx="4">
                  <c:v>8074.7052661183088</c:v>
                </c:pt>
                <c:pt idx="5">
                  <c:v>9479.3537069312442</c:v>
                </c:pt>
                <c:pt idx="6">
                  <c:v>9273.419595933301</c:v>
                </c:pt>
                <c:pt idx="7">
                  <c:v>7536.9431340145184</c:v>
                </c:pt>
                <c:pt idx="8">
                  <c:v>4394.7375514418409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A32-4F57-B5BC-CFB42A84AD0E}"/>
            </c:ext>
          </c:extLst>
        </c:ser>
        <c:ser>
          <c:idx val="49"/>
          <c:order val="49"/>
          <c:tx>
            <c:strRef>
              <c:f>IRS!$B$73</c:f>
              <c:strCache>
                <c:ptCount val="1"/>
                <c:pt idx="0">
                  <c:v>Simulation 50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IRS!$D$73:$M$73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1574.6862898413879</c:v>
                </c:pt>
                <c:pt idx="4">
                  <c:v>5304.6324031894274</c:v>
                </c:pt>
                <c:pt idx="5">
                  <c:v>7360.2122706526989</c:v>
                </c:pt>
                <c:pt idx="6">
                  <c:v>7760.9502783497283</c:v>
                </c:pt>
                <c:pt idx="7">
                  <c:v>6581.9330887173128</c:v>
                </c:pt>
                <c:pt idx="8">
                  <c:v>3944.5050986622368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A32-4F57-B5BC-CFB42A84AD0E}"/>
            </c:ext>
          </c:extLst>
        </c:ser>
        <c:ser>
          <c:idx val="50"/>
          <c:order val="50"/>
          <c:tx>
            <c:strRef>
              <c:f>IRS!$B$74</c:f>
              <c:strCache>
                <c:ptCount val="1"/>
                <c:pt idx="0">
                  <c:v>Simulation 51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IRS!$D$74:$M$74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2856.7749530590672</c:v>
                </c:pt>
                <c:pt idx="5">
                  <c:v>5428.2223952409477</c:v>
                </c:pt>
                <c:pt idx="6">
                  <c:v>6339.8515761540166</c:v>
                </c:pt>
                <c:pt idx="7">
                  <c:v>5658.0517054001048</c:v>
                </c:pt>
                <c:pt idx="8">
                  <c:v>3496.4605405136635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BA32-4F57-B5BC-CFB42A84AD0E}"/>
            </c:ext>
          </c:extLst>
        </c:ser>
        <c:ser>
          <c:idx val="51"/>
          <c:order val="51"/>
          <c:tx>
            <c:strRef>
              <c:f>IRS!$B$75</c:f>
              <c:strCache>
                <c:ptCount val="1"/>
                <c:pt idx="0">
                  <c:v>Simulation 52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IRS!$D$75:$M$75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3679.839756028312</c:v>
                </c:pt>
                <c:pt idx="5">
                  <c:v>6127.5575065151716</c:v>
                </c:pt>
                <c:pt idx="6">
                  <c:v>6901.8176046672088</c:v>
                </c:pt>
                <c:pt idx="7">
                  <c:v>6061.5368885555617</c:v>
                </c:pt>
                <c:pt idx="8">
                  <c:v>3714.1684119573652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BA32-4F57-B5BC-CFB42A84AD0E}"/>
            </c:ext>
          </c:extLst>
        </c:ser>
        <c:ser>
          <c:idx val="52"/>
          <c:order val="52"/>
          <c:tx>
            <c:strRef>
              <c:f>IRS!$B$76</c:f>
              <c:strCache>
                <c:ptCount val="1"/>
                <c:pt idx="0">
                  <c:v>Simulation 53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IRS!$D$76:$M$76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988.7318339663484</c:v>
                </c:pt>
                <c:pt idx="4">
                  <c:v>4799.8070021224521</c:v>
                </c:pt>
                <c:pt idx="5">
                  <c:v>6969.397393274071</c:v>
                </c:pt>
                <c:pt idx="6">
                  <c:v>7495.824760629127</c:v>
                </c:pt>
                <c:pt idx="7">
                  <c:v>6434.7743055639385</c:v>
                </c:pt>
                <c:pt idx="8">
                  <c:v>3890.4455726406072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BA32-4F57-B5BC-CFB42A84AD0E}"/>
            </c:ext>
          </c:extLst>
        </c:ser>
        <c:ser>
          <c:idx val="53"/>
          <c:order val="53"/>
          <c:tx>
            <c:strRef>
              <c:f>IRS!$B$77</c:f>
              <c:strCache>
                <c:ptCount val="1"/>
                <c:pt idx="0">
                  <c:v>Simulation 54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IRS!$D$77:$M$77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1914.8267957927633</c:v>
                </c:pt>
                <c:pt idx="4">
                  <c:v>5564.8169476772082</c:v>
                </c:pt>
                <c:pt idx="5">
                  <c:v>7573.2304746997252</c:v>
                </c:pt>
                <c:pt idx="6">
                  <c:v>7940.6363265894679</c:v>
                </c:pt>
                <c:pt idx="7">
                  <c:v>6724.8263077652773</c:v>
                </c:pt>
                <c:pt idx="8">
                  <c:v>4031.7552584331706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BA32-4F57-B5BC-CFB42A84AD0E}"/>
            </c:ext>
          </c:extLst>
        </c:ser>
        <c:ser>
          <c:idx val="54"/>
          <c:order val="54"/>
          <c:tx>
            <c:strRef>
              <c:f>IRS!$B$78</c:f>
              <c:strCache>
                <c:ptCount val="1"/>
                <c:pt idx="0">
                  <c:v>Simulation 55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IRS!$D$78:$M$78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1737.0593071485896</c:v>
                </c:pt>
                <c:pt idx="4">
                  <c:v>5509.4229083540995</c:v>
                </c:pt>
                <c:pt idx="5">
                  <c:v>7593.9406311408566</c:v>
                </c:pt>
                <c:pt idx="6">
                  <c:v>7998.1396285353221</c:v>
                </c:pt>
                <c:pt idx="7">
                  <c:v>6786.7699407841319</c:v>
                </c:pt>
                <c:pt idx="8">
                  <c:v>4072.4522139261117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BA32-4F57-B5BC-CFB42A84AD0E}"/>
            </c:ext>
          </c:extLst>
        </c:ser>
        <c:ser>
          <c:idx val="55"/>
          <c:order val="55"/>
          <c:tx>
            <c:strRef>
              <c:f>IRS!$B$79</c:f>
              <c:strCache>
                <c:ptCount val="1"/>
                <c:pt idx="0">
                  <c:v>Simulation 56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IRS!$D$79:$M$79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3489.1683148293646</c:v>
                </c:pt>
                <c:pt idx="5">
                  <c:v>6054.6107259639548</c:v>
                </c:pt>
                <c:pt idx="6">
                  <c:v>6903.3395397256691</c:v>
                </c:pt>
                <c:pt idx="7">
                  <c:v>6097.6119437700381</c:v>
                </c:pt>
                <c:pt idx="8">
                  <c:v>3748.4360226596737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A32-4F57-B5BC-CFB42A84AD0E}"/>
            </c:ext>
          </c:extLst>
        </c:ser>
        <c:ser>
          <c:idx val="56"/>
          <c:order val="56"/>
          <c:tx>
            <c:strRef>
              <c:f>IRS!$B$80</c:f>
              <c:strCache>
                <c:ptCount val="1"/>
                <c:pt idx="0">
                  <c:v>Simulation 57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IRS!$D$80:$M$80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2730.9625420287252</c:v>
                </c:pt>
                <c:pt idx="5">
                  <c:v>5457.1776693505672</c:v>
                </c:pt>
                <c:pt idx="6">
                  <c:v>6466.0824844927565</c:v>
                </c:pt>
                <c:pt idx="7">
                  <c:v>5815.6929935660992</c:v>
                </c:pt>
                <c:pt idx="8">
                  <c:v>3613.2850427845133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BA32-4F57-B5BC-CFB42A84AD0E}"/>
            </c:ext>
          </c:extLst>
        </c:ser>
        <c:ser>
          <c:idx val="57"/>
          <c:order val="57"/>
          <c:tx>
            <c:strRef>
              <c:f>IRS!$B$81</c:f>
              <c:strCache>
                <c:ptCount val="1"/>
                <c:pt idx="0">
                  <c:v>Simulation 58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IRS!$D$81:$M$81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2925.0881608994478</c:v>
                </c:pt>
                <c:pt idx="5">
                  <c:v>5565.9543091587002</c:v>
                </c:pt>
                <c:pt idx="6">
                  <c:v>6515.5603031045812</c:v>
                </c:pt>
                <c:pt idx="7">
                  <c:v>5829.3231370210506</c:v>
                </c:pt>
                <c:pt idx="8">
                  <c:v>3611.5041502300483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BA32-4F57-B5BC-CFB42A84AD0E}"/>
            </c:ext>
          </c:extLst>
        </c:ser>
        <c:ser>
          <c:idx val="58"/>
          <c:order val="58"/>
          <c:tx>
            <c:strRef>
              <c:f>IRS!$B$82</c:f>
              <c:strCache>
                <c:ptCount val="1"/>
                <c:pt idx="0">
                  <c:v>Simulation 59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IRS!$D$82:$M$82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331.00823523986492</c:v>
                </c:pt>
                <c:pt idx="4">
                  <c:v>4328.8754373091924</c:v>
                </c:pt>
                <c:pt idx="5">
                  <c:v>6655.1253286456276</c:v>
                </c:pt>
                <c:pt idx="6">
                  <c:v>7307.0900786624097</c:v>
                </c:pt>
                <c:pt idx="7">
                  <c:v>6340.2031071374631</c:v>
                </c:pt>
                <c:pt idx="8">
                  <c:v>3858.6088022984054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A32-4F57-B5BC-CFB42A84AD0E}"/>
            </c:ext>
          </c:extLst>
        </c:ser>
        <c:ser>
          <c:idx val="59"/>
          <c:order val="59"/>
          <c:tx>
            <c:strRef>
              <c:f>IRS!$B$83</c:f>
              <c:strCache>
                <c:ptCount val="1"/>
                <c:pt idx="0">
                  <c:v>Simulation 60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IRS!$D$83:$M$83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851.91001103238386</c:v>
                </c:pt>
                <c:pt idx="4">
                  <c:v>4748.0842142932579</c:v>
                </c:pt>
                <c:pt idx="5">
                  <c:v>6978.0647064272389</c:v>
                </c:pt>
                <c:pt idx="6">
                  <c:v>7539.7008797858989</c:v>
                </c:pt>
                <c:pt idx="7">
                  <c:v>6488.8162472829063</c:v>
                </c:pt>
                <c:pt idx="8">
                  <c:v>3929.6981317682753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BA32-4F57-B5BC-CFB42A84AD0E}"/>
            </c:ext>
          </c:extLst>
        </c:ser>
        <c:ser>
          <c:idx val="60"/>
          <c:order val="60"/>
          <c:tx>
            <c:strRef>
              <c:f>IRS!$B$84</c:f>
              <c:strCache>
                <c:ptCount val="1"/>
                <c:pt idx="0">
                  <c:v>Simulation 61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IRS!$D$84:$M$84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481.63443107533067</c:v>
                </c:pt>
                <c:pt idx="4">
                  <c:v>4391.9674421427599</c:v>
                </c:pt>
                <c:pt idx="5">
                  <c:v>6662.757207088398</c:v>
                </c:pt>
                <c:pt idx="6">
                  <c:v>7285.9875542499231</c:v>
                </c:pt>
                <c:pt idx="7">
                  <c:v>6311.7593073682219</c:v>
                </c:pt>
                <c:pt idx="8">
                  <c:v>3838.8793234798613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A32-4F57-B5BC-CFB42A84AD0E}"/>
            </c:ext>
          </c:extLst>
        </c:ser>
        <c:ser>
          <c:idx val="61"/>
          <c:order val="61"/>
          <c:tx>
            <c:strRef>
              <c:f>IRS!$B$85</c:f>
              <c:strCache>
                <c:ptCount val="1"/>
                <c:pt idx="0">
                  <c:v>Simulation 62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IRS!$D$85:$M$85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1531.2561018130241</c:v>
                </c:pt>
                <c:pt idx="4">
                  <c:v>5274.5346453271704</c:v>
                </c:pt>
                <c:pt idx="5">
                  <c:v>7373.4102684936934</c:v>
                </c:pt>
                <c:pt idx="6">
                  <c:v>7820.9904622466102</c:v>
                </c:pt>
                <c:pt idx="7">
                  <c:v>6668.7664343816832</c:v>
                </c:pt>
                <c:pt idx="8">
                  <c:v>4017.0290424963887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A32-4F57-B5BC-CFB42A84AD0E}"/>
            </c:ext>
          </c:extLst>
        </c:ser>
        <c:ser>
          <c:idx val="62"/>
          <c:order val="62"/>
          <c:tx>
            <c:strRef>
              <c:f>IRS!$B$86</c:f>
              <c:strCache>
                <c:ptCount val="1"/>
                <c:pt idx="0">
                  <c:v>Simulation 63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IRS!$D$86:$M$86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3153.2758694916647</c:v>
                </c:pt>
                <c:pt idx="5">
                  <c:v>5713.2240751298032</c:v>
                </c:pt>
                <c:pt idx="6">
                  <c:v>6609.4468268630844</c:v>
                </c:pt>
                <c:pt idx="7">
                  <c:v>5887.0243915781302</c:v>
                </c:pt>
                <c:pt idx="8">
                  <c:v>3640.6479285170963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A32-4F57-B5BC-CFB42A84AD0E}"/>
            </c:ext>
          </c:extLst>
        </c:ser>
        <c:ser>
          <c:idx val="63"/>
          <c:order val="63"/>
          <c:tx>
            <c:strRef>
              <c:f>IRS!$B$87</c:f>
              <c:strCache>
                <c:ptCount val="1"/>
                <c:pt idx="0">
                  <c:v>Simulation 64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IRS!$D$87:$M$87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3004.8705745301172</c:v>
                </c:pt>
                <c:pt idx="5">
                  <c:v>5632.8232419793458</c:v>
                </c:pt>
                <c:pt idx="6">
                  <c:v>6575.9909531654666</c:v>
                </c:pt>
                <c:pt idx="7">
                  <c:v>5881.2668517897455</c:v>
                </c:pt>
                <c:pt idx="8">
                  <c:v>3645.3260204684266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A32-4F57-B5BC-CFB42A84AD0E}"/>
            </c:ext>
          </c:extLst>
        </c:ser>
        <c:ser>
          <c:idx val="64"/>
          <c:order val="64"/>
          <c:tx>
            <c:strRef>
              <c:f>IRS!$B$88</c:f>
              <c:strCache>
                <c:ptCount val="1"/>
                <c:pt idx="0">
                  <c:v>Simulation 65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IRS!$D$88:$M$88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2774.1074022118792</c:v>
                </c:pt>
                <c:pt idx="5">
                  <c:v>5485.7630209877952</c:v>
                </c:pt>
                <c:pt idx="6">
                  <c:v>6491.1040164394299</c:v>
                </c:pt>
                <c:pt idx="7">
                  <c:v>5839.8113281866154</c:v>
                </c:pt>
                <c:pt idx="8">
                  <c:v>3631.2848136030871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A32-4F57-B5BC-CFB42A84AD0E}"/>
            </c:ext>
          </c:extLst>
        </c:ser>
        <c:ser>
          <c:idx val="65"/>
          <c:order val="65"/>
          <c:tx>
            <c:strRef>
              <c:f>IRS!$B$89</c:f>
              <c:strCache>
                <c:ptCount val="1"/>
                <c:pt idx="0">
                  <c:v>Simulation 66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IRS!$D$89:$M$89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3451.134539910438</c:v>
                </c:pt>
                <c:pt idx="5">
                  <c:v>6052.9572499761689</c:v>
                </c:pt>
                <c:pt idx="6">
                  <c:v>6931.0221320676465</c:v>
                </c:pt>
                <c:pt idx="7">
                  <c:v>6139.7991401736163</c:v>
                </c:pt>
                <c:pt idx="8">
                  <c:v>3783.2306543443342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BA32-4F57-B5BC-CFB42A84AD0E}"/>
            </c:ext>
          </c:extLst>
        </c:ser>
        <c:ser>
          <c:idx val="66"/>
          <c:order val="66"/>
          <c:tx>
            <c:strRef>
              <c:f>IRS!$B$90</c:f>
              <c:strCache>
                <c:ptCount val="1"/>
                <c:pt idx="0">
                  <c:v>Simulation 67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IRS!$D$90:$M$90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1055.9776074390511</c:v>
                </c:pt>
                <c:pt idx="5">
                  <c:v>4179.4035451184473</c:v>
                </c:pt>
                <c:pt idx="6">
                  <c:v>5561.0327278984769</c:v>
                </c:pt>
                <c:pt idx="7">
                  <c:v>5251.9612720265868</c:v>
                </c:pt>
                <c:pt idx="8">
                  <c:v>3352.9705844649261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A32-4F57-B5BC-CFB42A84AD0E}"/>
            </c:ext>
          </c:extLst>
        </c:ser>
        <c:ser>
          <c:idx val="67"/>
          <c:order val="67"/>
          <c:tx>
            <c:strRef>
              <c:f>IRS!$B$91</c:f>
              <c:strCache>
                <c:ptCount val="1"/>
                <c:pt idx="0">
                  <c:v>Simulation 68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IRS!$D$91:$M$91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3246.5461963919452</c:v>
                </c:pt>
                <c:pt idx="6">
                  <c:v>4905.5655340070734</c:v>
                </c:pt>
                <c:pt idx="7">
                  <c:v>4844.1862634133231</c:v>
                </c:pt>
                <c:pt idx="8">
                  <c:v>3163.4346340081556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BA32-4F57-B5BC-CFB42A84AD0E}"/>
            </c:ext>
          </c:extLst>
        </c:ser>
        <c:ser>
          <c:idx val="68"/>
          <c:order val="68"/>
          <c:tx>
            <c:strRef>
              <c:f>IRS!$B$92</c:f>
              <c:strCache>
                <c:ptCount val="1"/>
                <c:pt idx="0">
                  <c:v>Simulation 69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IRS!$D$92:$M$92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3216.8812639185858</c:v>
                </c:pt>
                <c:pt idx="6">
                  <c:v>4881.7286029419502</c:v>
                </c:pt>
                <c:pt idx="7">
                  <c:v>4827.8267073274237</c:v>
                </c:pt>
                <c:pt idx="8">
                  <c:v>3155.3018346005742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BA32-4F57-B5BC-CFB42A84AD0E}"/>
            </c:ext>
          </c:extLst>
        </c:ser>
        <c:ser>
          <c:idx val="69"/>
          <c:order val="69"/>
          <c:tx>
            <c:strRef>
              <c:f>IRS!$B$93</c:f>
              <c:strCache>
                <c:ptCount val="1"/>
                <c:pt idx="0">
                  <c:v>Simulation 70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IRS!$D$93:$M$93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1932.7199891166802</c:v>
                </c:pt>
                <c:pt idx="5">
                  <c:v>4885.1431234858246</c:v>
                </c:pt>
                <c:pt idx="6">
                  <c:v>6089.1598710832113</c:v>
                </c:pt>
                <c:pt idx="7">
                  <c:v>5600.6987522894669</c:v>
                </c:pt>
                <c:pt idx="8">
                  <c:v>3524.5666292600977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A32-4F57-B5BC-CFB42A84AD0E}"/>
            </c:ext>
          </c:extLst>
        </c:ser>
        <c:ser>
          <c:idx val="70"/>
          <c:order val="70"/>
          <c:tx>
            <c:strRef>
              <c:f>IRS!$B$94</c:f>
              <c:strCache>
                <c:ptCount val="1"/>
                <c:pt idx="0">
                  <c:v>Simulation 71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IRS!$D$94:$M$94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3034.0941909588619</c:v>
                </c:pt>
                <c:pt idx="6">
                  <c:v>4788.8112581755086</c:v>
                </c:pt>
                <c:pt idx="7">
                  <c:v>4791.6635972616778</c:v>
                </c:pt>
                <c:pt idx="8">
                  <c:v>3148.3483011806529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BA32-4F57-B5BC-CFB42A84AD0E}"/>
            </c:ext>
          </c:extLst>
        </c:ser>
        <c:ser>
          <c:idx val="71"/>
          <c:order val="71"/>
          <c:tx>
            <c:strRef>
              <c:f>IRS!$B$95</c:f>
              <c:strCache>
                <c:ptCount val="1"/>
                <c:pt idx="0">
                  <c:v>Simulation 72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IRS!$D$95:$M$95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2465.4613107649407</c:v>
                </c:pt>
                <c:pt idx="6">
                  <c:v>4336.0589086792343</c:v>
                </c:pt>
                <c:pt idx="7">
                  <c:v>4478.3054704526494</c:v>
                </c:pt>
                <c:pt idx="8">
                  <c:v>2988.6867399475086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BA32-4F57-B5BC-CFB42A84AD0E}"/>
            </c:ext>
          </c:extLst>
        </c:ser>
        <c:ser>
          <c:idx val="72"/>
          <c:order val="72"/>
          <c:tx>
            <c:strRef>
              <c:f>IRS!$B$96</c:f>
              <c:strCache>
                <c:ptCount val="1"/>
                <c:pt idx="0">
                  <c:v>Simulation 73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IRS!$D$96:$M$96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634.3771516165616</c:v>
                </c:pt>
                <c:pt idx="5">
                  <c:v>3916.3931515510658</c:v>
                </c:pt>
                <c:pt idx="6">
                  <c:v>5414.5660805686111</c:v>
                </c:pt>
                <c:pt idx="7">
                  <c:v>5185.1338275025328</c:v>
                </c:pt>
                <c:pt idx="8">
                  <c:v>3333.5084458347214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BA32-4F57-B5BC-CFB42A84AD0E}"/>
            </c:ext>
          </c:extLst>
        </c:ser>
        <c:ser>
          <c:idx val="73"/>
          <c:order val="73"/>
          <c:tx>
            <c:strRef>
              <c:f>IRS!$B$97</c:f>
              <c:strCache>
                <c:ptCount val="1"/>
                <c:pt idx="0">
                  <c:v>Simulation 74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IRS!$D$97:$M$97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1124.2207394735583</c:v>
                </c:pt>
                <c:pt idx="6">
                  <c:v>3386.8818010031337</c:v>
                </c:pt>
                <c:pt idx="7">
                  <c:v>3882.4523468663051</c:v>
                </c:pt>
                <c:pt idx="8">
                  <c:v>2708.7014621832109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BA32-4F57-B5BC-CFB42A84AD0E}"/>
            </c:ext>
          </c:extLst>
        </c:ser>
        <c:ser>
          <c:idx val="74"/>
          <c:order val="74"/>
          <c:tx>
            <c:strRef>
              <c:f>IRS!$B$98</c:f>
              <c:strCache>
                <c:ptCount val="1"/>
                <c:pt idx="0">
                  <c:v>Simulation 75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IRS!$D$98:$M$98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1199.2959105789021</c:v>
                </c:pt>
                <c:pt idx="6">
                  <c:v>3451.1975959310184</c:v>
                </c:pt>
                <c:pt idx="7">
                  <c:v>3928.4281812017134</c:v>
                </c:pt>
                <c:pt idx="8">
                  <c:v>2732.2631408898669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A32-4F57-B5BC-CFB42A84AD0E}"/>
            </c:ext>
          </c:extLst>
        </c:ser>
        <c:ser>
          <c:idx val="75"/>
          <c:order val="75"/>
          <c:tx>
            <c:strRef>
              <c:f>IRS!$B$99</c:f>
              <c:strCache>
                <c:ptCount val="1"/>
                <c:pt idx="0">
                  <c:v>Simulation 76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IRS!$D$99:$M$99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1679.3116739916745</c:v>
                </c:pt>
                <c:pt idx="6">
                  <c:v>3828.2809990210962</c:v>
                </c:pt>
                <c:pt idx="7">
                  <c:v>4189.2238341640477</c:v>
                </c:pt>
                <c:pt idx="8">
                  <c:v>2866.3644178138325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BA32-4F57-B5BC-CFB42A84AD0E}"/>
            </c:ext>
          </c:extLst>
        </c:ser>
        <c:ser>
          <c:idx val="76"/>
          <c:order val="76"/>
          <c:tx>
            <c:strRef>
              <c:f>IRS!$B$100</c:f>
              <c:strCache>
                <c:ptCount val="1"/>
                <c:pt idx="0">
                  <c:v>Simulation 77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IRS!$D$100:$M$100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2458.9875378953857</c:v>
                </c:pt>
                <c:pt idx="6">
                  <c:v>4394.1791294831764</c:v>
                </c:pt>
                <c:pt idx="7">
                  <c:v>4551.6583912415772</c:v>
                </c:pt>
                <c:pt idx="8">
                  <c:v>3039.2651142674272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A32-4F57-B5BC-CFB42A84AD0E}"/>
            </c:ext>
          </c:extLst>
        </c:ser>
        <c:ser>
          <c:idx val="77"/>
          <c:order val="77"/>
          <c:tx>
            <c:strRef>
              <c:f>IRS!$B$101</c:f>
              <c:strCache>
                <c:ptCount val="1"/>
                <c:pt idx="0">
                  <c:v>Simulation 78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IRS!$D$101:$M$101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195.99639829539865</c:v>
                </c:pt>
                <c:pt idx="5">
                  <c:v>3614.2669444933772</c:v>
                </c:pt>
                <c:pt idx="6">
                  <c:v>5219.4436586867578</c:v>
                </c:pt>
                <c:pt idx="7">
                  <c:v>5073.1550897406596</c:v>
                </c:pt>
                <c:pt idx="8">
                  <c:v>3285.304877581872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A32-4F57-B5BC-CFB42A84AD0E}"/>
            </c:ext>
          </c:extLst>
        </c:ser>
        <c:ser>
          <c:idx val="78"/>
          <c:order val="78"/>
          <c:tx>
            <c:strRef>
              <c:f>IRS!$B$102</c:f>
              <c:strCache>
                <c:ptCount val="1"/>
                <c:pt idx="0">
                  <c:v>Simulation 79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IRS!$D$102:$M$102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241.37227718672011</c:v>
                </c:pt>
                <c:pt idx="5">
                  <c:v>3693.0793802293956</c:v>
                </c:pt>
                <c:pt idx="6">
                  <c:v>5305.3755199681136</c:v>
                </c:pt>
                <c:pt idx="7">
                  <c:v>5145.0983740904212</c:v>
                </c:pt>
                <c:pt idx="8">
                  <c:v>3327.0846395120593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A32-4F57-B5BC-CFB42A84AD0E}"/>
            </c:ext>
          </c:extLst>
        </c:ser>
        <c:ser>
          <c:idx val="79"/>
          <c:order val="79"/>
          <c:tx>
            <c:strRef>
              <c:f>IRS!$B$103</c:f>
              <c:strCache>
                <c:ptCount val="1"/>
                <c:pt idx="0">
                  <c:v>Simulation 80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IRS!$D$103:$M$103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538.2822033238208</c:v>
                </c:pt>
                <c:pt idx="5">
                  <c:v>3925.8766992288156</c:v>
                </c:pt>
                <c:pt idx="6">
                  <c:v>5471.6118278698868</c:v>
                </c:pt>
                <c:pt idx="7">
                  <c:v>5247.6871738744248</c:v>
                </c:pt>
                <c:pt idx="8">
                  <c:v>3373.211851582239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BA32-4F57-B5BC-CFB42A84AD0E}"/>
            </c:ext>
          </c:extLst>
        </c:ser>
        <c:ser>
          <c:idx val="80"/>
          <c:order val="80"/>
          <c:tx>
            <c:strRef>
              <c:f>IRS!$B$104</c:f>
              <c:strCache>
                <c:ptCount val="1"/>
                <c:pt idx="0">
                  <c:v>Simulation 81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IRS!$D$104:$M$104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2690.1855474174195</c:v>
                </c:pt>
                <c:pt idx="6">
                  <c:v>4568.6591609438983</c:v>
                </c:pt>
                <c:pt idx="7">
                  <c:v>4663.3852512184085</c:v>
                </c:pt>
                <c:pt idx="8">
                  <c:v>3090.6776562930954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BA32-4F57-B5BC-CFB42A84AD0E}"/>
            </c:ext>
          </c:extLst>
        </c:ser>
        <c:ser>
          <c:idx val="81"/>
          <c:order val="81"/>
          <c:tx>
            <c:strRef>
              <c:f>IRS!$B$105</c:f>
              <c:strCache>
                <c:ptCount val="1"/>
                <c:pt idx="0">
                  <c:v>Simulation 82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IRS!$D$105:$M$105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2575.4816895449567</c:v>
                </c:pt>
                <c:pt idx="5">
                  <c:v>5519.9004072715215</c:v>
                </c:pt>
                <c:pt idx="6">
                  <c:v>6636.6740892155394</c:v>
                </c:pt>
                <c:pt idx="7">
                  <c:v>6002.0287763254855</c:v>
                </c:pt>
                <c:pt idx="8">
                  <c:v>3738.350041461581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BA32-4F57-B5BC-CFB42A84AD0E}"/>
            </c:ext>
          </c:extLst>
        </c:ser>
        <c:ser>
          <c:idx val="82"/>
          <c:order val="82"/>
          <c:tx>
            <c:strRef>
              <c:f>IRS!$B$106</c:f>
              <c:strCache>
                <c:ptCount val="1"/>
                <c:pt idx="0">
                  <c:v>Simulation 83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IRS!$D$106:$M$106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1296.5131445301367</c:v>
                </c:pt>
                <c:pt idx="5">
                  <c:v>4526.806177624836</c:v>
                </c:pt>
                <c:pt idx="6">
                  <c:v>5916.6066697135229</c:v>
                </c:pt>
                <c:pt idx="7">
                  <c:v>5539.7710928773022</c:v>
                </c:pt>
                <c:pt idx="8">
                  <c:v>3516.6433865596973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BA32-4F57-B5BC-CFB42A84AD0E}"/>
            </c:ext>
          </c:extLst>
        </c:ser>
        <c:ser>
          <c:idx val="83"/>
          <c:order val="83"/>
          <c:tx>
            <c:strRef>
              <c:f>IRS!$B$107</c:f>
              <c:strCache>
                <c:ptCount val="1"/>
                <c:pt idx="0">
                  <c:v>Simulation 84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IRS!$D$107:$M$107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1696.2702735478579</c:v>
                </c:pt>
                <c:pt idx="5">
                  <c:v>4833.0260781956968</c:v>
                </c:pt>
                <c:pt idx="6">
                  <c:v>6137.4502226746754</c:v>
                </c:pt>
                <c:pt idx="7">
                  <c:v>5681.980162853426</c:v>
                </c:pt>
                <c:pt idx="8">
                  <c:v>3585.6235511427949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A32-4F57-B5BC-CFB42A84AD0E}"/>
            </c:ext>
          </c:extLst>
        </c:ser>
        <c:ser>
          <c:idx val="84"/>
          <c:order val="84"/>
          <c:tx>
            <c:strRef>
              <c:f>IRS!$B$108</c:f>
              <c:strCache>
                <c:ptCount val="1"/>
                <c:pt idx="0">
                  <c:v>Simulation 85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IRS!$D$108:$M$108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3327.5498477490305</c:v>
                </c:pt>
                <c:pt idx="5">
                  <c:v>6081.4633095493664</c:v>
                </c:pt>
                <c:pt idx="6">
                  <c:v>7031.4697120126839</c:v>
                </c:pt>
                <c:pt idx="7">
                  <c:v>6250.0948987742177</c:v>
                </c:pt>
                <c:pt idx="8">
                  <c:v>3855.9800534246433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A32-4F57-B5BC-CFB42A84AD0E}"/>
            </c:ext>
          </c:extLst>
        </c:ser>
        <c:ser>
          <c:idx val="85"/>
          <c:order val="85"/>
          <c:tx>
            <c:strRef>
              <c:f>IRS!$B$109</c:f>
              <c:strCache>
                <c:ptCount val="1"/>
                <c:pt idx="0">
                  <c:v>Simulation 86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IRS!$D$109:$M$109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3046.7281457181466</c:v>
                </c:pt>
                <c:pt idx="5">
                  <c:v>5858.5937635473656</c:v>
                </c:pt>
                <c:pt idx="6">
                  <c:v>6864.1750221847069</c:v>
                </c:pt>
                <c:pt idx="7">
                  <c:v>6137.7492677284899</c:v>
                </c:pt>
                <c:pt idx="8">
                  <c:v>3799.1626054967046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A32-4F57-B5BC-CFB42A84AD0E}"/>
            </c:ext>
          </c:extLst>
        </c:ser>
        <c:ser>
          <c:idx val="86"/>
          <c:order val="86"/>
          <c:tx>
            <c:strRef>
              <c:f>IRS!$B$110</c:f>
              <c:strCache>
                <c:ptCount val="1"/>
                <c:pt idx="0">
                  <c:v>Simulation 87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IRS!$D$110:$M$110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4014.8748964090241</c:v>
                </c:pt>
                <c:pt idx="5">
                  <c:v>6616.2422900746124</c:v>
                </c:pt>
                <c:pt idx="6">
                  <c:v>7417.3166562426777</c:v>
                </c:pt>
                <c:pt idx="7">
                  <c:v>6495.070842927571</c:v>
                </c:pt>
                <c:pt idx="8">
                  <c:v>3971.541788779527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A32-4F57-B5BC-CFB42A84AD0E}"/>
            </c:ext>
          </c:extLst>
        </c:ser>
        <c:ser>
          <c:idx val="87"/>
          <c:order val="87"/>
          <c:tx>
            <c:strRef>
              <c:f>IRS!$B$111</c:f>
              <c:strCache>
                <c:ptCount val="1"/>
                <c:pt idx="0">
                  <c:v>Simulation 88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IRS!$D$111:$M$111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732.83097950987622</c:v>
                </c:pt>
                <c:pt idx="4">
                  <c:v>4861.9423959815576</c:v>
                </c:pt>
                <c:pt idx="5">
                  <c:v>7218.6974260571442</c:v>
                </c:pt>
                <c:pt idx="6">
                  <c:v>7818.2951963881824</c:v>
                </c:pt>
                <c:pt idx="7">
                  <c:v>6732.1899312742989</c:v>
                </c:pt>
                <c:pt idx="8">
                  <c:v>4076.8157699808876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A32-4F57-B5BC-CFB42A84AD0E}"/>
            </c:ext>
          </c:extLst>
        </c:ser>
        <c:ser>
          <c:idx val="88"/>
          <c:order val="88"/>
          <c:tx>
            <c:strRef>
              <c:f>IRS!$B$112</c:f>
              <c:strCache>
                <c:ptCount val="1"/>
                <c:pt idx="0">
                  <c:v>Simulation 89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IRS!$D$112:$M$112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4892.9600283858717</c:v>
                </c:pt>
                <c:pt idx="4">
                  <c:v>8217.2470910953562</c:v>
                </c:pt>
                <c:pt idx="5">
                  <c:v>9808.2026501861492</c:v>
                </c:pt>
                <c:pt idx="6">
                  <c:v>9685.9069878757236</c:v>
                </c:pt>
                <c:pt idx="7">
                  <c:v>7925.8425500801377</c:v>
                </c:pt>
                <c:pt idx="8">
                  <c:v>4647.3463884797966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A32-4F57-B5BC-CFB42A84AD0E}"/>
            </c:ext>
          </c:extLst>
        </c:ser>
        <c:ser>
          <c:idx val="89"/>
          <c:order val="89"/>
          <c:tx>
            <c:strRef>
              <c:f>IRS!$B$113</c:f>
              <c:strCache>
                <c:ptCount val="1"/>
                <c:pt idx="0">
                  <c:v>Simulation 90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IRS!$D$113:$M$113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3752.0309489121028</c:v>
                </c:pt>
                <c:pt idx="4">
                  <c:v>7333.3427624776523</c:v>
                </c:pt>
                <c:pt idx="5">
                  <c:v>9153.4177520690773</c:v>
                </c:pt>
                <c:pt idx="6">
                  <c:v>9232.9770321952237</c:v>
                </c:pt>
                <c:pt idx="7">
                  <c:v>7648.4497639894671</c:v>
                </c:pt>
                <c:pt idx="8">
                  <c:v>4520.4142762647662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BA32-4F57-B5BC-CFB42A84AD0E}"/>
            </c:ext>
          </c:extLst>
        </c:ser>
        <c:ser>
          <c:idx val="90"/>
          <c:order val="90"/>
          <c:tx>
            <c:strRef>
              <c:f>IRS!$B$114</c:f>
              <c:strCache>
                <c:ptCount val="1"/>
                <c:pt idx="0">
                  <c:v>Simulation 91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IRS!$D$114:$M$114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2610.3303273595156</c:v>
                </c:pt>
                <c:pt idx="4">
                  <c:v>6398.3406014590555</c:v>
                </c:pt>
                <c:pt idx="5">
                  <c:v>8418.5620062067283</c:v>
                </c:pt>
                <c:pt idx="6">
                  <c:v>8691.9280512565692</c:v>
                </c:pt>
                <c:pt idx="7">
                  <c:v>7294.7646871011721</c:v>
                </c:pt>
                <c:pt idx="8">
                  <c:v>4347.2666256865114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BA32-4F57-B5BC-CFB42A84AD0E}"/>
            </c:ext>
          </c:extLst>
        </c:ser>
        <c:ser>
          <c:idx val="91"/>
          <c:order val="91"/>
          <c:tx>
            <c:strRef>
              <c:f>IRS!$B$115</c:f>
              <c:strCache>
                <c:ptCount val="1"/>
                <c:pt idx="0">
                  <c:v>Simulation 92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IRS!$D$115:$M$115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1175.4033533357897</c:v>
                </c:pt>
                <c:pt idx="4">
                  <c:v>5251.3816560974155</c:v>
                </c:pt>
                <c:pt idx="5">
                  <c:v>7539.9623701561886</c:v>
                </c:pt>
                <c:pt idx="6">
                  <c:v>8062.087437348262</c:v>
                </c:pt>
                <c:pt idx="7">
                  <c:v>6894.1487462391387</c:v>
                </c:pt>
                <c:pt idx="8">
                  <c:v>4156.4956503610874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BA32-4F57-B5BC-CFB42A84AD0E}"/>
            </c:ext>
          </c:extLst>
        </c:ser>
        <c:ser>
          <c:idx val="92"/>
          <c:order val="92"/>
          <c:tx>
            <c:strRef>
              <c:f>IRS!$B$116</c:f>
              <c:strCache>
                <c:ptCount val="1"/>
                <c:pt idx="0">
                  <c:v>Simulation 93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IRS!$D$116:$M$116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4029.5264012852367</c:v>
                </c:pt>
                <c:pt idx="5">
                  <c:v>6566.7505033514899</c:v>
                </c:pt>
                <c:pt idx="6">
                  <c:v>7338.5760322124343</c:v>
                </c:pt>
                <c:pt idx="7">
                  <c:v>6418.16744397809</c:v>
                </c:pt>
                <c:pt idx="8">
                  <c:v>3922.679136894114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BA32-4F57-B5BC-CFB42A84AD0E}"/>
            </c:ext>
          </c:extLst>
        </c:ser>
        <c:ser>
          <c:idx val="93"/>
          <c:order val="93"/>
          <c:tx>
            <c:strRef>
              <c:f>IRS!$B$117</c:f>
              <c:strCache>
                <c:ptCount val="1"/>
                <c:pt idx="0">
                  <c:v>Simulation 94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IRS!$D$117:$M$117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720.91011641351133</c:v>
                </c:pt>
                <c:pt idx="4">
                  <c:v>4889.9266928306224</c:v>
                </c:pt>
                <c:pt idx="5">
                  <c:v>7266.7928657378798</c:v>
                </c:pt>
                <c:pt idx="6">
                  <c:v>7870.6623970172805</c:v>
                </c:pt>
                <c:pt idx="7">
                  <c:v>6776.3374135291924</c:v>
                </c:pt>
                <c:pt idx="8">
                  <c:v>4102.8144039035487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BA32-4F57-B5BC-CFB42A84AD0E}"/>
            </c:ext>
          </c:extLst>
        </c:ser>
        <c:ser>
          <c:idx val="94"/>
          <c:order val="94"/>
          <c:tx>
            <c:strRef>
              <c:f>IRS!$B$118</c:f>
              <c:strCache>
                <c:ptCount val="1"/>
                <c:pt idx="0">
                  <c:v>Simulation 95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IRS!$D$118:$M$118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3586.5891179450209</c:v>
                </c:pt>
                <c:pt idx="5">
                  <c:v>6234.7440910161004</c:v>
                </c:pt>
                <c:pt idx="6">
                  <c:v>7109.2526133414249</c:v>
                </c:pt>
                <c:pt idx="7">
                  <c:v>6280.0177646252941</c:v>
                </c:pt>
                <c:pt idx="8">
                  <c:v>3861.5733067048081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BA32-4F57-B5BC-CFB42A84AD0E}"/>
            </c:ext>
          </c:extLst>
        </c:ser>
        <c:ser>
          <c:idx val="95"/>
          <c:order val="95"/>
          <c:tx>
            <c:strRef>
              <c:f>IRS!$B$119</c:f>
              <c:strCache>
                <c:ptCount val="1"/>
                <c:pt idx="0">
                  <c:v>Simulation 96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IRS!$D$119:$M$119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1542.3836743058096</c:v>
                </c:pt>
                <c:pt idx="4">
                  <c:v>5514.6391176859506</c:v>
                </c:pt>
                <c:pt idx="5">
                  <c:v>7718.0860192442669</c:v>
                </c:pt>
                <c:pt idx="6">
                  <c:v>8172.968648463625</c:v>
                </c:pt>
                <c:pt idx="7">
                  <c:v>6954.3221480265784</c:v>
                </c:pt>
                <c:pt idx="8">
                  <c:v>4180.4863681855077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BA32-4F57-B5BC-CFB42A84AD0E}"/>
            </c:ext>
          </c:extLst>
        </c:ser>
        <c:ser>
          <c:idx val="96"/>
          <c:order val="96"/>
          <c:tx>
            <c:strRef>
              <c:f>IRS!$B$120</c:f>
              <c:strCache>
                <c:ptCount val="1"/>
                <c:pt idx="0">
                  <c:v>Simulation 97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IRS!$D$120:$M$120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3388.8254677399445</c:v>
                </c:pt>
                <c:pt idx="4">
                  <c:v>7016.769482287531</c:v>
                </c:pt>
                <c:pt idx="5">
                  <c:v>8884.1244940211927</c:v>
                </c:pt>
                <c:pt idx="6">
                  <c:v>9016.5915148488239</c:v>
                </c:pt>
                <c:pt idx="7">
                  <c:v>7493.8615564359534</c:v>
                </c:pt>
                <c:pt idx="8">
                  <c:v>4437.9373950663321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A32-4F57-B5BC-CFB42A84AD0E}"/>
            </c:ext>
          </c:extLst>
        </c:ser>
        <c:ser>
          <c:idx val="97"/>
          <c:order val="97"/>
          <c:tx>
            <c:strRef>
              <c:f>IRS!$B$121</c:f>
              <c:strCache>
                <c:ptCount val="1"/>
                <c:pt idx="0">
                  <c:v>Simulation 98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IRS!$D$121:$M$121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2889.0449030757577</c:v>
                </c:pt>
                <c:pt idx="3">
                  <c:v>7489.5864882249743</c:v>
                </c:pt>
                <c:pt idx="4">
                  <c:v>10363.007439994182</c:v>
                </c:pt>
                <c:pt idx="5">
                  <c:v>11493.285178059181</c:v>
                </c:pt>
                <c:pt idx="6">
                  <c:v>10915.248512553175</c:v>
                </c:pt>
                <c:pt idx="7">
                  <c:v>8716.6522547820205</c:v>
                </c:pt>
                <c:pt idx="8">
                  <c:v>5026.1423385553117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A32-4F57-B5BC-CFB42A84AD0E}"/>
            </c:ext>
          </c:extLst>
        </c:ser>
        <c:ser>
          <c:idx val="98"/>
          <c:order val="98"/>
          <c:tx>
            <c:strRef>
              <c:f>IRS!$B$122</c:f>
              <c:strCache>
                <c:ptCount val="1"/>
                <c:pt idx="0">
                  <c:v>Simulation 99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IRS!$D$122:$M$122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4214.2085824740716</c:v>
                </c:pt>
                <c:pt idx="3">
                  <c:v>8559.9769750285359</c:v>
                </c:pt>
                <c:pt idx="4">
                  <c:v>11199.462814042772</c:v>
                </c:pt>
                <c:pt idx="5">
                  <c:v>12117.618869035079</c:v>
                </c:pt>
                <c:pt idx="6">
                  <c:v>11350.010360763779</c:v>
                </c:pt>
                <c:pt idx="7">
                  <c:v>8984.5492484429487</c:v>
                </c:pt>
                <c:pt idx="8">
                  <c:v>5149.4356630835136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BA32-4F57-B5BC-CFB42A84AD0E}"/>
            </c:ext>
          </c:extLst>
        </c:ser>
        <c:ser>
          <c:idx val="99"/>
          <c:order val="99"/>
          <c:tx>
            <c:strRef>
              <c:f>IRS!$B$123</c:f>
              <c:strCache>
                <c:ptCount val="1"/>
                <c:pt idx="0">
                  <c:v>Simulation 100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IRS!$D$123:$M$123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3514.7831795379589</c:v>
                </c:pt>
                <c:pt idx="3">
                  <c:v>7936.7168123921765</c:v>
                </c:pt>
                <c:pt idx="4">
                  <c:v>10662.532936761709</c:v>
                </c:pt>
                <c:pt idx="5">
                  <c:v>11676.063962622688</c:v>
                </c:pt>
                <c:pt idx="6">
                  <c:v>11011.586129384683</c:v>
                </c:pt>
                <c:pt idx="7">
                  <c:v>8755.3790716618569</c:v>
                </c:pt>
                <c:pt idx="8">
                  <c:v>5033.7463647306477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BA32-4F57-B5BC-CFB42A84AD0E}"/>
            </c:ext>
          </c:extLst>
        </c:ser>
        <c:ser>
          <c:idx val="100"/>
          <c:order val="100"/>
          <c:tx>
            <c:strRef>
              <c:f>IRS!$B$124</c:f>
              <c:strCache>
                <c:ptCount val="1"/>
                <c:pt idx="0">
                  <c:v>Simulation 101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IRS!$D$124:$M$124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3041.1857223075831</c:v>
                </c:pt>
                <c:pt idx="3">
                  <c:v>7493.3923377009087</c:v>
                </c:pt>
                <c:pt idx="4">
                  <c:v>10269.024042713445</c:v>
                </c:pt>
                <c:pt idx="5">
                  <c:v>11347.449198233337</c:v>
                </c:pt>
                <c:pt idx="6">
                  <c:v>10758.714336432446</c:v>
                </c:pt>
                <c:pt idx="7">
                  <c:v>8585.0032043049687</c:v>
                </c:pt>
                <c:pt idx="8">
                  <c:v>4948.7916582744347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BA32-4F57-B5BC-CFB42A84AD0E}"/>
            </c:ext>
          </c:extLst>
        </c:ser>
        <c:ser>
          <c:idx val="101"/>
          <c:order val="101"/>
          <c:tx>
            <c:strRef>
              <c:f>IRS!$B$125</c:f>
              <c:strCache>
                <c:ptCount val="1"/>
                <c:pt idx="0">
                  <c:v>Simulation 102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cat>
            <c:strRef>
              <c:f>IRS!$D$23:$M$23</c:f>
              <c:strCache>
                <c:ptCount val="10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T4</c:v>
                </c:pt>
                <c:pt idx="4">
                  <c:v>T5</c:v>
                </c:pt>
                <c:pt idx="5">
                  <c:v>T6</c:v>
                </c:pt>
                <c:pt idx="6">
                  <c:v>T7</c:v>
                </c:pt>
                <c:pt idx="7">
                  <c:v>T8</c:v>
                </c:pt>
                <c:pt idx="8">
                  <c:v>T9</c:v>
                </c:pt>
                <c:pt idx="9">
                  <c:v>T10</c:v>
                </c:pt>
              </c:strCache>
            </c:strRef>
          </c:cat>
          <c:val>
            <c:numRef>
              <c:f>IRS!$D$125:$M$125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3677.2616385102997</c:v>
                </c:pt>
                <c:pt idx="3">
                  <c:v>8164.4549204334198</c:v>
                </c:pt>
                <c:pt idx="4">
                  <c:v>10942.434638025314</c:v>
                </c:pt>
                <c:pt idx="5">
                  <c:v>11983.791659900999</c:v>
                </c:pt>
                <c:pt idx="6">
                  <c:v>11312.856988440171</c:v>
                </c:pt>
                <c:pt idx="7">
                  <c:v>9007.3673599545418</c:v>
                </c:pt>
                <c:pt idx="8">
                  <c:v>5186.8665918380639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BA32-4F57-B5BC-CFB42A84A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0905520"/>
        <c:axId val="860904864"/>
      </c:lineChart>
      <c:catAx>
        <c:axId val="86090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904864"/>
        <c:crosses val="autoZero"/>
        <c:auto val="1"/>
        <c:lblAlgn val="ctr"/>
        <c:lblOffset val="100"/>
        <c:noMultiLvlLbl val="0"/>
      </c:catAx>
      <c:valAx>
        <c:axId val="86090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90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Simulated</a:t>
            </a:r>
            <a:r>
              <a:rPr lang="en-GB" baseline="0"/>
              <a:t> Exp. Exposure for T2 onwards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IRS!$B$24</c:f>
              <c:strCache>
                <c:ptCount val="1"/>
                <c:pt idx="0">
                  <c:v>Simulation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IRS!$E$24:$M$24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2302.91695762566</c:v>
                </c:pt>
                <c:pt idx="4">
                  <c:v>4971.3672242155808</c:v>
                </c:pt>
                <c:pt idx="5">
                  <c:v>5988.9511858465812</c:v>
                </c:pt>
                <c:pt idx="6">
                  <c:v>5416.2700067541946</c:v>
                </c:pt>
                <c:pt idx="7">
                  <c:v>3369.3937072993895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0-47EF-B9BB-B8D413CD7070}"/>
            </c:ext>
          </c:extLst>
        </c:ser>
        <c:ser>
          <c:idx val="1"/>
          <c:order val="1"/>
          <c:tx>
            <c:strRef>
              <c:f>IRS!$B$25</c:f>
              <c:strCache>
                <c:ptCount val="1"/>
                <c:pt idx="0">
                  <c:v>Simulation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IRS!$E$25:$M$25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3253.9320492499487</c:v>
                </c:pt>
                <c:pt idx="4">
                  <c:v>5715.2382859755862</c:v>
                </c:pt>
                <c:pt idx="5">
                  <c:v>6528.9189817282022</c:v>
                </c:pt>
                <c:pt idx="6">
                  <c:v>5761.4275923326659</c:v>
                </c:pt>
                <c:pt idx="7">
                  <c:v>3533.4499384399574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0-47EF-B9BB-B8D413CD7070}"/>
            </c:ext>
          </c:extLst>
        </c:ser>
        <c:ser>
          <c:idx val="2"/>
          <c:order val="2"/>
          <c:tx>
            <c:strRef>
              <c:f>IRS!$B$26</c:f>
              <c:strCache>
                <c:ptCount val="1"/>
                <c:pt idx="0">
                  <c:v>Simulation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IRS!$E$26:$M$26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1884.0156879095266</c:v>
                </c:pt>
                <c:pt idx="4">
                  <c:v>4654.2742572015068</c:v>
                </c:pt>
                <c:pt idx="5">
                  <c:v>5764.1357141605349</c:v>
                </c:pt>
                <c:pt idx="6">
                  <c:v>5274.8563264760542</c:v>
                </c:pt>
                <c:pt idx="7">
                  <c:v>3302.8536555887135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60-47EF-B9BB-B8D413CD7070}"/>
            </c:ext>
          </c:extLst>
        </c:ser>
        <c:ser>
          <c:idx val="3"/>
          <c:order val="3"/>
          <c:tx>
            <c:strRef>
              <c:f>IRS!$B$27</c:f>
              <c:strCache>
                <c:ptCount val="1"/>
                <c:pt idx="0">
                  <c:v>Simulation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IRS!$E$27:$M$27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147.33303133841082</c:v>
                </c:pt>
                <c:pt idx="4">
                  <c:v>3295.5655784355963</c:v>
                </c:pt>
                <c:pt idx="5">
                  <c:v>4772.7419670448126</c:v>
                </c:pt>
                <c:pt idx="6">
                  <c:v>4635.1187148928493</c:v>
                </c:pt>
                <c:pt idx="7">
                  <c:v>2994.7458756436999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60-47EF-B9BB-B8D413CD7070}"/>
            </c:ext>
          </c:extLst>
        </c:ser>
        <c:ser>
          <c:idx val="4"/>
          <c:order val="4"/>
          <c:tx>
            <c:strRef>
              <c:f>IRS!$B$28</c:f>
              <c:strCache>
                <c:ptCount val="1"/>
                <c:pt idx="0">
                  <c:v>Simulation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IRS!$E$28:$M$28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906.55333721781108</c:v>
                </c:pt>
                <c:pt idx="4">
                  <c:v>3913.1483497674999</c:v>
                </c:pt>
                <c:pt idx="5">
                  <c:v>5239.5449729205775</c:v>
                </c:pt>
                <c:pt idx="6">
                  <c:v>4946.2832103544379</c:v>
                </c:pt>
                <c:pt idx="7">
                  <c:v>3149.2212259816833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60-47EF-B9BB-B8D413CD7070}"/>
            </c:ext>
          </c:extLst>
        </c:ser>
        <c:ser>
          <c:idx val="5"/>
          <c:order val="5"/>
          <c:tx>
            <c:strRef>
              <c:f>IRS!$B$29</c:f>
              <c:strCache>
                <c:ptCount val="1"/>
                <c:pt idx="0">
                  <c:v>Simulation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IRS!$E$29:$M$29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2608.4782672190536</c:v>
                </c:pt>
                <c:pt idx="4">
                  <c:v>5217.3257719843705</c:v>
                </c:pt>
                <c:pt idx="5">
                  <c:v>6173.9735398737485</c:v>
                </c:pt>
                <c:pt idx="6">
                  <c:v>5539.9949781065425</c:v>
                </c:pt>
                <c:pt idx="7">
                  <c:v>3431.5712562021054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D60-47EF-B9BB-B8D413CD7070}"/>
            </c:ext>
          </c:extLst>
        </c:ser>
        <c:ser>
          <c:idx val="6"/>
          <c:order val="6"/>
          <c:tx>
            <c:strRef>
              <c:f>IRS!$B$30</c:f>
              <c:strCache>
                <c:ptCount val="1"/>
                <c:pt idx="0">
                  <c:v>Simulation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IRS!$E$30:$M$30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559.38986658909516</c:v>
                </c:pt>
                <c:pt idx="3">
                  <c:v>4458.6002182146185</c:v>
                </c:pt>
                <c:pt idx="4">
                  <c:v>6684.8269614576766</c:v>
                </c:pt>
                <c:pt idx="5">
                  <c:v>7256.5090391019185</c:v>
                </c:pt>
                <c:pt idx="6">
                  <c:v>6244.6058338204766</c:v>
                </c:pt>
                <c:pt idx="7">
                  <c:v>3773.2339175459119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D60-47EF-B9BB-B8D413CD7070}"/>
            </c:ext>
          </c:extLst>
        </c:ser>
        <c:ser>
          <c:idx val="7"/>
          <c:order val="7"/>
          <c:tx>
            <c:strRef>
              <c:f>IRS!$B$31</c:f>
              <c:strCache>
                <c:ptCount val="1"/>
                <c:pt idx="0">
                  <c:v>Simulation 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IRS!$E$31:$M$31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3786.0276424359522</c:v>
                </c:pt>
                <c:pt idx="4">
                  <c:v>6133.6654343051287</c:v>
                </c:pt>
                <c:pt idx="5">
                  <c:v>6833.7323256458094</c:v>
                </c:pt>
                <c:pt idx="6">
                  <c:v>5957.103189581645</c:v>
                </c:pt>
                <c:pt idx="7">
                  <c:v>3627.0997543115268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D60-47EF-B9BB-B8D413CD7070}"/>
            </c:ext>
          </c:extLst>
        </c:ser>
        <c:ser>
          <c:idx val="8"/>
          <c:order val="8"/>
          <c:tx>
            <c:strRef>
              <c:f>IRS!$B$32</c:f>
              <c:strCache>
                <c:ptCount val="1"/>
                <c:pt idx="0">
                  <c:v>Simulation 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IRS!$E$32:$M$32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3832.5683962937155</c:v>
                </c:pt>
                <c:pt idx="4">
                  <c:v>6128.0849842611387</c:v>
                </c:pt>
                <c:pt idx="5">
                  <c:v>6799.0020440434891</c:v>
                </c:pt>
                <c:pt idx="6">
                  <c:v>5914.9728967546744</c:v>
                </c:pt>
                <c:pt idx="7">
                  <c:v>3597.372432540752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D60-47EF-B9BB-B8D413CD7070}"/>
            </c:ext>
          </c:extLst>
        </c:ser>
        <c:ser>
          <c:idx val="9"/>
          <c:order val="9"/>
          <c:tx>
            <c:strRef>
              <c:f>IRS!$B$33</c:f>
              <c:strCache>
                <c:ptCount val="1"/>
                <c:pt idx="0">
                  <c:v>Simulation 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IRS!$E$33:$M$33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2919.6910609422966</c:v>
                </c:pt>
                <c:pt idx="3">
                  <c:v>6286.5517206428867</c:v>
                </c:pt>
                <c:pt idx="4">
                  <c:v>8033.0005470806827</c:v>
                </c:pt>
                <c:pt idx="5">
                  <c:v>8180.8248567911251</c:v>
                </c:pt>
                <c:pt idx="6">
                  <c:v>6803.3046586319433</c:v>
                </c:pt>
                <c:pt idx="7">
                  <c:v>4024.5173897570862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D60-47EF-B9BB-B8D413CD7070}"/>
            </c:ext>
          </c:extLst>
        </c:ser>
        <c:ser>
          <c:idx val="10"/>
          <c:order val="10"/>
          <c:tx>
            <c:strRef>
              <c:f>IRS!$B$34</c:f>
              <c:strCache>
                <c:ptCount val="1"/>
                <c:pt idx="0">
                  <c:v>Simulation 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IRS!$E$34:$M$34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3096.3327711642105</c:v>
                </c:pt>
                <c:pt idx="3">
                  <c:v>6497.0115767863972</c:v>
                </c:pt>
                <c:pt idx="4">
                  <c:v>8246.853475775597</c:v>
                </c:pt>
                <c:pt idx="5">
                  <c:v>8371.2562921527897</c:v>
                </c:pt>
                <c:pt idx="6">
                  <c:v>6947.5859081160443</c:v>
                </c:pt>
                <c:pt idx="7">
                  <c:v>4103.9956940445682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D60-47EF-B9BB-B8D413CD7070}"/>
            </c:ext>
          </c:extLst>
        </c:ser>
        <c:ser>
          <c:idx val="11"/>
          <c:order val="11"/>
          <c:tx>
            <c:strRef>
              <c:f>IRS!$B$35</c:f>
              <c:strCache>
                <c:ptCount val="1"/>
                <c:pt idx="0">
                  <c:v>Simulation 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IRS!$E$35:$M$35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2875.0890054166834</c:v>
                </c:pt>
                <c:pt idx="3">
                  <c:v>6332.1072133942253</c:v>
                </c:pt>
                <c:pt idx="4">
                  <c:v>8128.0123942221526</c:v>
                </c:pt>
                <c:pt idx="5">
                  <c:v>8290.168546077708</c:v>
                </c:pt>
                <c:pt idx="6">
                  <c:v>6897.8958998873932</c:v>
                </c:pt>
                <c:pt idx="7">
                  <c:v>4080.9216975041627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D60-47EF-B9BB-B8D413CD7070}"/>
            </c:ext>
          </c:extLst>
        </c:ser>
        <c:ser>
          <c:idx val="12"/>
          <c:order val="12"/>
          <c:tx>
            <c:strRef>
              <c:f>IRS!$B$36</c:f>
              <c:strCache>
                <c:ptCount val="1"/>
                <c:pt idx="0">
                  <c:v>Simulation 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IRS!$E$36:$M$36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3660.6373173758279</c:v>
                </c:pt>
                <c:pt idx="4">
                  <c:v>6079.1681688559111</c:v>
                </c:pt>
                <c:pt idx="5">
                  <c:v>6821.0185285441949</c:v>
                </c:pt>
                <c:pt idx="6">
                  <c:v>5963.92192098139</c:v>
                </c:pt>
                <c:pt idx="7">
                  <c:v>3636.6983636153977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D60-47EF-B9BB-B8D413CD7070}"/>
            </c:ext>
          </c:extLst>
        </c:ser>
        <c:ser>
          <c:idx val="13"/>
          <c:order val="13"/>
          <c:tx>
            <c:strRef>
              <c:f>IRS!$B$37</c:f>
              <c:strCache>
                <c:ptCount val="1"/>
                <c:pt idx="0">
                  <c:v>Simulation 14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IRS!$E$37:$M$37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3459.4828276127791</c:v>
                </c:pt>
                <c:pt idx="3">
                  <c:v>6848.7616090073661</c:v>
                </c:pt>
                <c:pt idx="4">
                  <c:v>8560.2328385600995</c:v>
                </c:pt>
                <c:pt idx="5">
                  <c:v>8624.8579564472384</c:v>
                </c:pt>
                <c:pt idx="6">
                  <c:v>7125.8571026065019</c:v>
                </c:pt>
                <c:pt idx="7">
                  <c:v>4196.3481419270656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D60-47EF-B9BB-B8D413CD7070}"/>
            </c:ext>
          </c:extLst>
        </c:ser>
        <c:ser>
          <c:idx val="14"/>
          <c:order val="14"/>
          <c:tx>
            <c:strRef>
              <c:f>IRS!$B$38</c:f>
              <c:strCache>
                <c:ptCount val="1"/>
                <c:pt idx="0">
                  <c:v>Simulation 15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IRS!$E$38:$M$38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2191.6475228744139</c:v>
                </c:pt>
                <c:pt idx="3">
                  <c:v>5772.6148699154883</c:v>
                </c:pt>
                <c:pt idx="4">
                  <c:v>7691.4324417966063</c:v>
                </c:pt>
                <c:pt idx="5">
                  <c:v>7972.8925148304561</c:v>
                </c:pt>
                <c:pt idx="6">
                  <c:v>6694.4572204447668</c:v>
                </c:pt>
                <c:pt idx="7">
                  <c:v>3983.855496609327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D60-47EF-B9BB-B8D413CD7070}"/>
            </c:ext>
          </c:extLst>
        </c:ser>
        <c:ser>
          <c:idx val="15"/>
          <c:order val="15"/>
          <c:tx>
            <c:strRef>
              <c:f>IRS!$B$39</c:f>
              <c:strCache>
                <c:ptCount val="1"/>
                <c:pt idx="0">
                  <c:v>Simulation 16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IRS!$E$39:$M$39</c:f>
              <c:numCache>
                <c:formatCode>0</c:formatCode>
                <c:ptCount val="9"/>
                <c:pt idx="0">
                  <c:v>0</c:v>
                </c:pt>
                <c:pt idx="1">
                  <c:v>812.3380413032196</c:v>
                </c:pt>
                <c:pt idx="2">
                  <c:v>5321.0443779610941</c:v>
                </c:pt>
                <c:pt idx="3">
                  <c:v>8219.6272604710302</c:v>
                </c:pt>
                <c:pt idx="4">
                  <c:v>9524.1035898194932</c:v>
                </c:pt>
                <c:pt idx="5">
                  <c:v>9256.9188773193036</c:v>
                </c:pt>
                <c:pt idx="6">
                  <c:v>7492.7439024232244</c:v>
                </c:pt>
                <c:pt idx="7">
                  <c:v>4355.6054821886546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D60-47EF-B9BB-B8D413CD7070}"/>
            </c:ext>
          </c:extLst>
        </c:ser>
        <c:ser>
          <c:idx val="16"/>
          <c:order val="16"/>
          <c:tx>
            <c:strRef>
              <c:f>IRS!$B$40</c:f>
              <c:strCache>
                <c:ptCount val="1"/>
                <c:pt idx="0">
                  <c:v>Simulation 17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IRS!$E$40:$M$40</c:f>
              <c:numCache>
                <c:formatCode>0</c:formatCode>
                <c:ptCount val="9"/>
                <c:pt idx="0">
                  <c:v>0</c:v>
                </c:pt>
                <c:pt idx="1">
                  <c:v>2577.2623176917637</c:v>
                </c:pt>
                <c:pt idx="2">
                  <c:v>6796.2571656666696</c:v>
                </c:pt>
                <c:pt idx="3">
                  <c:v>9416.6779667363407</c:v>
                </c:pt>
                <c:pt idx="4">
                  <c:v>10454.462438924407</c:v>
                </c:pt>
                <c:pt idx="5">
                  <c:v>9933.2049494802122</c:v>
                </c:pt>
                <c:pt idx="6">
                  <c:v>7928.7878913814056</c:v>
                </c:pt>
                <c:pt idx="7">
                  <c:v>4566.0639086411538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D60-47EF-B9BB-B8D413CD7070}"/>
            </c:ext>
          </c:extLst>
        </c:ser>
        <c:ser>
          <c:idx val="17"/>
          <c:order val="17"/>
          <c:tx>
            <c:strRef>
              <c:f>IRS!$B$41</c:f>
              <c:strCache>
                <c:ptCount val="1"/>
                <c:pt idx="0">
                  <c:v>Simulation 18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IRS!$E$41:$M$41</c:f>
              <c:numCache>
                <c:formatCode>0</c:formatCode>
                <c:ptCount val="9"/>
                <c:pt idx="0">
                  <c:v>0</c:v>
                </c:pt>
                <c:pt idx="1">
                  <c:v>3543.6718430168444</c:v>
                </c:pt>
                <c:pt idx="2">
                  <c:v>7570.7612905898695</c:v>
                </c:pt>
                <c:pt idx="3">
                  <c:v>10016.837049732674</c:v>
                </c:pt>
                <c:pt idx="4">
                  <c:v>10897.842403924336</c:v>
                </c:pt>
                <c:pt idx="5">
                  <c:v>10238.110203087894</c:v>
                </c:pt>
                <c:pt idx="6">
                  <c:v>8113.9224258206141</c:v>
                </c:pt>
                <c:pt idx="7">
                  <c:v>4649.8473931908266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D60-47EF-B9BB-B8D413CD7070}"/>
            </c:ext>
          </c:extLst>
        </c:ser>
        <c:ser>
          <c:idx val="18"/>
          <c:order val="18"/>
          <c:tx>
            <c:strRef>
              <c:f>IRS!$B$42</c:f>
              <c:strCache>
                <c:ptCount val="1"/>
                <c:pt idx="0">
                  <c:v>Simulation 19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IRS!$E$42:$M$42</c:f>
              <c:numCache>
                <c:formatCode>0</c:formatCode>
                <c:ptCount val="9"/>
                <c:pt idx="0">
                  <c:v>0</c:v>
                </c:pt>
                <c:pt idx="1">
                  <c:v>4155.7224038593231</c:v>
                </c:pt>
                <c:pt idx="2">
                  <c:v>8075.4235763923825</c:v>
                </c:pt>
                <c:pt idx="3">
                  <c:v>10418.204404645086</c:v>
                </c:pt>
                <c:pt idx="4">
                  <c:v>11201.324719015018</c:v>
                </c:pt>
                <c:pt idx="5">
                  <c:v>10451.138928101758</c:v>
                </c:pt>
                <c:pt idx="6">
                  <c:v>8245.6309338203737</c:v>
                </c:pt>
                <c:pt idx="7">
                  <c:v>4710.4005410718846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D60-47EF-B9BB-B8D413CD7070}"/>
            </c:ext>
          </c:extLst>
        </c:ser>
        <c:ser>
          <c:idx val="19"/>
          <c:order val="19"/>
          <c:tx>
            <c:strRef>
              <c:f>IRS!$B$43</c:f>
              <c:strCache>
                <c:ptCount val="1"/>
                <c:pt idx="0">
                  <c:v>Simulation 20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IRS!$E$43:$M$43</c:f>
              <c:numCache>
                <c:formatCode>0</c:formatCode>
                <c:ptCount val="9"/>
                <c:pt idx="0">
                  <c:v>0</c:v>
                </c:pt>
                <c:pt idx="1">
                  <c:v>3560.1953651295235</c:v>
                </c:pt>
                <c:pt idx="2">
                  <c:v>7571.2425738150851</c:v>
                </c:pt>
                <c:pt idx="3">
                  <c:v>10005.655876512345</c:v>
                </c:pt>
                <c:pt idx="4">
                  <c:v>10878.656573221924</c:v>
                </c:pt>
                <c:pt idx="5">
                  <c:v>10215.539335450128</c:v>
                </c:pt>
                <c:pt idx="6">
                  <c:v>8093.4135304883921</c:v>
                </c:pt>
                <c:pt idx="7">
                  <c:v>4636.9840308510493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D60-47EF-B9BB-B8D413CD7070}"/>
            </c:ext>
          </c:extLst>
        </c:ser>
        <c:ser>
          <c:idx val="20"/>
          <c:order val="20"/>
          <c:tx>
            <c:strRef>
              <c:f>IRS!$B$44</c:f>
              <c:strCache>
                <c:ptCount val="1"/>
                <c:pt idx="0">
                  <c:v>Simulation 21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IRS!$E$44:$M$44</c:f>
              <c:numCache>
                <c:formatCode>0</c:formatCode>
                <c:ptCount val="9"/>
                <c:pt idx="0">
                  <c:v>0</c:v>
                </c:pt>
                <c:pt idx="1">
                  <c:v>3158.4941033184191</c:v>
                </c:pt>
                <c:pt idx="2">
                  <c:v>7218.181694479641</c:v>
                </c:pt>
                <c:pt idx="3">
                  <c:v>9708.3666423088507</c:v>
                </c:pt>
                <c:pt idx="4">
                  <c:v>10641.025447602895</c:v>
                </c:pt>
                <c:pt idx="5">
                  <c:v>10039.283078501339</c:v>
                </c:pt>
                <c:pt idx="6">
                  <c:v>7978.3681331242515</c:v>
                </c:pt>
                <c:pt idx="7">
                  <c:v>4581.206838879194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D60-47EF-B9BB-B8D413CD7070}"/>
            </c:ext>
          </c:extLst>
        </c:ser>
        <c:ser>
          <c:idx val="21"/>
          <c:order val="21"/>
          <c:tx>
            <c:strRef>
              <c:f>IRS!$B$45</c:f>
              <c:strCache>
                <c:ptCount val="1"/>
                <c:pt idx="0">
                  <c:v>Simulation 22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IRS!$E$45:$M$45</c:f>
              <c:numCache>
                <c:formatCode>0</c:formatCode>
                <c:ptCount val="9"/>
                <c:pt idx="0">
                  <c:v>989.28970833791709</c:v>
                </c:pt>
                <c:pt idx="1">
                  <c:v>6281.6755184847625</c:v>
                </c:pt>
                <c:pt idx="2">
                  <c:v>9850.093964439824</c:v>
                </c:pt>
                <c:pt idx="3">
                  <c:v>11852.33948421694</c:v>
                </c:pt>
                <c:pt idx="4">
                  <c:v>12307.615533714477</c:v>
                </c:pt>
                <c:pt idx="5">
                  <c:v>11246.756079676979</c:v>
                </c:pt>
                <c:pt idx="6">
                  <c:v>8751.7878467608389</c:v>
                </c:pt>
                <c:pt idx="7">
                  <c:v>4950.9052930447269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D60-47EF-B9BB-B8D413CD7070}"/>
            </c:ext>
          </c:extLst>
        </c:ser>
        <c:ser>
          <c:idx val="22"/>
          <c:order val="22"/>
          <c:tx>
            <c:strRef>
              <c:f>IRS!$B$46</c:f>
              <c:strCache>
                <c:ptCount val="1"/>
                <c:pt idx="0">
                  <c:v>Simulation 23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IRS!$E$46:$M$46</c:f>
              <c:numCache>
                <c:formatCode>0</c:formatCode>
                <c:ptCount val="9"/>
                <c:pt idx="0">
                  <c:v>1004.7728198795448</c:v>
                </c:pt>
                <c:pt idx="1">
                  <c:v>6197.2989832525946</c:v>
                </c:pt>
                <c:pt idx="2">
                  <c:v>9701.7861156279469</c:v>
                </c:pt>
                <c:pt idx="3">
                  <c:v>11670.269662630948</c:v>
                </c:pt>
                <c:pt idx="4">
                  <c:v>12118.930655469369</c:v>
                </c:pt>
                <c:pt idx="5">
                  <c:v>11076.067979617408</c:v>
                </c:pt>
                <c:pt idx="6">
                  <c:v>8620.8288222887149</c:v>
                </c:pt>
                <c:pt idx="7">
                  <c:v>4878.0462218594066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D60-47EF-B9BB-B8D413CD7070}"/>
            </c:ext>
          </c:extLst>
        </c:ser>
        <c:ser>
          <c:idx val="23"/>
          <c:order val="23"/>
          <c:tx>
            <c:strRef>
              <c:f>IRS!$B$47</c:f>
              <c:strCache>
                <c:ptCount val="1"/>
                <c:pt idx="0">
                  <c:v>Simulation 24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IRS!$E$47:$M$47</c:f>
              <c:numCache>
                <c:formatCode>0</c:formatCode>
                <c:ptCount val="9"/>
                <c:pt idx="0">
                  <c:v>739.17835917163893</c:v>
                </c:pt>
                <c:pt idx="1">
                  <c:v>5798.5052153497245</c:v>
                </c:pt>
                <c:pt idx="2">
                  <c:v>9238.6436481060809</c:v>
                </c:pt>
                <c:pt idx="3">
                  <c:v>11198.569814956589</c:v>
                </c:pt>
                <c:pt idx="4">
                  <c:v>11684.554272087877</c:v>
                </c:pt>
                <c:pt idx="5">
                  <c:v>10715.961739614377</c:v>
                </c:pt>
                <c:pt idx="6">
                  <c:v>8363.305359369695</c:v>
                </c:pt>
                <c:pt idx="7">
                  <c:v>4743.1087770924942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D60-47EF-B9BB-B8D413CD7070}"/>
            </c:ext>
          </c:extLst>
        </c:ser>
        <c:ser>
          <c:idx val="24"/>
          <c:order val="24"/>
          <c:tx>
            <c:strRef>
              <c:f>IRS!$B$48</c:f>
              <c:strCache>
                <c:ptCount val="1"/>
                <c:pt idx="0">
                  <c:v>Simulation 25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IRS!$E$48:$M$48</c:f>
              <c:numCache>
                <c:formatCode>0</c:formatCode>
                <c:ptCount val="9"/>
                <c:pt idx="0">
                  <c:v>6989.1259515845686</c:v>
                </c:pt>
                <c:pt idx="1">
                  <c:v>11056.480268864821</c:v>
                </c:pt>
                <c:pt idx="2">
                  <c:v>13564.509077599816</c:v>
                </c:pt>
                <c:pt idx="3">
                  <c:v>14650.096953305272</c:v>
                </c:pt>
                <c:pt idx="4">
                  <c:v>14320.972481133087</c:v>
                </c:pt>
                <c:pt idx="5">
                  <c:v>12598.768474596216</c:v>
                </c:pt>
                <c:pt idx="6">
                  <c:v>9555.5476579864408</c:v>
                </c:pt>
                <c:pt idx="7">
                  <c:v>5308.0798469892015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D60-47EF-B9BB-B8D413CD7070}"/>
            </c:ext>
          </c:extLst>
        </c:ser>
        <c:ser>
          <c:idx val="25"/>
          <c:order val="25"/>
          <c:tx>
            <c:strRef>
              <c:f>IRS!$B$49</c:f>
              <c:strCache>
                <c:ptCount val="1"/>
                <c:pt idx="0">
                  <c:v>Simulation 26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IRS!$E$49:$M$49</c:f>
              <c:numCache>
                <c:formatCode>0</c:formatCode>
                <c:ptCount val="9"/>
                <c:pt idx="0">
                  <c:v>4561.8031875360502</c:v>
                </c:pt>
                <c:pt idx="1">
                  <c:v>8910.7015169761962</c:v>
                </c:pt>
                <c:pt idx="2">
                  <c:v>11726.170018624158</c:v>
                </c:pt>
                <c:pt idx="3">
                  <c:v>13132.495924444243</c:v>
                </c:pt>
                <c:pt idx="4">
                  <c:v>13128.029941009958</c:v>
                </c:pt>
                <c:pt idx="5">
                  <c:v>11726.4084906481</c:v>
                </c:pt>
                <c:pt idx="6">
                  <c:v>8992.6616566020348</c:v>
                </c:pt>
                <c:pt idx="7">
                  <c:v>5037.5615763825454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D60-47EF-B9BB-B8D413CD7070}"/>
            </c:ext>
          </c:extLst>
        </c:ser>
        <c:ser>
          <c:idx val="26"/>
          <c:order val="26"/>
          <c:tx>
            <c:strRef>
              <c:f>IRS!$B$50</c:f>
              <c:strCache>
                <c:ptCount val="1"/>
                <c:pt idx="0">
                  <c:v>Simulation 27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IRS!$E$50:$M$50</c:f>
              <c:numCache>
                <c:formatCode>0</c:formatCode>
                <c:ptCount val="9"/>
                <c:pt idx="0">
                  <c:v>5192.8083061556308</c:v>
                </c:pt>
                <c:pt idx="1">
                  <c:v>9533.3826125582582</c:v>
                </c:pt>
                <c:pt idx="2">
                  <c:v>12310.628338456932</c:v>
                </c:pt>
                <c:pt idx="3">
                  <c:v>13651.997283224599</c:v>
                </c:pt>
                <c:pt idx="4">
                  <c:v>13561.654196599375</c:v>
                </c:pt>
                <c:pt idx="5">
                  <c:v>12059.598165631869</c:v>
                </c:pt>
                <c:pt idx="6">
                  <c:v>9216.8143869313935</c:v>
                </c:pt>
                <c:pt idx="7">
                  <c:v>5149.2210560028934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D60-47EF-B9BB-B8D413CD7070}"/>
            </c:ext>
          </c:extLst>
        </c:ser>
        <c:ser>
          <c:idx val="27"/>
          <c:order val="27"/>
          <c:tx>
            <c:strRef>
              <c:f>IRS!$B$51</c:f>
              <c:strCache>
                <c:ptCount val="1"/>
                <c:pt idx="0">
                  <c:v>Simulation 28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IRS!$E$51:$M$51</c:f>
              <c:numCache>
                <c:formatCode>0</c:formatCode>
                <c:ptCount val="9"/>
                <c:pt idx="0">
                  <c:v>5948.5074447268671</c:v>
                </c:pt>
                <c:pt idx="1">
                  <c:v>10172.236920788571</c:v>
                </c:pt>
                <c:pt idx="2">
                  <c:v>12837.017144597385</c:v>
                </c:pt>
                <c:pt idx="3">
                  <c:v>14069.673691539461</c:v>
                </c:pt>
                <c:pt idx="4">
                  <c:v>13876.338686452193</c:v>
                </c:pt>
                <c:pt idx="5">
                  <c:v>12279.428648686076</c:v>
                </c:pt>
                <c:pt idx="6">
                  <c:v>9351.8840161791595</c:v>
                </c:pt>
                <c:pt idx="7">
                  <c:v>5210.8324331458025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D60-47EF-B9BB-B8D413CD7070}"/>
            </c:ext>
          </c:extLst>
        </c:ser>
        <c:ser>
          <c:idx val="28"/>
          <c:order val="28"/>
          <c:tx>
            <c:strRef>
              <c:f>IRS!$B$52</c:f>
              <c:strCache>
                <c:ptCount val="1"/>
                <c:pt idx="0">
                  <c:v>Simulation 29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IRS!$E$52:$M$52</c:f>
              <c:numCache>
                <c:formatCode>0</c:formatCode>
                <c:ptCount val="9"/>
                <c:pt idx="0">
                  <c:v>496.67719486665465</c:v>
                </c:pt>
                <c:pt idx="1">
                  <c:v>5680.5948086578646</c:v>
                </c:pt>
                <c:pt idx="2">
                  <c:v>9222.5879384264117</c:v>
                </c:pt>
                <c:pt idx="3">
                  <c:v>11249.131875735678</c:v>
                </c:pt>
                <c:pt idx="4">
                  <c:v>11768.392763864162</c:v>
                </c:pt>
                <c:pt idx="5">
                  <c:v>10805.788870262879</c:v>
                </c:pt>
                <c:pt idx="6">
                  <c:v>8437.9836525268729</c:v>
                </c:pt>
                <c:pt idx="7">
                  <c:v>4786.484747048723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D60-47EF-B9BB-B8D413CD7070}"/>
            </c:ext>
          </c:extLst>
        </c:ser>
        <c:ser>
          <c:idx val="29"/>
          <c:order val="29"/>
          <c:tx>
            <c:strRef>
              <c:f>IRS!$B$53</c:f>
              <c:strCache>
                <c:ptCount val="1"/>
                <c:pt idx="0">
                  <c:v>Simulation 30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IRS!$E$53:$M$53</c:f>
              <c:numCache>
                <c:formatCode>0</c:formatCode>
                <c:ptCount val="9"/>
                <c:pt idx="0">
                  <c:v>1608.7029393457919</c:v>
                </c:pt>
                <c:pt idx="1">
                  <c:v>6760.876574072835</c:v>
                </c:pt>
                <c:pt idx="2">
                  <c:v>10225.27500353327</c:v>
                </c:pt>
                <c:pt idx="3">
                  <c:v>12134.323983634167</c:v>
                </c:pt>
                <c:pt idx="4">
                  <c:v>12504.763567076636</c:v>
                </c:pt>
                <c:pt idx="5">
                  <c:v>11371.124159202196</c:v>
                </c:pt>
                <c:pt idx="6">
                  <c:v>8818.6844308949003</c:v>
                </c:pt>
                <c:pt idx="7">
                  <c:v>4976.5740021061911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D60-47EF-B9BB-B8D413CD7070}"/>
            </c:ext>
          </c:extLst>
        </c:ser>
        <c:ser>
          <c:idx val="30"/>
          <c:order val="30"/>
          <c:tx>
            <c:strRef>
              <c:f>IRS!$B$54</c:f>
              <c:strCache>
                <c:ptCount val="1"/>
                <c:pt idx="0">
                  <c:v>Simulation 31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IRS!$E$54:$M$54</c:f>
              <c:numCache>
                <c:formatCode>0</c:formatCode>
                <c:ptCount val="9"/>
                <c:pt idx="0">
                  <c:v>801.73322985156847</c:v>
                </c:pt>
                <c:pt idx="1">
                  <c:v>6132.8650402755557</c:v>
                </c:pt>
                <c:pt idx="2">
                  <c:v>9757.591367746114</c:v>
                </c:pt>
                <c:pt idx="3">
                  <c:v>11803.887510787054</c:v>
                </c:pt>
                <c:pt idx="4">
                  <c:v>12287.190721311506</c:v>
                </c:pt>
                <c:pt idx="5">
                  <c:v>11242.068865572477</c:v>
                </c:pt>
                <c:pt idx="6">
                  <c:v>8754.5231173409011</c:v>
                </c:pt>
                <c:pt idx="7">
                  <c:v>4954.8785140830696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D60-47EF-B9BB-B8D413CD7070}"/>
            </c:ext>
          </c:extLst>
        </c:ser>
        <c:ser>
          <c:idx val="31"/>
          <c:order val="31"/>
          <c:tx>
            <c:strRef>
              <c:f>IRS!$B$55</c:f>
              <c:strCache>
                <c:ptCount val="1"/>
                <c:pt idx="0">
                  <c:v>Simulation 32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IRS!$E$55:$M$55</c:f>
              <c:numCache>
                <c:formatCode>0</c:formatCode>
                <c:ptCount val="9"/>
                <c:pt idx="0">
                  <c:v>3037.5898629468802</c:v>
                </c:pt>
                <c:pt idx="1">
                  <c:v>8105.5124585443746</c:v>
                </c:pt>
                <c:pt idx="2">
                  <c:v>11460.966072437226</c:v>
                </c:pt>
                <c:pt idx="3">
                  <c:v>13230.002315423168</c:v>
                </c:pt>
                <c:pt idx="4">
                  <c:v>13429.515963524864</c:v>
                </c:pt>
                <c:pt idx="5">
                  <c:v>12096.845717966578</c:v>
                </c:pt>
                <c:pt idx="6">
                  <c:v>9321.086436867492</c:v>
                </c:pt>
                <c:pt idx="7">
                  <c:v>5235.5675928709834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D60-47EF-B9BB-B8D413CD7070}"/>
            </c:ext>
          </c:extLst>
        </c:ser>
        <c:ser>
          <c:idx val="32"/>
          <c:order val="32"/>
          <c:tx>
            <c:strRef>
              <c:f>IRS!$B$56</c:f>
              <c:strCache>
                <c:ptCount val="1"/>
                <c:pt idx="0">
                  <c:v>Simulation 33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IRS!$E$56:$M$56</c:f>
              <c:numCache>
                <c:formatCode>0</c:formatCode>
                <c:ptCount val="9"/>
                <c:pt idx="0">
                  <c:v>1876.6715737764298</c:v>
                </c:pt>
                <c:pt idx="1">
                  <c:v>7142.0640845037178</c:v>
                </c:pt>
                <c:pt idx="2">
                  <c:v>10687.006223570792</c:v>
                </c:pt>
                <c:pt idx="3">
                  <c:v>12631.552434513533</c:v>
                </c:pt>
                <c:pt idx="4">
                  <c:v>12989.607273556441</c:v>
                </c:pt>
                <c:pt idx="5">
                  <c:v>11796.788147923724</c:v>
                </c:pt>
                <c:pt idx="6">
                  <c:v>9141.1661032503744</c:v>
                </c:pt>
                <c:pt idx="7">
                  <c:v>5155.614172317155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D60-47EF-B9BB-B8D413CD7070}"/>
            </c:ext>
          </c:extLst>
        </c:ser>
        <c:ser>
          <c:idx val="33"/>
          <c:order val="33"/>
          <c:tx>
            <c:strRef>
              <c:f>IRS!$B$57</c:f>
              <c:strCache>
                <c:ptCount val="1"/>
                <c:pt idx="0">
                  <c:v>Simulation 34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IRS!$E$57:$M$57</c:f>
              <c:numCache>
                <c:formatCode>0</c:formatCode>
                <c:ptCount val="9"/>
                <c:pt idx="0">
                  <c:v>0</c:v>
                </c:pt>
                <c:pt idx="1">
                  <c:v>3559.9741127872353</c:v>
                </c:pt>
                <c:pt idx="2">
                  <c:v>7738.1491557346253</c:v>
                </c:pt>
                <c:pt idx="3">
                  <c:v>10276.866361103666</c:v>
                </c:pt>
                <c:pt idx="4">
                  <c:v>11188.551592378102</c:v>
                </c:pt>
                <c:pt idx="5">
                  <c:v>10508.086207162689</c:v>
                </c:pt>
                <c:pt idx="6">
                  <c:v>8323.2408548588319</c:v>
                </c:pt>
                <c:pt idx="7">
                  <c:v>4767.032927434273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D60-47EF-B9BB-B8D413CD7070}"/>
            </c:ext>
          </c:extLst>
        </c:ser>
        <c:ser>
          <c:idx val="34"/>
          <c:order val="34"/>
          <c:tx>
            <c:strRef>
              <c:f>IRS!$B$58</c:f>
              <c:strCache>
                <c:ptCount val="1"/>
                <c:pt idx="0">
                  <c:v>Simulation 35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IRS!$E$58:$M$58</c:f>
              <c:numCache>
                <c:formatCode>0</c:formatCode>
                <c:ptCount val="9"/>
                <c:pt idx="0">
                  <c:v>0</c:v>
                </c:pt>
                <c:pt idx="1">
                  <c:v>2186.1410949412548</c:v>
                </c:pt>
                <c:pt idx="2">
                  <c:v>6543.217154276268</c:v>
                </c:pt>
                <c:pt idx="3">
                  <c:v>9277.7846110792416</c:v>
                </c:pt>
                <c:pt idx="4">
                  <c:v>10394.651157039665</c:v>
                </c:pt>
                <c:pt idx="5">
                  <c:v>9922.1726618114444</c:v>
                </c:pt>
                <c:pt idx="6">
                  <c:v>7942.2542690217761</c:v>
                </c:pt>
                <c:pt idx="7">
                  <c:v>4582.760958130857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D60-47EF-B9BB-B8D413CD7070}"/>
            </c:ext>
          </c:extLst>
        </c:ser>
        <c:ser>
          <c:idx val="35"/>
          <c:order val="35"/>
          <c:tx>
            <c:strRef>
              <c:f>IRS!$B$59</c:f>
              <c:strCache>
                <c:ptCount val="1"/>
                <c:pt idx="0">
                  <c:v>Simulation 36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IRS!$E$59:$M$59</c:f>
              <c:numCache>
                <c:formatCode>0</c:formatCode>
                <c:ptCount val="9"/>
                <c:pt idx="0">
                  <c:v>0</c:v>
                </c:pt>
                <c:pt idx="1">
                  <c:v>2636.9100525041813</c:v>
                </c:pt>
                <c:pt idx="2">
                  <c:v>6844.5599526647202</c:v>
                </c:pt>
                <c:pt idx="3">
                  <c:v>9470.2265857574639</c:v>
                </c:pt>
                <c:pt idx="4">
                  <c:v>10510.490702212102</c:v>
                </c:pt>
                <c:pt idx="5">
                  <c:v>9986.660028693881</c:v>
                </c:pt>
                <c:pt idx="6">
                  <c:v>7974.1536275973122</c:v>
                </c:pt>
                <c:pt idx="7">
                  <c:v>4594.8918224437211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D60-47EF-B9BB-B8D413CD7070}"/>
            </c:ext>
          </c:extLst>
        </c:ser>
        <c:ser>
          <c:idx val="36"/>
          <c:order val="36"/>
          <c:tx>
            <c:strRef>
              <c:f>IRS!$B$60</c:f>
              <c:strCache>
                <c:ptCount val="1"/>
                <c:pt idx="0">
                  <c:v>Simulation 37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IRS!$E$60:$M$60</c:f>
              <c:numCache>
                <c:formatCode>0</c:formatCode>
                <c:ptCount val="9"/>
                <c:pt idx="0">
                  <c:v>0</c:v>
                </c:pt>
                <c:pt idx="1">
                  <c:v>472.75138680653254</c:v>
                </c:pt>
                <c:pt idx="2">
                  <c:v>5043.7487116749189</c:v>
                </c:pt>
                <c:pt idx="3">
                  <c:v>8021.8209905079511</c:v>
                </c:pt>
                <c:pt idx="4">
                  <c:v>9398.3072914359036</c:v>
                </c:pt>
                <c:pt idx="5">
                  <c:v>9190.3905630286499</c:v>
                </c:pt>
                <c:pt idx="6">
                  <c:v>7470.123199557338</c:v>
                </c:pt>
                <c:pt idx="7">
                  <c:v>4356.8422814773885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D60-47EF-B9BB-B8D413CD7070}"/>
            </c:ext>
          </c:extLst>
        </c:ser>
        <c:ser>
          <c:idx val="37"/>
          <c:order val="37"/>
          <c:tx>
            <c:strRef>
              <c:f>IRS!$B$61</c:f>
              <c:strCache>
                <c:ptCount val="1"/>
                <c:pt idx="0">
                  <c:v>Simulation 38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IRS!$E$61:$M$61</c:f>
              <c:numCache>
                <c:formatCode>0</c:formatCode>
                <c:ptCount val="9"/>
                <c:pt idx="0">
                  <c:v>0</c:v>
                </c:pt>
                <c:pt idx="1">
                  <c:v>61.83354220846013</c:v>
                </c:pt>
                <c:pt idx="2">
                  <c:v>4740.7323194289202</c:v>
                </c:pt>
                <c:pt idx="3">
                  <c:v>7811.6385664149966</c:v>
                </c:pt>
                <c:pt idx="4">
                  <c:v>9264.1870065886214</c:v>
                </c:pt>
                <c:pt idx="5">
                  <c:v>9115.0424695674101</c:v>
                </c:pt>
                <c:pt idx="6">
                  <c:v>7436.323018510474</c:v>
                </c:pt>
                <c:pt idx="7">
                  <c:v>4347.8503404630228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D60-47EF-B9BB-B8D413CD7070}"/>
            </c:ext>
          </c:extLst>
        </c:ser>
        <c:ser>
          <c:idx val="38"/>
          <c:order val="38"/>
          <c:tx>
            <c:strRef>
              <c:f>IRS!$B$62</c:f>
              <c:strCache>
                <c:ptCount val="1"/>
                <c:pt idx="0">
                  <c:v>Simulation 39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IRS!$E$62:$M$62</c:f>
              <c:numCache>
                <c:formatCode>0</c:formatCode>
                <c:ptCount val="9"/>
                <c:pt idx="0">
                  <c:v>0</c:v>
                </c:pt>
                <c:pt idx="1">
                  <c:v>2568.3257930129625</c:v>
                </c:pt>
                <c:pt idx="2">
                  <c:v>6836.5391648443747</c:v>
                </c:pt>
                <c:pt idx="3">
                  <c:v>9507.1578910117423</c:v>
                </c:pt>
                <c:pt idx="4">
                  <c:v>10574.250482767437</c:v>
                </c:pt>
                <c:pt idx="5">
                  <c:v>10059.275065204292</c:v>
                </c:pt>
                <c:pt idx="6">
                  <c:v>8038.4458843076318</c:v>
                </c:pt>
                <c:pt idx="7">
                  <c:v>4634.5890401274828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D60-47EF-B9BB-B8D413CD7070}"/>
            </c:ext>
          </c:extLst>
        </c:ser>
        <c:ser>
          <c:idx val="39"/>
          <c:order val="39"/>
          <c:tx>
            <c:strRef>
              <c:f>IRS!$B$63</c:f>
              <c:strCache>
                <c:ptCount val="1"/>
                <c:pt idx="0">
                  <c:v>Simulation 40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IRS!$E$63:$M$63</c:f>
              <c:numCache>
                <c:formatCode>0</c:formatCode>
                <c:ptCount val="9"/>
                <c:pt idx="0">
                  <c:v>0</c:v>
                </c:pt>
                <c:pt idx="1">
                  <c:v>3924.877504336936</c:v>
                </c:pt>
                <c:pt idx="2">
                  <c:v>8020.1498349429148</c:v>
                </c:pt>
                <c:pt idx="3">
                  <c:v>10510.716498429687</c:v>
                </c:pt>
                <c:pt idx="4">
                  <c:v>11389.676437760287</c:v>
                </c:pt>
                <c:pt idx="5">
                  <c:v>10678.960874063303</c:v>
                </c:pt>
                <c:pt idx="6">
                  <c:v>8455.9185799729166</c:v>
                </c:pt>
                <c:pt idx="7">
                  <c:v>4844.8855333400079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D60-47EF-B9BB-B8D413CD7070}"/>
            </c:ext>
          </c:extLst>
        </c:ser>
        <c:ser>
          <c:idx val="40"/>
          <c:order val="40"/>
          <c:tx>
            <c:strRef>
              <c:f>IRS!$B$64</c:f>
              <c:strCache>
                <c:ptCount val="1"/>
                <c:pt idx="0">
                  <c:v>Simulation 41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IRS!$E$64:$M$64</c:f>
              <c:numCache>
                <c:formatCode>0</c:formatCode>
                <c:ptCount val="9"/>
                <c:pt idx="0">
                  <c:v>0</c:v>
                </c:pt>
                <c:pt idx="1">
                  <c:v>5115.5455759040615</c:v>
                </c:pt>
                <c:pt idx="2">
                  <c:v>8977.8630897980474</c:v>
                </c:pt>
                <c:pt idx="3">
                  <c:v>11258.738145114521</c:v>
                </c:pt>
                <c:pt idx="4">
                  <c:v>11949.592761742502</c:v>
                </c:pt>
                <c:pt idx="5">
                  <c:v>11071.322754278928</c:v>
                </c:pt>
                <c:pt idx="6">
                  <c:v>8700.1137798717955</c:v>
                </c:pt>
                <c:pt idx="7">
                  <c:v>4958.8398188326591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D60-47EF-B9BB-B8D413CD7070}"/>
            </c:ext>
          </c:extLst>
        </c:ser>
        <c:ser>
          <c:idx val="41"/>
          <c:order val="41"/>
          <c:tx>
            <c:strRef>
              <c:f>IRS!$B$65</c:f>
              <c:strCache>
                <c:ptCount val="1"/>
                <c:pt idx="0">
                  <c:v>Simulation 42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IRS!$E$65:$M$65</c:f>
              <c:numCache>
                <c:formatCode>0</c:formatCode>
                <c:ptCount val="9"/>
                <c:pt idx="0">
                  <c:v>0</c:v>
                </c:pt>
                <c:pt idx="1">
                  <c:v>4656.5474491460946</c:v>
                </c:pt>
                <c:pt idx="2">
                  <c:v>8627.7753521423656</c:v>
                </c:pt>
                <c:pt idx="3">
                  <c:v>11002.174053293114</c:v>
                </c:pt>
                <c:pt idx="4">
                  <c:v>11771.194574651083</c:v>
                </c:pt>
                <c:pt idx="5">
                  <c:v>10956.575168003419</c:v>
                </c:pt>
                <c:pt idx="6">
                  <c:v>8635.559561447868</c:v>
                </c:pt>
                <c:pt idx="7">
                  <c:v>4932.1354611462457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D60-47EF-B9BB-B8D413CD7070}"/>
            </c:ext>
          </c:extLst>
        </c:ser>
        <c:ser>
          <c:idx val="42"/>
          <c:order val="42"/>
          <c:tx>
            <c:strRef>
              <c:f>IRS!$B$66</c:f>
              <c:strCache>
                <c:ptCount val="1"/>
                <c:pt idx="0">
                  <c:v>Simulation 43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IRS!$E$66:$M$66</c:f>
              <c:numCache>
                <c:formatCode>0</c:formatCode>
                <c:ptCount val="9"/>
                <c:pt idx="0">
                  <c:v>0</c:v>
                </c:pt>
                <c:pt idx="1">
                  <c:v>3736.4128532440745</c:v>
                </c:pt>
                <c:pt idx="2">
                  <c:v>7859.8197319239553</c:v>
                </c:pt>
                <c:pt idx="3">
                  <c:v>10375.646682025377</c:v>
                </c:pt>
                <c:pt idx="4">
                  <c:v>11277.898275440188</c:v>
                </c:pt>
                <c:pt idx="5">
                  <c:v>10590.894768412476</c:v>
                </c:pt>
                <c:pt idx="6">
                  <c:v>8393.8796685315338</c:v>
                </c:pt>
                <c:pt idx="7">
                  <c:v>4812.1269674819205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D60-47EF-B9BB-B8D413CD7070}"/>
            </c:ext>
          </c:extLst>
        </c:ser>
        <c:ser>
          <c:idx val="43"/>
          <c:order val="43"/>
          <c:tx>
            <c:strRef>
              <c:f>IRS!$B$67</c:f>
              <c:strCache>
                <c:ptCount val="1"/>
                <c:pt idx="0">
                  <c:v>Simulation 44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IRS!$E$67:$M$67</c:f>
              <c:numCache>
                <c:formatCode>0</c:formatCode>
                <c:ptCount val="9"/>
                <c:pt idx="0">
                  <c:v>0</c:v>
                </c:pt>
                <c:pt idx="1">
                  <c:v>3863.7633504570981</c:v>
                </c:pt>
                <c:pt idx="2">
                  <c:v>7950.1974239011815</c:v>
                </c:pt>
                <c:pt idx="3">
                  <c:v>10433.561290087982</c:v>
                </c:pt>
                <c:pt idx="4">
                  <c:v>11308.993614368064</c:v>
                </c:pt>
                <c:pt idx="5">
                  <c:v>10602.175795617932</c:v>
                </c:pt>
                <c:pt idx="6">
                  <c:v>8393.2576924238801</c:v>
                </c:pt>
                <c:pt idx="7">
                  <c:v>4807.8128160813603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D60-47EF-B9BB-B8D413CD7070}"/>
            </c:ext>
          </c:extLst>
        </c:ser>
        <c:ser>
          <c:idx val="44"/>
          <c:order val="44"/>
          <c:tx>
            <c:strRef>
              <c:f>IRS!$B$68</c:f>
              <c:strCache>
                <c:ptCount val="1"/>
                <c:pt idx="0">
                  <c:v>Simulation 45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IRS!$E$68:$M$68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2148.3266381188869</c:v>
                </c:pt>
                <c:pt idx="3">
                  <c:v>5750.344711567247</c:v>
                </c:pt>
                <c:pt idx="4">
                  <c:v>7691.8263969709724</c:v>
                </c:pt>
                <c:pt idx="5">
                  <c:v>7991.5229866199188</c:v>
                </c:pt>
                <c:pt idx="6">
                  <c:v>6723.6966798544254</c:v>
                </c:pt>
                <c:pt idx="7">
                  <c:v>4009.4304867497281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D60-47EF-B9BB-B8D413CD7070}"/>
            </c:ext>
          </c:extLst>
        </c:ser>
        <c:ser>
          <c:idx val="45"/>
          <c:order val="45"/>
          <c:tx>
            <c:strRef>
              <c:f>IRS!$B$69</c:f>
              <c:strCache>
                <c:ptCount val="1"/>
                <c:pt idx="0">
                  <c:v>Simulation 46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IRS!$E$69:$M$69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4499.6465029062056</c:v>
                </c:pt>
                <c:pt idx="3">
                  <c:v>7578.7490939905556</c:v>
                </c:pt>
                <c:pt idx="4">
                  <c:v>9049.1681207016081</c:v>
                </c:pt>
                <c:pt idx="5">
                  <c:v>8930.9868241706063</c:v>
                </c:pt>
                <c:pt idx="6">
                  <c:v>7298.6488733110837</c:v>
                </c:pt>
                <c:pt idx="7">
                  <c:v>4272.032745224632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D60-47EF-B9BB-B8D413CD7070}"/>
            </c:ext>
          </c:extLst>
        </c:ser>
        <c:ser>
          <c:idx val="46"/>
          <c:order val="46"/>
          <c:tx>
            <c:strRef>
              <c:f>IRS!$B$70</c:f>
              <c:strCache>
                <c:ptCount val="1"/>
                <c:pt idx="0">
                  <c:v>Simulation 47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IRS!$E$70:$M$70</c:f>
              <c:numCache>
                <c:formatCode>0</c:formatCode>
                <c:ptCount val="9"/>
                <c:pt idx="0">
                  <c:v>0</c:v>
                </c:pt>
                <c:pt idx="1">
                  <c:v>1209.5149177994535</c:v>
                </c:pt>
                <c:pt idx="2">
                  <c:v>5672.1776825870611</c:v>
                </c:pt>
                <c:pt idx="3">
                  <c:v>8540.9870711585208</c:v>
                </c:pt>
                <c:pt idx="4">
                  <c:v>9805.3886533591794</c:v>
                </c:pt>
                <c:pt idx="5">
                  <c:v>9486.7644814673404</c:v>
                </c:pt>
                <c:pt idx="6">
                  <c:v>7660.8745467495373</c:v>
                </c:pt>
                <c:pt idx="7">
                  <c:v>4448.6972063238418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D60-47EF-B9BB-B8D413CD7070}"/>
            </c:ext>
          </c:extLst>
        </c:ser>
        <c:ser>
          <c:idx val="47"/>
          <c:order val="47"/>
          <c:tx>
            <c:strRef>
              <c:f>IRS!$B$71</c:f>
              <c:strCache>
                <c:ptCount val="1"/>
                <c:pt idx="0">
                  <c:v>Simulation 48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IRS!$E$71:$M$71</c:f>
              <c:numCache>
                <c:formatCode>0</c:formatCode>
                <c:ptCount val="9"/>
                <c:pt idx="0">
                  <c:v>0</c:v>
                </c:pt>
                <c:pt idx="1">
                  <c:v>1740.7738267747604</c:v>
                </c:pt>
                <c:pt idx="2">
                  <c:v>6134.3460138881019</c:v>
                </c:pt>
                <c:pt idx="3">
                  <c:v>8925.7223453243987</c:v>
                </c:pt>
                <c:pt idx="4">
                  <c:v>10108.141501321563</c:v>
                </c:pt>
                <c:pt idx="5">
                  <c:v>9706.9769768936494</c:v>
                </c:pt>
                <c:pt idx="6">
                  <c:v>7801.4453158221568</c:v>
                </c:pt>
                <c:pt idx="7">
                  <c:v>4515.2144974044922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D60-47EF-B9BB-B8D413CD7070}"/>
            </c:ext>
          </c:extLst>
        </c:ser>
        <c:ser>
          <c:idx val="48"/>
          <c:order val="48"/>
          <c:tx>
            <c:strRef>
              <c:f>IRS!$B$72</c:f>
              <c:strCache>
                <c:ptCount val="1"/>
                <c:pt idx="0">
                  <c:v>Simulation 49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IRS!$E$72:$M$72</c:f>
              <c:numCache>
                <c:formatCode>0</c:formatCode>
                <c:ptCount val="9"/>
                <c:pt idx="0">
                  <c:v>0</c:v>
                </c:pt>
                <c:pt idx="1">
                  <c:v>363.53176159738587</c:v>
                </c:pt>
                <c:pt idx="2">
                  <c:v>5033.6947362102674</c:v>
                </c:pt>
                <c:pt idx="3">
                  <c:v>8074.7052661183088</c:v>
                </c:pt>
                <c:pt idx="4">
                  <c:v>9479.3537069312442</c:v>
                </c:pt>
                <c:pt idx="5">
                  <c:v>9273.419595933301</c:v>
                </c:pt>
                <c:pt idx="6">
                  <c:v>7536.9431340145184</c:v>
                </c:pt>
                <c:pt idx="7">
                  <c:v>4394.7375514418409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D60-47EF-B9BB-B8D413CD7070}"/>
            </c:ext>
          </c:extLst>
        </c:ser>
        <c:ser>
          <c:idx val="49"/>
          <c:order val="49"/>
          <c:tx>
            <c:strRef>
              <c:f>IRS!$B$73</c:f>
              <c:strCache>
                <c:ptCount val="1"/>
                <c:pt idx="0">
                  <c:v>Simulation 50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IRS!$E$73:$M$73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1574.6862898413879</c:v>
                </c:pt>
                <c:pt idx="3">
                  <c:v>5304.6324031894274</c:v>
                </c:pt>
                <c:pt idx="4">
                  <c:v>7360.2122706526989</c:v>
                </c:pt>
                <c:pt idx="5">
                  <c:v>7760.9502783497283</c:v>
                </c:pt>
                <c:pt idx="6">
                  <c:v>6581.9330887173128</c:v>
                </c:pt>
                <c:pt idx="7">
                  <c:v>3944.5050986622368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D60-47EF-B9BB-B8D413CD7070}"/>
            </c:ext>
          </c:extLst>
        </c:ser>
        <c:ser>
          <c:idx val="50"/>
          <c:order val="50"/>
          <c:tx>
            <c:strRef>
              <c:f>IRS!$B$74</c:f>
              <c:strCache>
                <c:ptCount val="1"/>
                <c:pt idx="0">
                  <c:v>Simulation 51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IRS!$E$74:$M$74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2856.7749530590672</c:v>
                </c:pt>
                <c:pt idx="4">
                  <c:v>5428.2223952409477</c:v>
                </c:pt>
                <c:pt idx="5">
                  <c:v>6339.8515761540166</c:v>
                </c:pt>
                <c:pt idx="6">
                  <c:v>5658.0517054001048</c:v>
                </c:pt>
                <c:pt idx="7">
                  <c:v>3496.4605405136635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D60-47EF-B9BB-B8D413CD7070}"/>
            </c:ext>
          </c:extLst>
        </c:ser>
        <c:ser>
          <c:idx val="51"/>
          <c:order val="51"/>
          <c:tx>
            <c:strRef>
              <c:f>IRS!$B$75</c:f>
              <c:strCache>
                <c:ptCount val="1"/>
                <c:pt idx="0">
                  <c:v>Simulation 52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IRS!$E$75:$M$75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3679.839756028312</c:v>
                </c:pt>
                <c:pt idx="4">
                  <c:v>6127.5575065151716</c:v>
                </c:pt>
                <c:pt idx="5">
                  <c:v>6901.8176046672088</c:v>
                </c:pt>
                <c:pt idx="6">
                  <c:v>6061.5368885555617</c:v>
                </c:pt>
                <c:pt idx="7">
                  <c:v>3714.1684119573652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D60-47EF-B9BB-B8D413CD7070}"/>
            </c:ext>
          </c:extLst>
        </c:ser>
        <c:ser>
          <c:idx val="52"/>
          <c:order val="52"/>
          <c:tx>
            <c:strRef>
              <c:f>IRS!$B$76</c:f>
              <c:strCache>
                <c:ptCount val="1"/>
                <c:pt idx="0">
                  <c:v>Simulation 53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IRS!$E$76:$M$76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988.7318339663484</c:v>
                </c:pt>
                <c:pt idx="3">
                  <c:v>4799.8070021224521</c:v>
                </c:pt>
                <c:pt idx="4">
                  <c:v>6969.397393274071</c:v>
                </c:pt>
                <c:pt idx="5">
                  <c:v>7495.824760629127</c:v>
                </c:pt>
                <c:pt idx="6">
                  <c:v>6434.7743055639385</c:v>
                </c:pt>
                <c:pt idx="7">
                  <c:v>3890.4455726406072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D60-47EF-B9BB-B8D413CD7070}"/>
            </c:ext>
          </c:extLst>
        </c:ser>
        <c:ser>
          <c:idx val="53"/>
          <c:order val="53"/>
          <c:tx>
            <c:strRef>
              <c:f>IRS!$B$77</c:f>
              <c:strCache>
                <c:ptCount val="1"/>
                <c:pt idx="0">
                  <c:v>Simulation 54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IRS!$E$77:$M$77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1914.8267957927633</c:v>
                </c:pt>
                <c:pt idx="3">
                  <c:v>5564.8169476772082</c:v>
                </c:pt>
                <c:pt idx="4">
                  <c:v>7573.2304746997252</c:v>
                </c:pt>
                <c:pt idx="5">
                  <c:v>7940.6363265894679</c:v>
                </c:pt>
                <c:pt idx="6">
                  <c:v>6724.8263077652773</c:v>
                </c:pt>
                <c:pt idx="7">
                  <c:v>4031.7552584331706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D60-47EF-B9BB-B8D413CD7070}"/>
            </c:ext>
          </c:extLst>
        </c:ser>
        <c:ser>
          <c:idx val="54"/>
          <c:order val="54"/>
          <c:tx>
            <c:strRef>
              <c:f>IRS!$B$78</c:f>
              <c:strCache>
                <c:ptCount val="1"/>
                <c:pt idx="0">
                  <c:v>Simulation 55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IRS!$E$78:$M$78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1737.0593071485896</c:v>
                </c:pt>
                <c:pt idx="3">
                  <c:v>5509.4229083540995</c:v>
                </c:pt>
                <c:pt idx="4">
                  <c:v>7593.9406311408566</c:v>
                </c:pt>
                <c:pt idx="5">
                  <c:v>7998.1396285353221</c:v>
                </c:pt>
                <c:pt idx="6">
                  <c:v>6786.7699407841319</c:v>
                </c:pt>
                <c:pt idx="7">
                  <c:v>4072.4522139261117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D60-47EF-B9BB-B8D413CD7070}"/>
            </c:ext>
          </c:extLst>
        </c:ser>
        <c:ser>
          <c:idx val="55"/>
          <c:order val="55"/>
          <c:tx>
            <c:strRef>
              <c:f>IRS!$B$79</c:f>
              <c:strCache>
                <c:ptCount val="1"/>
                <c:pt idx="0">
                  <c:v>Simulation 56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IRS!$E$79:$M$79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3489.1683148293646</c:v>
                </c:pt>
                <c:pt idx="4">
                  <c:v>6054.6107259639548</c:v>
                </c:pt>
                <c:pt idx="5">
                  <c:v>6903.3395397256691</c:v>
                </c:pt>
                <c:pt idx="6">
                  <c:v>6097.6119437700381</c:v>
                </c:pt>
                <c:pt idx="7">
                  <c:v>3748.4360226596737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D60-47EF-B9BB-B8D413CD7070}"/>
            </c:ext>
          </c:extLst>
        </c:ser>
        <c:ser>
          <c:idx val="56"/>
          <c:order val="56"/>
          <c:tx>
            <c:strRef>
              <c:f>IRS!$B$80</c:f>
              <c:strCache>
                <c:ptCount val="1"/>
                <c:pt idx="0">
                  <c:v>Simulation 57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IRS!$E$80:$M$80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2730.9625420287252</c:v>
                </c:pt>
                <c:pt idx="4">
                  <c:v>5457.1776693505672</c:v>
                </c:pt>
                <c:pt idx="5">
                  <c:v>6466.0824844927565</c:v>
                </c:pt>
                <c:pt idx="6">
                  <c:v>5815.6929935660992</c:v>
                </c:pt>
                <c:pt idx="7">
                  <c:v>3613.2850427845133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D60-47EF-B9BB-B8D413CD7070}"/>
            </c:ext>
          </c:extLst>
        </c:ser>
        <c:ser>
          <c:idx val="57"/>
          <c:order val="57"/>
          <c:tx>
            <c:strRef>
              <c:f>IRS!$B$81</c:f>
              <c:strCache>
                <c:ptCount val="1"/>
                <c:pt idx="0">
                  <c:v>Simulation 58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IRS!$E$81:$M$81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2925.0881608994478</c:v>
                </c:pt>
                <c:pt idx="4">
                  <c:v>5565.9543091587002</c:v>
                </c:pt>
                <c:pt idx="5">
                  <c:v>6515.5603031045812</c:v>
                </c:pt>
                <c:pt idx="6">
                  <c:v>5829.3231370210506</c:v>
                </c:pt>
                <c:pt idx="7">
                  <c:v>3611.5041502300483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D60-47EF-B9BB-B8D413CD7070}"/>
            </c:ext>
          </c:extLst>
        </c:ser>
        <c:ser>
          <c:idx val="58"/>
          <c:order val="58"/>
          <c:tx>
            <c:strRef>
              <c:f>IRS!$B$82</c:f>
              <c:strCache>
                <c:ptCount val="1"/>
                <c:pt idx="0">
                  <c:v>Simulation 59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IRS!$E$82:$M$82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331.00823523986492</c:v>
                </c:pt>
                <c:pt idx="3">
                  <c:v>4328.8754373091924</c:v>
                </c:pt>
                <c:pt idx="4">
                  <c:v>6655.1253286456276</c:v>
                </c:pt>
                <c:pt idx="5">
                  <c:v>7307.0900786624097</c:v>
                </c:pt>
                <c:pt idx="6">
                  <c:v>6340.2031071374631</c:v>
                </c:pt>
                <c:pt idx="7">
                  <c:v>3858.6088022984054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4D60-47EF-B9BB-B8D413CD7070}"/>
            </c:ext>
          </c:extLst>
        </c:ser>
        <c:ser>
          <c:idx val="59"/>
          <c:order val="59"/>
          <c:tx>
            <c:strRef>
              <c:f>IRS!$B$83</c:f>
              <c:strCache>
                <c:ptCount val="1"/>
                <c:pt idx="0">
                  <c:v>Simulation 60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IRS!$E$83:$M$83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851.91001103238386</c:v>
                </c:pt>
                <c:pt idx="3">
                  <c:v>4748.0842142932579</c:v>
                </c:pt>
                <c:pt idx="4">
                  <c:v>6978.0647064272389</c:v>
                </c:pt>
                <c:pt idx="5">
                  <c:v>7539.7008797858989</c:v>
                </c:pt>
                <c:pt idx="6">
                  <c:v>6488.8162472829063</c:v>
                </c:pt>
                <c:pt idx="7">
                  <c:v>3929.6981317682753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4D60-47EF-B9BB-B8D413CD7070}"/>
            </c:ext>
          </c:extLst>
        </c:ser>
        <c:ser>
          <c:idx val="60"/>
          <c:order val="60"/>
          <c:tx>
            <c:strRef>
              <c:f>IRS!$B$84</c:f>
              <c:strCache>
                <c:ptCount val="1"/>
                <c:pt idx="0">
                  <c:v>Simulation 61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IRS!$E$84:$M$84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481.63443107533067</c:v>
                </c:pt>
                <c:pt idx="3">
                  <c:v>4391.9674421427599</c:v>
                </c:pt>
                <c:pt idx="4">
                  <c:v>6662.757207088398</c:v>
                </c:pt>
                <c:pt idx="5">
                  <c:v>7285.9875542499231</c:v>
                </c:pt>
                <c:pt idx="6">
                  <c:v>6311.7593073682219</c:v>
                </c:pt>
                <c:pt idx="7">
                  <c:v>3838.8793234798613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4D60-47EF-B9BB-B8D413CD7070}"/>
            </c:ext>
          </c:extLst>
        </c:ser>
        <c:ser>
          <c:idx val="61"/>
          <c:order val="61"/>
          <c:tx>
            <c:strRef>
              <c:f>IRS!$B$85</c:f>
              <c:strCache>
                <c:ptCount val="1"/>
                <c:pt idx="0">
                  <c:v>Simulation 62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IRS!$E$85:$M$85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1531.2561018130241</c:v>
                </c:pt>
                <c:pt idx="3">
                  <c:v>5274.5346453271704</c:v>
                </c:pt>
                <c:pt idx="4">
                  <c:v>7373.4102684936934</c:v>
                </c:pt>
                <c:pt idx="5">
                  <c:v>7820.9904622466102</c:v>
                </c:pt>
                <c:pt idx="6">
                  <c:v>6668.7664343816832</c:v>
                </c:pt>
                <c:pt idx="7">
                  <c:v>4017.0290424963887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4D60-47EF-B9BB-B8D413CD7070}"/>
            </c:ext>
          </c:extLst>
        </c:ser>
        <c:ser>
          <c:idx val="62"/>
          <c:order val="62"/>
          <c:tx>
            <c:strRef>
              <c:f>IRS!$B$86</c:f>
              <c:strCache>
                <c:ptCount val="1"/>
                <c:pt idx="0">
                  <c:v>Simulation 63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IRS!$E$86:$M$86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3153.2758694916647</c:v>
                </c:pt>
                <c:pt idx="4">
                  <c:v>5713.2240751298032</c:v>
                </c:pt>
                <c:pt idx="5">
                  <c:v>6609.4468268630844</c:v>
                </c:pt>
                <c:pt idx="6">
                  <c:v>5887.0243915781302</c:v>
                </c:pt>
                <c:pt idx="7">
                  <c:v>3640.6479285170963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4D60-47EF-B9BB-B8D413CD7070}"/>
            </c:ext>
          </c:extLst>
        </c:ser>
        <c:ser>
          <c:idx val="63"/>
          <c:order val="63"/>
          <c:tx>
            <c:strRef>
              <c:f>IRS!$B$87</c:f>
              <c:strCache>
                <c:ptCount val="1"/>
                <c:pt idx="0">
                  <c:v>Simulation 64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IRS!$E$87:$M$87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3004.8705745301172</c:v>
                </c:pt>
                <c:pt idx="4">
                  <c:v>5632.8232419793458</c:v>
                </c:pt>
                <c:pt idx="5">
                  <c:v>6575.9909531654666</c:v>
                </c:pt>
                <c:pt idx="6">
                  <c:v>5881.2668517897455</c:v>
                </c:pt>
                <c:pt idx="7">
                  <c:v>3645.3260204684266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4D60-47EF-B9BB-B8D413CD7070}"/>
            </c:ext>
          </c:extLst>
        </c:ser>
        <c:ser>
          <c:idx val="64"/>
          <c:order val="64"/>
          <c:tx>
            <c:strRef>
              <c:f>IRS!$B$88</c:f>
              <c:strCache>
                <c:ptCount val="1"/>
                <c:pt idx="0">
                  <c:v>Simulation 65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IRS!$E$88:$M$88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2774.1074022118792</c:v>
                </c:pt>
                <c:pt idx="4">
                  <c:v>5485.7630209877952</c:v>
                </c:pt>
                <c:pt idx="5">
                  <c:v>6491.1040164394299</c:v>
                </c:pt>
                <c:pt idx="6">
                  <c:v>5839.8113281866154</c:v>
                </c:pt>
                <c:pt idx="7">
                  <c:v>3631.2848136030871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4D60-47EF-B9BB-B8D413CD7070}"/>
            </c:ext>
          </c:extLst>
        </c:ser>
        <c:ser>
          <c:idx val="65"/>
          <c:order val="65"/>
          <c:tx>
            <c:strRef>
              <c:f>IRS!$B$89</c:f>
              <c:strCache>
                <c:ptCount val="1"/>
                <c:pt idx="0">
                  <c:v>Simulation 66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IRS!$E$89:$M$89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3451.134539910438</c:v>
                </c:pt>
                <c:pt idx="4">
                  <c:v>6052.9572499761689</c:v>
                </c:pt>
                <c:pt idx="5">
                  <c:v>6931.0221320676465</c:v>
                </c:pt>
                <c:pt idx="6">
                  <c:v>6139.7991401736163</c:v>
                </c:pt>
                <c:pt idx="7">
                  <c:v>3783.2306543443342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4D60-47EF-B9BB-B8D413CD7070}"/>
            </c:ext>
          </c:extLst>
        </c:ser>
        <c:ser>
          <c:idx val="66"/>
          <c:order val="66"/>
          <c:tx>
            <c:strRef>
              <c:f>IRS!$B$90</c:f>
              <c:strCache>
                <c:ptCount val="1"/>
                <c:pt idx="0">
                  <c:v>Simulation 67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IRS!$E$90:$M$90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1055.9776074390511</c:v>
                </c:pt>
                <c:pt idx="4">
                  <c:v>4179.4035451184473</c:v>
                </c:pt>
                <c:pt idx="5">
                  <c:v>5561.0327278984769</c:v>
                </c:pt>
                <c:pt idx="6">
                  <c:v>5251.9612720265868</c:v>
                </c:pt>
                <c:pt idx="7">
                  <c:v>3352.9705844649261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4D60-47EF-B9BB-B8D413CD7070}"/>
            </c:ext>
          </c:extLst>
        </c:ser>
        <c:ser>
          <c:idx val="67"/>
          <c:order val="67"/>
          <c:tx>
            <c:strRef>
              <c:f>IRS!$B$91</c:f>
              <c:strCache>
                <c:ptCount val="1"/>
                <c:pt idx="0">
                  <c:v>Simulation 68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IRS!$E$91:$M$91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3246.5461963919452</c:v>
                </c:pt>
                <c:pt idx="5">
                  <c:v>4905.5655340070734</c:v>
                </c:pt>
                <c:pt idx="6">
                  <c:v>4844.1862634133231</c:v>
                </c:pt>
                <c:pt idx="7">
                  <c:v>3163.4346340081556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4D60-47EF-B9BB-B8D413CD7070}"/>
            </c:ext>
          </c:extLst>
        </c:ser>
        <c:ser>
          <c:idx val="68"/>
          <c:order val="68"/>
          <c:tx>
            <c:strRef>
              <c:f>IRS!$B$92</c:f>
              <c:strCache>
                <c:ptCount val="1"/>
                <c:pt idx="0">
                  <c:v>Simulation 69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IRS!$E$92:$M$92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3216.8812639185858</c:v>
                </c:pt>
                <c:pt idx="5">
                  <c:v>4881.7286029419502</c:v>
                </c:pt>
                <c:pt idx="6">
                  <c:v>4827.8267073274237</c:v>
                </c:pt>
                <c:pt idx="7">
                  <c:v>3155.3018346005742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4D60-47EF-B9BB-B8D413CD7070}"/>
            </c:ext>
          </c:extLst>
        </c:ser>
        <c:ser>
          <c:idx val="69"/>
          <c:order val="69"/>
          <c:tx>
            <c:strRef>
              <c:f>IRS!$B$93</c:f>
              <c:strCache>
                <c:ptCount val="1"/>
                <c:pt idx="0">
                  <c:v>Simulation 70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IRS!$E$93:$M$93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1932.7199891166802</c:v>
                </c:pt>
                <c:pt idx="4">
                  <c:v>4885.1431234858246</c:v>
                </c:pt>
                <c:pt idx="5">
                  <c:v>6089.1598710832113</c:v>
                </c:pt>
                <c:pt idx="6">
                  <c:v>5600.6987522894669</c:v>
                </c:pt>
                <c:pt idx="7">
                  <c:v>3524.5666292600977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4D60-47EF-B9BB-B8D413CD7070}"/>
            </c:ext>
          </c:extLst>
        </c:ser>
        <c:ser>
          <c:idx val="70"/>
          <c:order val="70"/>
          <c:tx>
            <c:strRef>
              <c:f>IRS!$B$94</c:f>
              <c:strCache>
                <c:ptCount val="1"/>
                <c:pt idx="0">
                  <c:v>Simulation 71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IRS!$E$94:$M$94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3034.0941909588619</c:v>
                </c:pt>
                <c:pt idx="5">
                  <c:v>4788.8112581755086</c:v>
                </c:pt>
                <c:pt idx="6">
                  <c:v>4791.6635972616778</c:v>
                </c:pt>
                <c:pt idx="7">
                  <c:v>3148.3483011806529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4D60-47EF-B9BB-B8D413CD7070}"/>
            </c:ext>
          </c:extLst>
        </c:ser>
        <c:ser>
          <c:idx val="71"/>
          <c:order val="71"/>
          <c:tx>
            <c:strRef>
              <c:f>IRS!$B$95</c:f>
              <c:strCache>
                <c:ptCount val="1"/>
                <c:pt idx="0">
                  <c:v>Simulation 72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IRS!$E$95:$M$95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2465.4613107649407</c:v>
                </c:pt>
                <c:pt idx="5">
                  <c:v>4336.0589086792343</c:v>
                </c:pt>
                <c:pt idx="6">
                  <c:v>4478.3054704526494</c:v>
                </c:pt>
                <c:pt idx="7">
                  <c:v>2988.6867399475086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4D60-47EF-B9BB-B8D413CD7070}"/>
            </c:ext>
          </c:extLst>
        </c:ser>
        <c:ser>
          <c:idx val="72"/>
          <c:order val="72"/>
          <c:tx>
            <c:strRef>
              <c:f>IRS!$B$96</c:f>
              <c:strCache>
                <c:ptCount val="1"/>
                <c:pt idx="0">
                  <c:v>Simulation 73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IRS!$E$96:$M$96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634.3771516165616</c:v>
                </c:pt>
                <c:pt idx="4">
                  <c:v>3916.3931515510658</c:v>
                </c:pt>
                <c:pt idx="5">
                  <c:v>5414.5660805686111</c:v>
                </c:pt>
                <c:pt idx="6">
                  <c:v>5185.1338275025328</c:v>
                </c:pt>
                <c:pt idx="7">
                  <c:v>3333.5084458347214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4D60-47EF-B9BB-B8D413CD7070}"/>
            </c:ext>
          </c:extLst>
        </c:ser>
        <c:ser>
          <c:idx val="73"/>
          <c:order val="73"/>
          <c:tx>
            <c:strRef>
              <c:f>IRS!$B$97</c:f>
              <c:strCache>
                <c:ptCount val="1"/>
                <c:pt idx="0">
                  <c:v>Simulation 74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IRS!$E$97:$M$97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1124.2207394735583</c:v>
                </c:pt>
                <c:pt idx="5">
                  <c:v>3386.8818010031337</c:v>
                </c:pt>
                <c:pt idx="6">
                  <c:v>3882.4523468663051</c:v>
                </c:pt>
                <c:pt idx="7">
                  <c:v>2708.7014621832109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4D60-47EF-B9BB-B8D413CD7070}"/>
            </c:ext>
          </c:extLst>
        </c:ser>
        <c:ser>
          <c:idx val="74"/>
          <c:order val="74"/>
          <c:tx>
            <c:strRef>
              <c:f>IRS!$B$98</c:f>
              <c:strCache>
                <c:ptCount val="1"/>
                <c:pt idx="0">
                  <c:v>Simulation 75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IRS!$E$98:$M$98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1199.2959105789021</c:v>
                </c:pt>
                <c:pt idx="5">
                  <c:v>3451.1975959310184</c:v>
                </c:pt>
                <c:pt idx="6">
                  <c:v>3928.4281812017134</c:v>
                </c:pt>
                <c:pt idx="7">
                  <c:v>2732.2631408898669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4D60-47EF-B9BB-B8D413CD7070}"/>
            </c:ext>
          </c:extLst>
        </c:ser>
        <c:ser>
          <c:idx val="75"/>
          <c:order val="75"/>
          <c:tx>
            <c:strRef>
              <c:f>IRS!$B$99</c:f>
              <c:strCache>
                <c:ptCount val="1"/>
                <c:pt idx="0">
                  <c:v>Simulation 76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IRS!$E$99:$M$99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1679.3116739916745</c:v>
                </c:pt>
                <c:pt idx="5">
                  <c:v>3828.2809990210962</c:v>
                </c:pt>
                <c:pt idx="6">
                  <c:v>4189.2238341640477</c:v>
                </c:pt>
                <c:pt idx="7">
                  <c:v>2866.3644178138325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4D60-47EF-B9BB-B8D413CD7070}"/>
            </c:ext>
          </c:extLst>
        </c:ser>
        <c:ser>
          <c:idx val="76"/>
          <c:order val="76"/>
          <c:tx>
            <c:strRef>
              <c:f>IRS!$B$100</c:f>
              <c:strCache>
                <c:ptCount val="1"/>
                <c:pt idx="0">
                  <c:v>Simulation 77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IRS!$E$100:$M$100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2458.9875378953857</c:v>
                </c:pt>
                <c:pt idx="5">
                  <c:v>4394.1791294831764</c:v>
                </c:pt>
                <c:pt idx="6">
                  <c:v>4551.6583912415772</c:v>
                </c:pt>
                <c:pt idx="7">
                  <c:v>3039.2651142674272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4D60-47EF-B9BB-B8D413CD7070}"/>
            </c:ext>
          </c:extLst>
        </c:ser>
        <c:ser>
          <c:idx val="77"/>
          <c:order val="77"/>
          <c:tx>
            <c:strRef>
              <c:f>IRS!$B$101</c:f>
              <c:strCache>
                <c:ptCount val="1"/>
                <c:pt idx="0">
                  <c:v>Simulation 78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IRS!$E$101:$M$101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195.99639829539865</c:v>
                </c:pt>
                <c:pt idx="4">
                  <c:v>3614.2669444933772</c:v>
                </c:pt>
                <c:pt idx="5">
                  <c:v>5219.4436586867578</c:v>
                </c:pt>
                <c:pt idx="6">
                  <c:v>5073.1550897406596</c:v>
                </c:pt>
                <c:pt idx="7">
                  <c:v>3285.304877581872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4D60-47EF-B9BB-B8D413CD7070}"/>
            </c:ext>
          </c:extLst>
        </c:ser>
        <c:ser>
          <c:idx val="78"/>
          <c:order val="78"/>
          <c:tx>
            <c:strRef>
              <c:f>IRS!$B$102</c:f>
              <c:strCache>
                <c:ptCount val="1"/>
                <c:pt idx="0">
                  <c:v>Simulation 79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IRS!$E$102:$M$102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241.37227718672011</c:v>
                </c:pt>
                <c:pt idx="4">
                  <c:v>3693.0793802293956</c:v>
                </c:pt>
                <c:pt idx="5">
                  <c:v>5305.3755199681136</c:v>
                </c:pt>
                <c:pt idx="6">
                  <c:v>5145.0983740904212</c:v>
                </c:pt>
                <c:pt idx="7">
                  <c:v>3327.0846395120593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4D60-47EF-B9BB-B8D413CD7070}"/>
            </c:ext>
          </c:extLst>
        </c:ser>
        <c:ser>
          <c:idx val="79"/>
          <c:order val="79"/>
          <c:tx>
            <c:strRef>
              <c:f>IRS!$B$103</c:f>
              <c:strCache>
                <c:ptCount val="1"/>
                <c:pt idx="0">
                  <c:v>Simulation 80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IRS!$E$103:$M$103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538.2822033238208</c:v>
                </c:pt>
                <c:pt idx="4">
                  <c:v>3925.8766992288156</c:v>
                </c:pt>
                <c:pt idx="5">
                  <c:v>5471.6118278698868</c:v>
                </c:pt>
                <c:pt idx="6">
                  <c:v>5247.6871738744248</c:v>
                </c:pt>
                <c:pt idx="7">
                  <c:v>3373.211851582239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4D60-47EF-B9BB-B8D413CD7070}"/>
            </c:ext>
          </c:extLst>
        </c:ser>
        <c:ser>
          <c:idx val="80"/>
          <c:order val="80"/>
          <c:tx>
            <c:strRef>
              <c:f>IRS!$B$104</c:f>
              <c:strCache>
                <c:ptCount val="1"/>
                <c:pt idx="0">
                  <c:v>Simulation 81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IRS!$E$104:$M$104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2690.1855474174195</c:v>
                </c:pt>
                <c:pt idx="5">
                  <c:v>4568.6591609438983</c:v>
                </c:pt>
                <c:pt idx="6">
                  <c:v>4663.3852512184085</c:v>
                </c:pt>
                <c:pt idx="7">
                  <c:v>3090.6776562930954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4D60-47EF-B9BB-B8D413CD7070}"/>
            </c:ext>
          </c:extLst>
        </c:ser>
        <c:ser>
          <c:idx val="81"/>
          <c:order val="81"/>
          <c:tx>
            <c:strRef>
              <c:f>IRS!$B$105</c:f>
              <c:strCache>
                <c:ptCount val="1"/>
                <c:pt idx="0">
                  <c:v>Simulation 82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IRS!$E$105:$M$105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2575.4816895449567</c:v>
                </c:pt>
                <c:pt idx="4">
                  <c:v>5519.9004072715215</c:v>
                </c:pt>
                <c:pt idx="5">
                  <c:v>6636.6740892155394</c:v>
                </c:pt>
                <c:pt idx="6">
                  <c:v>6002.0287763254855</c:v>
                </c:pt>
                <c:pt idx="7">
                  <c:v>3738.350041461581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4D60-47EF-B9BB-B8D413CD7070}"/>
            </c:ext>
          </c:extLst>
        </c:ser>
        <c:ser>
          <c:idx val="82"/>
          <c:order val="82"/>
          <c:tx>
            <c:strRef>
              <c:f>IRS!$B$106</c:f>
              <c:strCache>
                <c:ptCount val="1"/>
                <c:pt idx="0">
                  <c:v>Simulation 83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IRS!$E$106:$M$106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1296.5131445301367</c:v>
                </c:pt>
                <c:pt idx="4">
                  <c:v>4526.806177624836</c:v>
                </c:pt>
                <c:pt idx="5">
                  <c:v>5916.6066697135229</c:v>
                </c:pt>
                <c:pt idx="6">
                  <c:v>5539.7710928773022</c:v>
                </c:pt>
                <c:pt idx="7">
                  <c:v>3516.6433865596973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4D60-47EF-B9BB-B8D413CD7070}"/>
            </c:ext>
          </c:extLst>
        </c:ser>
        <c:ser>
          <c:idx val="83"/>
          <c:order val="83"/>
          <c:tx>
            <c:strRef>
              <c:f>IRS!$B$107</c:f>
              <c:strCache>
                <c:ptCount val="1"/>
                <c:pt idx="0">
                  <c:v>Simulation 84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IRS!$E$107:$M$107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1696.2702735478579</c:v>
                </c:pt>
                <c:pt idx="4">
                  <c:v>4833.0260781956968</c:v>
                </c:pt>
                <c:pt idx="5">
                  <c:v>6137.4502226746754</c:v>
                </c:pt>
                <c:pt idx="6">
                  <c:v>5681.980162853426</c:v>
                </c:pt>
                <c:pt idx="7">
                  <c:v>3585.6235511427949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4D60-47EF-B9BB-B8D413CD7070}"/>
            </c:ext>
          </c:extLst>
        </c:ser>
        <c:ser>
          <c:idx val="84"/>
          <c:order val="84"/>
          <c:tx>
            <c:strRef>
              <c:f>IRS!$B$108</c:f>
              <c:strCache>
                <c:ptCount val="1"/>
                <c:pt idx="0">
                  <c:v>Simulation 85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IRS!$E$108:$M$108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3327.5498477490305</c:v>
                </c:pt>
                <c:pt idx="4">
                  <c:v>6081.4633095493664</c:v>
                </c:pt>
                <c:pt idx="5">
                  <c:v>7031.4697120126839</c:v>
                </c:pt>
                <c:pt idx="6">
                  <c:v>6250.0948987742177</c:v>
                </c:pt>
                <c:pt idx="7">
                  <c:v>3855.9800534246433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4D60-47EF-B9BB-B8D413CD7070}"/>
            </c:ext>
          </c:extLst>
        </c:ser>
        <c:ser>
          <c:idx val="85"/>
          <c:order val="85"/>
          <c:tx>
            <c:strRef>
              <c:f>IRS!$B$109</c:f>
              <c:strCache>
                <c:ptCount val="1"/>
                <c:pt idx="0">
                  <c:v>Simulation 86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IRS!$E$109:$M$109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3046.7281457181466</c:v>
                </c:pt>
                <c:pt idx="4">
                  <c:v>5858.5937635473656</c:v>
                </c:pt>
                <c:pt idx="5">
                  <c:v>6864.1750221847069</c:v>
                </c:pt>
                <c:pt idx="6">
                  <c:v>6137.7492677284899</c:v>
                </c:pt>
                <c:pt idx="7">
                  <c:v>3799.1626054967046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4D60-47EF-B9BB-B8D413CD7070}"/>
            </c:ext>
          </c:extLst>
        </c:ser>
        <c:ser>
          <c:idx val="86"/>
          <c:order val="86"/>
          <c:tx>
            <c:strRef>
              <c:f>IRS!$B$110</c:f>
              <c:strCache>
                <c:ptCount val="1"/>
                <c:pt idx="0">
                  <c:v>Simulation 87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IRS!$E$110:$M$110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4014.8748964090241</c:v>
                </c:pt>
                <c:pt idx="4">
                  <c:v>6616.2422900746124</c:v>
                </c:pt>
                <c:pt idx="5">
                  <c:v>7417.3166562426777</c:v>
                </c:pt>
                <c:pt idx="6">
                  <c:v>6495.070842927571</c:v>
                </c:pt>
                <c:pt idx="7">
                  <c:v>3971.541788779527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4D60-47EF-B9BB-B8D413CD7070}"/>
            </c:ext>
          </c:extLst>
        </c:ser>
        <c:ser>
          <c:idx val="87"/>
          <c:order val="87"/>
          <c:tx>
            <c:strRef>
              <c:f>IRS!$B$111</c:f>
              <c:strCache>
                <c:ptCount val="1"/>
                <c:pt idx="0">
                  <c:v>Simulation 88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IRS!$E$111:$M$111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732.83097950987622</c:v>
                </c:pt>
                <c:pt idx="3">
                  <c:v>4861.9423959815576</c:v>
                </c:pt>
                <c:pt idx="4">
                  <c:v>7218.6974260571442</c:v>
                </c:pt>
                <c:pt idx="5">
                  <c:v>7818.2951963881824</c:v>
                </c:pt>
                <c:pt idx="6">
                  <c:v>6732.1899312742989</c:v>
                </c:pt>
                <c:pt idx="7">
                  <c:v>4076.8157699808876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4D60-47EF-B9BB-B8D413CD7070}"/>
            </c:ext>
          </c:extLst>
        </c:ser>
        <c:ser>
          <c:idx val="88"/>
          <c:order val="88"/>
          <c:tx>
            <c:strRef>
              <c:f>IRS!$B$112</c:f>
              <c:strCache>
                <c:ptCount val="1"/>
                <c:pt idx="0">
                  <c:v>Simulation 89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IRS!$E$112:$M$112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4892.9600283858717</c:v>
                </c:pt>
                <c:pt idx="3">
                  <c:v>8217.2470910953562</c:v>
                </c:pt>
                <c:pt idx="4">
                  <c:v>9808.2026501861492</c:v>
                </c:pt>
                <c:pt idx="5">
                  <c:v>9685.9069878757236</c:v>
                </c:pt>
                <c:pt idx="6">
                  <c:v>7925.8425500801377</c:v>
                </c:pt>
                <c:pt idx="7">
                  <c:v>4647.3463884797966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4D60-47EF-B9BB-B8D413CD7070}"/>
            </c:ext>
          </c:extLst>
        </c:ser>
        <c:ser>
          <c:idx val="89"/>
          <c:order val="89"/>
          <c:tx>
            <c:strRef>
              <c:f>IRS!$B$113</c:f>
              <c:strCache>
                <c:ptCount val="1"/>
                <c:pt idx="0">
                  <c:v>Simulation 90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IRS!$E$113:$M$113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3752.0309489121028</c:v>
                </c:pt>
                <c:pt idx="3">
                  <c:v>7333.3427624776523</c:v>
                </c:pt>
                <c:pt idx="4">
                  <c:v>9153.4177520690773</c:v>
                </c:pt>
                <c:pt idx="5">
                  <c:v>9232.9770321952237</c:v>
                </c:pt>
                <c:pt idx="6">
                  <c:v>7648.4497639894671</c:v>
                </c:pt>
                <c:pt idx="7">
                  <c:v>4520.4142762647662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4D60-47EF-B9BB-B8D413CD7070}"/>
            </c:ext>
          </c:extLst>
        </c:ser>
        <c:ser>
          <c:idx val="90"/>
          <c:order val="90"/>
          <c:tx>
            <c:strRef>
              <c:f>IRS!$B$114</c:f>
              <c:strCache>
                <c:ptCount val="1"/>
                <c:pt idx="0">
                  <c:v>Simulation 91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IRS!$E$114:$M$114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2610.3303273595156</c:v>
                </c:pt>
                <c:pt idx="3">
                  <c:v>6398.3406014590555</c:v>
                </c:pt>
                <c:pt idx="4">
                  <c:v>8418.5620062067283</c:v>
                </c:pt>
                <c:pt idx="5">
                  <c:v>8691.9280512565692</c:v>
                </c:pt>
                <c:pt idx="6">
                  <c:v>7294.7646871011721</c:v>
                </c:pt>
                <c:pt idx="7">
                  <c:v>4347.2666256865114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4D60-47EF-B9BB-B8D413CD7070}"/>
            </c:ext>
          </c:extLst>
        </c:ser>
        <c:ser>
          <c:idx val="91"/>
          <c:order val="91"/>
          <c:tx>
            <c:strRef>
              <c:f>IRS!$B$115</c:f>
              <c:strCache>
                <c:ptCount val="1"/>
                <c:pt idx="0">
                  <c:v>Simulation 92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IRS!$E$115:$M$115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1175.4033533357897</c:v>
                </c:pt>
                <c:pt idx="3">
                  <c:v>5251.3816560974155</c:v>
                </c:pt>
                <c:pt idx="4">
                  <c:v>7539.9623701561886</c:v>
                </c:pt>
                <c:pt idx="5">
                  <c:v>8062.087437348262</c:v>
                </c:pt>
                <c:pt idx="6">
                  <c:v>6894.1487462391387</c:v>
                </c:pt>
                <c:pt idx="7">
                  <c:v>4156.4956503610874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4D60-47EF-B9BB-B8D413CD7070}"/>
            </c:ext>
          </c:extLst>
        </c:ser>
        <c:ser>
          <c:idx val="92"/>
          <c:order val="92"/>
          <c:tx>
            <c:strRef>
              <c:f>IRS!$B$116</c:f>
              <c:strCache>
                <c:ptCount val="1"/>
                <c:pt idx="0">
                  <c:v>Simulation 93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IRS!$E$116:$M$116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4029.5264012852367</c:v>
                </c:pt>
                <c:pt idx="4">
                  <c:v>6566.7505033514899</c:v>
                </c:pt>
                <c:pt idx="5">
                  <c:v>7338.5760322124343</c:v>
                </c:pt>
                <c:pt idx="6">
                  <c:v>6418.16744397809</c:v>
                </c:pt>
                <c:pt idx="7">
                  <c:v>3922.679136894114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4D60-47EF-B9BB-B8D413CD7070}"/>
            </c:ext>
          </c:extLst>
        </c:ser>
        <c:ser>
          <c:idx val="93"/>
          <c:order val="93"/>
          <c:tx>
            <c:strRef>
              <c:f>IRS!$B$117</c:f>
              <c:strCache>
                <c:ptCount val="1"/>
                <c:pt idx="0">
                  <c:v>Simulation 94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IRS!$E$117:$M$117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720.91011641351133</c:v>
                </c:pt>
                <c:pt idx="3">
                  <c:v>4889.9266928306224</c:v>
                </c:pt>
                <c:pt idx="4">
                  <c:v>7266.7928657378798</c:v>
                </c:pt>
                <c:pt idx="5">
                  <c:v>7870.6623970172805</c:v>
                </c:pt>
                <c:pt idx="6">
                  <c:v>6776.3374135291924</c:v>
                </c:pt>
                <c:pt idx="7">
                  <c:v>4102.8144039035487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4D60-47EF-B9BB-B8D413CD7070}"/>
            </c:ext>
          </c:extLst>
        </c:ser>
        <c:ser>
          <c:idx val="94"/>
          <c:order val="94"/>
          <c:tx>
            <c:strRef>
              <c:f>IRS!$B$118</c:f>
              <c:strCache>
                <c:ptCount val="1"/>
                <c:pt idx="0">
                  <c:v>Simulation 95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IRS!$E$118:$M$118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3586.5891179450209</c:v>
                </c:pt>
                <c:pt idx="4">
                  <c:v>6234.7440910161004</c:v>
                </c:pt>
                <c:pt idx="5">
                  <c:v>7109.2526133414249</c:v>
                </c:pt>
                <c:pt idx="6">
                  <c:v>6280.0177646252941</c:v>
                </c:pt>
                <c:pt idx="7">
                  <c:v>3861.5733067048081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4D60-47EF-B9BB-B8D413CD7070}"/>
            </c:ext>
          </c:extLst>
        </c:ser>
        <c:ser>
          <c:idx val="95"/>
          <c:order val="95"/>
          <c:tx>
            <c:strRef>
              <c:f>IRS!$B$119</c:f>
              <c:strCache>
                <c:ptCount val="1"/>
                <c:pt idx="0">
                  <c:v>Simulation 96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IRS!$E$119:$M$119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1542.3836743058096</c:v>
                </c:pt>
                <c:pt idx="3">
                  <c:v>5514.6391176859506</c:v>
                </c:pt>
                <c:pt idx="4">
                  <c:v>7718.0860192442669</c:v>
                </c:pt>
                <c:pt idx="5">
                  <c:v>8172.968648463625</c:v>
                </c:pt>
                <c:pt idx="6">
                  <c:v>6954.3221480265784</c:v>
                </c:pt>
                <c:pt idx="7">
                  <c:v>4180.4863681855077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4D60-47EF-B9BB-B8D413CD7070}"/>
            </c:ext>
          </c:extLst>
        </c:ser>
        <c:ser>
          <c:idx val="96"/>
          <c:order val="96"/>
          <c:tx>
            <c:strRef>
              <c:f>IRS!$B$120</c:f>
              <c:strCache>
                <c:ptCount val="1"/>
                <c:pt idx="0">
                  <c:v>Simulation 97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IRS!$E$120:$M$120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3388.8254677399445</c:v>
                </c:pt>
                <c:pt idx="3">
                  <c:v>7016.769482287531</c:v>
                </c:pt>
                <c:pt idx="4">
                  <c:v>8884.1244940211927</c:v>
                </c:pt>
                <c:pt idx="5">
                  <c:v>9016.5915148488239</c:v>
                </c:pt>
                <c:pt idx="6">
                  <c:v>7493.8615564359534</c:v>
                </c:pt>
                <c:pt idx="7">
                  <c:v>4437.9373950663321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4D60-47EF-B9BB-B8D413CD7070}"/>
            </c:ext>
          </c:extLst>
        </c:ser>
        <c:ser>
          <c:idx val="97"/>
          <c:order val="97"/>
          <c:tx>
            <c:strRef>
              <c:f>IRS!$B$121</c:f>
              <c:strCache>
                <c:ptCount val="1"/>
                <c:pt idx="0">
                  <c:v>Simulation 98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IRS!$E$121:$M$121</c:f>
              <c:numCache>
                <c:formatCode>0</c:formatCode>
                <c:ptCount val="9"/>
                <c:pt idx="0">
                  <c:v>0</c:v>
                </c:pt>
                <c:pt idx="1">
                  <c:v>2889.0449030757577</c:v>
                </c:pt>
                <c:pt idx="2">
                  <c:v>7489.5864882249743</c:v>
                </c:pt>
                <c:pt idx="3">
                  <c:v>10363.007439994182</c:v>
                </c:pt>
                <c:pt idx="4">
                  <c:v>11493.285178059181</c:v>
                </c:pt>
                <c:pt idx="5">
                  <c:v>10915.248512553175</c:v>
                </c:pt>
                <c:pt idx="6">
                  <c:v>8716.6522547820205</c:v>
                </c:pt>
                <c:pt idx="7">
                  <c:v>5026.1423385553117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4D60-47EF-B9BB-B8D413CD7070}"/>
            </c:ext>
          </c:extLst>
        </c:ser>
        <c:ser>
          <c:idx val="98"/>
          <c:order val="98"/>
          <c:tx>
            <c:strRef>
              <c:f>IRS!$B$122</c:f>
              <c:strCache>
                <c:ptCount val="1"/>
                <c:pt idx="0">
                  <c:v>Simulation 99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IRS!$E$122:$M$122</c:f>
              <c:numCache>
                <c:formatCode>0</c:formatCode>
                <c:ptCount val="9"/>
                <c:pt idx="0">
                  <c:v>0</c:v>
                </c:pt>
                <c:pt idx="1">
                  <c:v>4214.2085824740716</c:v>
                </c:pt>
                <c:pt idx="2">
                  <c:v>8559.9769750285359</c:v>
                </c:pt>
                <c:pt idx="3">
                  <c:v>11199.462814042772</c:v>
                </c:pt>
                <c:pt idx="4">
                  <c:v>12117.618869035079</c:v>
                </c:pt>
                <c:pt idx="5">
                  <c:v>11350.010360763779</c:v>
                </c:pt>
                <c:pt idx="6">
                  <c:v>8984.5492484429487</c:v>
                </c:pt>
                <c:pt idx="7">
                  <c:v>5149.4356630835136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4D60-47EF-B9BB-B8D413CD7070}"/>
            </c:ext>
          </c:extLst>
        </c:ser>
        <c:ser>
          <c:idx val="99"/>
          <c:order val="99"/>
          <c:tx>
            <c:strRef>
              <c:f>IRS!$B$123</c:f>
              <c:strCache>
                <c:ptCount val="1"/>
                <c:pt idx="0">
                  <c:v>Simulation 100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IRS!$E$123:$M$123</c:f>
              <c:numCache>
                <c:formatCode>0</c:formatCode>
                <c:ptCount val="9"/>
                <c:pt idx="0">
                  <c:v>0</c:v>
                </c:pt>
                <c:pt idx="1">
                  <c:v>3514.7831795379589</c:v>
                </c:pt>
                <c:pt idx="2">
                  <c:v>7936.7168123921765</c:v>
                </c:pt>
                <c:pt idx="3">
                  <c:v>10662.532936761709</c:v>
                </c:pt>
                <c:pt idx="4">
                  <c:v>11676.063962622688</c:v>
                </c:pt>
                <c:pt idx="5">
                  <c:v>11011.586129384683</c:v>
                </c:pt>
                <c:pt idx="6">
                  <c:v>8755.3790716618569</c:v>
                </c:pt>
                <c:pt idx="7">
                  <c:v>5033.7463647306477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4D60-47EF-B9BB-B8D413CD7070}"/>
            </c:ext>
          </c:extLst>
        </c:ser>
        <c:ser>
          <c:idx val="100"/>
          <c:order val="100"/>
          <c:tx>
            <c:strRef>
              <c:f>IRS!$B$124</c:f>
              <c:strCache>
                <c:ptCount val="1"/>
                <c:pt idx="0">
                  <c:v>Simulation 101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IRS!$E$124:$M$124</c:f>
              <c:numCache>
                <c:formatCode>0</c:formatCode>
                <c:ptCount val="9"/>
                <c:pt idx="0">
                  <c:v>0</c:v>
                </c:pt>
                <c:pt idx="1">
                  <c:v>3041.1857223075831</c:v>
                </c:pt>
                <c:pt idx="2">
                  <c:v>7493.3923377009087</c:v>
                </c:pt>
                <c:pt idx="3">
                  <c:v>10269.024042713445</c:v>
                </c:pt>
                <c:pt idx="4">
                  <c:v>11347.449198233337</c:v>
                </c:pt>
                <c:pt idx="5">
                  <c:v>10758.714336432446</c:v>
                </c:pt>
                <c:pt idx="6">
                  <c:v>8585.0032043049687</c:v>
                </c:pt>
                <c:pt idx="7">
                  <c:v>4948.7916582744347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4D60-47EF-B9BB-B8D413CD7070}"/>
            </c:ext>
          </c:extLst>
        </c:ser>
        <c:ser>
          <c:idx val="101"/>
          <c:order val="101"/>
          <c:tx>
            <c:strRef>
              <c:f>IRS!$B$125</c:f>
              <c:strCache>
                <c:ptCount val="1"/>
                <c:pt idx="0">
                  <c:v>Simulation 102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IRS!$E$125:$M$125</c:f>
              <c:numCache>
                <c:formatCode>0</c:formatCode>
                <c:ptCount val="9"/>
                <c:pt idx="0">
                  <c:v>0</c:v>
                </c:pt>
                <c:pt idx="1">
                  <c:v>3677.2616385102997</c:v>
                </c:pt>
                <c:pt idx="2">
                  <c:v>8164.4549204334198</c:v>
                </c:pt>
                <c:pt idx="3">
                  <c:v>10942.434638025314</c:v>
                </c:pt>
                <c:pt idx="4">
                  <c:v>11983.791659900999</c:v>
                </c:pt>
                <c:pt idx="5">
                  <c:v>11312.856988440171</c:v>
                </c:pt>
                <c:pt idx="6">
                  <c:v>9007.3673599545418</c:v>
                </c:pt>
                <c:pt idx="7">
                  <c:v>5186.8665918380639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4D60-47EF-B9BB-B8D413CD7070}"/>
            </c:ext>
          </c:extLst>
        </c:ser>
        <c:ser>
          <c:idx val="102"/>
          <c:order val="102"/>
          <c:tx>
            <c:strRef>
              <c:f>IRS!$B$126</c:f>
              <c:strCache>
                <c:ptCount val="1"/>
                <c:pt idx="0">
                  <c:v>Simulation 103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IRS!$E$126:$M$126</c:f>
              <c:numCache>
                <c:formatCode>0</c:formatCode>
                <c:ptCount val="9"/>
                <c:pt idx="0">
                  <c:v>0</c:v>
                </c:pt>
                <c:pt idx="1">
                  <c:v>4332.3822773706443</c:v>
                </c:pt>
                <c:pt idx="2">
                  <c:v>8657.4349383780573</c:v>
                </c:pt>
                <c:pt idx="3">
                  <c:v>11301.075464840123</c:v>
                </c:pt>
                <c:pt idx="4">
                  <c:v>12232.927868487937</c:v>
                </c:pt>
                <c:pt idx="5">
                  <c:v>11474.420068810279</c:v>
                </c:pt>
                <c:pt idx="6">
                  <c:v>9100.2571612097454</c:v>
                </c:pt>
                <c:pt idx="7">
                  <c:v>5226.8981627053008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4D60-47EF-B9BB-B8D413CD7070}"/>
            </c:ext>
          </c:extLst>
        </c:ser>
        <c:ser>
          <c:idx val="103"/>
          <c:order val="103"/>
          <c:tx>
            <c:strRef>
              <c:f>IRS!$B$127</c:f>
              <c:strCache>
                <c:ptCount val="1"/>
                <c:pt idx="0">
                  <c:v>Simulation 104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IRS!$E$127:$M$127</c:f>
              <c:numCache>
                <c:formatCode>0</c:formatCode>
                <c:ptCount val="9"/>
                <c:pt idx="0">
                  <c:v>0</c:v>
                </c:pt>
                <c:pt idx="1">
                  <c:v>5547.390292101205</c:v>
                </c:pt>
                <c:pt idx="2">
                  <c:v>9636.4436229703533</c:v>
                </c:pt>
                <c:pt idx="3">
                  <c:v>12064.739379046659</c:v>
                </c:pt>
                <c:pt idx="4">
                  <c:v>12802.280848485225</c:v>
                </c:pt>
                <c:pt idx="5">
                  <c:v>11870.715107844622</c:v>
                </c:pt>
                <c:pt idx="6">
                  <c:v>9344.5103551742723</c:v>
                </c:pt>
                <c:pt idx="7">
                  <c:v>5339.4169566911869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4D60-47EF-B9BB-B8D413CD7070}"/>
            </c:ext>
          </c:extLst>
        </c:ser>
        <c:ser>
          <c:idx val="104"/>
          <c:order val="104"/>
          <c:tx>
            <c:strRef>
              <c:f>IRS!$B$128</c:f>
              <c:strCache>
                <c:ptCount val="1"/>
                <c:pt idx="0">
                  <c:v>Simulation 105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IRS!$E$128:$M$128</c:f>
              <c:numCache>
                <c:formatCode>0</c:formatCode>
                <c:ptCount val="9"/>
                <c:pt idx="0">
                  <c:v>686.59621842468277</c:v>
                </c:pt>
                <c:pt idx="1">
                  <c:v>6047.24904949764</c:v>
                </c:pt>
                <c:pt idx="2">
                  <c:v>9977.7894343247499</c:v>
                </c:pt>
                <c:pt idx="3">
                  <c:v>12285.162586107013</c:v>
                </c:pt>
                <c:pt idx="4">
                  <c:v>12934.110861585094</c:v>
                </c:pt>
                <c:pt idx="5">
                  <c:v>11941.17919669894</c:v>
                </c:pt>
                <c:pt idx="6">
                  <c:v>9375.7626071120649</c:v>
                </c:pt>
                <c:pt idx="7">
                  <c:v>5348.7000763356691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4D60-47EF-B9BB-B8D413CD7070}"/>
            </c:ext>
          </c:extLst>
        </c:ser>
        <c:ser>
          <c:idx val="105"/>
          <c:order val="105"/>
          <c:tx>
            <c:strRef>
              <c:f>IRS!$B$129</c:f>
              <c:strCache>
                <c:ptCount val="1"/>
                <c:pt idx="0">
                  <c:v>Simulation 106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IRS!$E$129:$M$129</c:f>
              <c:numCache>
                <c:formatCode>0</c:formatCode>
                <c:ptCount val="9"/>
                <c:pt idx="0">
                  <c:v>0</c:v>
                </c:pt>
                <c:pt idx="1">
                  <c:v>2349.0467382649081</c:v>
                </c:pt>
                <c:pt idx="2">
                  <c:v>6899.9341219275593</c:v>
                </c:pt>
                <c:pt idx="3">
                  <c:v>9799.4377503335236</c:v>
                </c:pt>
                <c:pt idx="4">
                  <c:v>11010.714421545345</c:v>
                </c:pt>
                <c:pt idx="5">
                  <c:v>10548.805061676227</c:v>
                </c:pt>
                <c:pt idx="6">
                  <c:v>8481.687296967737</c:v>
                </c:pt>
                <c:pt idx="7">
                  <c:v>4919.0211175393279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4D60-47EF-B9BB-B8D413CD7070}"/>
            </c:ext>
          </c:extLst>
        </c:ser>
        <c:ser>
          <c:idx val="106"/>
          <c:order val="106"/>
          <c:tx>
            <c:strRef>
              <c:f>IRS!$B$130</c:f>
              <c:strCache>
                <c:ptCount val="1"/>
                <c:pt idx="0">
                  <c:v>Simulation 107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IRS!$E$130:$M$130</c:f>
              <c:numCache>
                <c:formatCode>0</c:formatCode>
                <c:ptCount val="9"/>
                <c:pt idx="0">
                  <c:v>0</c:v>
                </c:pt>
                <c:pt idx="1">
                  <c:v>2833.1130847474951</c:v>
                </c:pt>
                <c:pt idx="2">
                  <c:v>7378.2555234552819</c:v>
                </c:pt>
                <c:pt idx="3">
                  <c:v>10245.970849150719</c:v>
                </c:pt>
                <c:pt idx="4">
                  <c:v>11402.014301031726</c:v>
                </c:pt>
                <c:pt idx="5">
                  <c:v>10864.509129751479</c:v>
                </c:pt>
                <c:pt idx="6">
                  <c:v>8704.7162176158381</c:v>
                </c:pt>
                <c:pt idx="7">
                  <c:v>5035.676490507436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4D60-47EF-B9BB-B8D413CD7070}"/>
            </c:ext>
          </c:extLst>
        </c:ser>
        <c:ser>
          <c:idx val="107"/>
          <c:order val="107"/>
          <c:tx>
            <c:strRef>
              <c:f>IRS!$B$131</c:f>
              <c:strCache>
                <c:ptCount val="1"/>
                <c:pt idx="0">
                  <c:v>Simulation 108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IRS!$E$131:$M$131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3446.2223455646699</c:v>
                </c:pt>
                <c:pt idx="3">
                  <c:v>7071.3952323246058</c:v>
                </c:pt>
                <c:pt idx="4">
                  <c:v>8951.4775745005245</c:v>
                </c:pt>
                <c:pt idx="5">
                  <c:v>9098.3067839675605</c:v>
                </c:pt>
                <c:pt idx="6">
                  <c:v>7577.7027923897394</c:v>
                </c:pt>
                <c:pt idx="7">
                  <c:v>4498.3947426349987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4D60-47EF-B9BB-B8D413CD7070}"/>
            </c:ext>
          </c:extLst>
        </c:ser>
        <c:ser>
          <c:idx val="108"/>
          <c:order val="108"/>
          <c:tx>
            <c:strRef>
              <c:f>IRS!$B$132</c:f>
              <c:strCache>
                <c:ptCount val="1"/>
                <c:pt idx="0">
                  <c:v>Simulation 109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IRS!$E$132:$M$132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1544.1173117385561</c:v>
                </c:pt>
                <c:pt idx="3">
                  <c:v>5492.8081595092299</c:v>
                </c:pt>
                <c:pt idx="4">
                  <c:v>7703.9320066621231</c:v>
                </c:pt>
                <c:pt idx="5">
                  <c:v>8181.2045480970992</c:v>
                </c:pt>
                <c:pt idx="6">
                  <c:v>6982.9178121878622</c:v>
                </c:pt>
                <c:pt idx="7">
                  <c:v>4211.1507597417449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4D60-47EF-B9BB-B8D413CD7070}"/>
            </c:ext>
          </c:extLst>
        </c:ser>
        <c:ser>
          <c:idx val="109"/>
          <c:order val="109"/>
          <c:tx>
            <c:strRef>
              <c:f>IRS!$B$133</c:f>
              <c:strCache>
                <c:ptCount val="1"/>
                <c:pt idx="0">
                  <c:v>Simulation 110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IRS!$E$133:$M$133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3190.6222388488454</c:v>
                </c:pt>
                <c:pt idx="3">
                  <c:v>6818.7777453551607</c:v>
                </c:pt>
                <c:pt idx="4">
                  <c:v>8723.7335136240326</c:v>
                </c:pt>
                <c:pt idx="5">
                  <c:v>8912.7940258424969</c:v>
                </c:pt>
                <c:pt idx="6">
                  <c:v>7447.1765582065818</c:v>
                </c:pt>
                <c:pt idx="7">
                  <c:v>4431.0971632659339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4D60-47EF-B9BB-B8D413CD7070}"/>
            </c:ext>
          </c:extLst>
        </c:ser>
        <c:ser>
          <c:idx val="110"/>
          <c:order val="110"/>
          <c:tx>
            <c:strRef>
              <c:f>IRS!$B$134</c:f>
              <c:strCache>
                <c:ptCount val="1"/>
                <c:pt idx="0">
                  <c:v>Simulation 111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IRS!$E$134:$M$134</c:f>
              <c:numCache>
                <c:formatCode>0</c:formatCode>
                <c:ptCount val="9"/>
                <c:pt idx="0">
                  <c:v>0</c:v>
                </c:pt>
                <c:pt idx="1">
                  <c:v>4730.7166766395439</c:v>
                </c:pt>
                <c:pt idx="2">
                  <c:v>8960.0436803340381</c:v>
                </c:pt>
                <c:pt idx="3">
                  <c:v>11525.481745018737</c:v>
                </c:pt>
                <c:pt idx="4">
                  <c:v>12393.588221376487</c:v>
                </c:pt>
                <c:pt idx="5">
                  <c:v>11583.694880983541</c:v>
                </c:pt>
                <c:pt idx="6">
                  <c:v>9167.7722950223197</c:v>
                </c:pt>
                <c:pt idx="7">
                  <c:v>5259.045888951393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4D60-47EF-B9BB-B8D413CD7070}"/>
            </c:ext>
          </c:extLst>
        </c:ser>
        <c:ser>
          <c:idx val="111"/>
          <c:order val="111"/>
          <c:tx>
            <c:strRef>
              <c:f>IRS!$B$135</c:f>
              <c:strCache>
                <c:ptCount val="1"/>
                <c:pt idx="0">
                  <c:v>Simulation 112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IRS!$E$135:$M$135</c:f>
              <c:numCache>
                <c:formatCode>0</c:formatCode>
                <c:ptCount val="9"/>
                <c:pt idx="0">
                  <c:v>388.65564640286357</c:v>
                </c:pt>
                <c:pt idx="1">
                  <c:v>5938.0500910172395</c:v>
                </c:pt>
                <c:pt idx="2">
                  <c:v>10006.144112983187</c:v>
                </c:pt>
                <c:pt idx="3">
                  <c:v>12397.755119317391</c:v>
                </c:pt>
                <c:pt idx="4">
                  <c:v>13085.155231287878</c:v>
                </c:pt>
                <c:pt idx="5">
                  <c:v>12093.16930499999</c:v>
                </c:pt>
                <c:pt idx="6">
                  <c:v>9498.6604935195082</c:v>
                </c:pt>
                <c:pt idx="7">
                  <c:v>5418.99598706285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4D60-47EF-B9BB-B8D413CD7070}"/>
            </c:ext>
          </c:extLst>
        </c:ser>
        <c:ser>
          <c:idx val="112"/>
          <c:order val="112"/>
          <c:tx>
            <c:strRef>
              <c:f>IRS!$B$136</c:f>
              <c:strCache>
                <c:ptCount val="1"/>
                <c:pt idx="0">
                  <c:v>Simulation 113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IRS!$E$136:$M$136</c:f>
              <c:numCache>
                <c:formatCode>0</c:formatCode>
                <c:ptCount val="9"/>
                <c:pt idx="0">
                  <c:v>1580.5202009625164</c:v>
                </c:pt>
                <c:pt idx="1">
                  <c:v>7079.8710019480968</c:v>
                </c:pt>
                <c:pt idx="2">
                  <c:v>11052.960815410612</c:v>
                </c:pt>
                <c:pt idx="3">
                  <c:v>13313.474630033572</c:v>
                </c:pt>
                <c:pt idx="4">
                  <c:v>13842.000579630636</c:v>
                </c:pt>
                <c:pt idx="5">
                  <c:v>12671.618883349598</c:v>
                </c:pt>
                <c:pt idx="6">
                  <c:v>9886.9562284741769</c:v>
                </c:pt>
                <c:pt idx="7">
                  <c:v>5612.4183240678094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4D60-47EF-B9BB-B8D413CD7070}"/>
            </c:ext>
          </c:extLst>
        </c:ser>
        <c:ser>
          <c:idx val="113"/>
          <c:order val="113"/>
          <c:tx>
            <c:strRef>
              <c:f>IRS!$B$137</c:f>
              <c:strCache>
                <c:ptCount val="1"/>
                <c:pt idx="0">
                  <c:v>Simulation 114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IRS!$E$137:$M$137</c:f>
              <c:numCache>
                <c:formatCode>0</c:formatCode>
                <c:ptCount val="9"/>
                <c:pt idx="0">
                  <c:v>0</c:v>
                </c:pt>
                <c:pt idx="1">
                  <c:v>1084.3312944217719</c:v>
                </c:pt>
                <c:pt idx="2">
                  <c:v>6081.7185279206915</c:v>
                </c:pt>
                <c:pt idx="3">
                  <c:v>9322.4187380951917</c:v>
                </c:pt>
                <c:pt idx="4">
                  <c:v>10778.731564594133</c:v>
                </c:pt>
                <c:pt idx="5">
                  <c:v>10476.468514882701</c:v>
                </c:pt>
                <c:pt idx="6">
                  <c:v>8494.3042339225613</c:v>
                </c:pt>
                <c:pt idx="7">
                  <c:v>4952.3240263870084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4D60-47EF-B9BB-B8D413CD7070}"/>
            </c:ext>
          </c:extLst>
        </c:ser>
        <c:ser>
          <c:idx val="114"/>
          <c:order val="114"/>
          <c:tx>
            <c:strRef>
              <c:f>IRS!$B$138</c:f>
              <c:strCache>
                <c:ptCount val="1"/>
                <c:pt idx="0">
                  <c:v>Simulation 115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IRS!$E$138:$M$138</c:f>
              <c:numCache>
                <c:formatCode>0</c:formatCode>
                <c:ptCount val="9"/>
                <c:pt idx="0">
                  <c:v>0</c:v>
                </c:pt>
                <c:pt idx="1">
                  <c:v>1364.2496570135904</c:v>
                </c:pt>
                <c:pt idx="2">
                  <c:v>6297.0105246973817</c:v>
                </c:pt>
                <c:pt idx="3">
                  <c:v>9479.9500154930429</c:v>
                </c:pt>
                <c:pt idx="4">
                  <c:v>10886.493550596346</c:v>
                </c:pt>
                <c:pt idx="5">
                  <c:v>10543.353369240536</c:v>
                </c:pt>
                <c:pt idx="6">
                  <c:v>8529.6587047273952</c:v>
                </c:pt>
                <c:pt idx="7">
                  <c:v>4965.5045027216302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4D60-47EF-B9BB-B8D413CD7070}"/>
            </c:ext>
          </c:extLst>
        </c:ser>
        <c:ser>
          <c:idx val="115"/>
          <c:order val="115"/>
          <c:tx>
            <c:strRef>
              <c:f>IRS!$B$139</c:f>
              <c:strCache>
                <c:ptCount val="1"/>
                <c:pt idx="0">
                  <c:v>Simulation 116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IRS!$E$139:$M$139</c:f>
              <c:numCache>
                <c:formatCode>0</c:formatCode>
                <c:ptCount val="9"/>
                <c:pt idx="0">
                  <c:v>239.00910762736385</c:v>
                </c:pt>
                <c:pt idx="1">
                  <c:v>5881.2050142413191</c:v>
                </c:pt>
                <c:pt idx="2">
                  <c:v>10014.563353419453</c:v>
                </c:pt>
                <c:pt idx="3">
                  <c:v>12444.295199227023</c:v>
                </c:pt>
                <c:pt idx="4">
                  <c:v>13147.753386666296</c:v>
                </c:pt>
                <c:pt idx="5">
                  <c:v>12154.980521022968</c:v>
                </c:pt>
                <c:pt idx="6">
                  <c:v>9547.3647041162476</c:v>
                </c:pt>
                <c:pt idx="7">
                  <c:v>5446.0456059666358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4D60-47EF-B9BB-B8D413CD7070}"/>
            </c:ext>
          </c:extLst>
        </c:ser>
        <c:ser>
          <c:idx val="116"/>
          <c:order val="116"/>
          <c:tx>
            <c:strRef>
              <c:f>IRS!$B$140</c:f>
              <c:strCache>
                <c:ptCount val="1"/>
                <c:pt idx="0">
                  <c:v>Simulation 117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IRS!$E$140:$M$140</c:f>
              <c:numCache>
                <c:formatCode>0</c:formatCode>
                <c:ptCount val="9"/>
                <c:pt idx="0">
                  <c:v>1558.6913801373639</c:v>
                </c:pt>
                <c:pt idx="1">
                  <c:v>6989.1364883521273</c:v>
                </c:pt>
                <c:pt idx="2">
                  <c:v>10915.848996749326</c:v>
                </c:pt>
                <c:pt idx="3">
                  <c:v>13151.1529165227</c:v>
                </c:pt>
                <c:pt idx="4">
                  <c:v>13675.339062498802</c:v>
                </c:pt>
                <c:pt idx="5">
                  <c:v>12520.923082646759</c:v>
                </c:pt>
                <c:pt idx="6">
                  <c:v>9771.0097387480564</c:v>
                </c:pt>
                <c:pt idx="7">
                  <c:v>5547.6535682040139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4D60-47EF-B9BB-B8D413CD7070}"/>
            </c:ext>
          </c:extLst>
        </c:ser>
        <c:ser>
          <c:idx val="117"/>
          <c:order val="117"/>
          <c:tx>
            <c:strRef>
              <c:f>IRS!$B$141</c:f>
              <c:strCache>
                <c:ptCount val="1"/>
                <c:pt idx="0">
                  <c:v>Simulation 118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IRS!$E$141:$M$141</c:f>
              <c:numCache>
                <c:formatCode>0</c:formatCode>
                <c:ptCount val="9"/>
                <c:pt idx="0">
                  <c:v>1172.3492915827437</c:v>
                </c:pt>
                <c:pt idx="1">
                  <c:v>6601.3657174169666</c:v>
                </c:pt>
                <c:pt idx="2">
                  <c:v>10550.501909839819</c:v>
                </c:pt>
                <c:pt idx="3">
                  <c:v>12826.507392572275</c:v>
                </c:pt>
                <c:pt idx="4">
                  <c:v>13405.025825559685</c:v>
                </c:pt>
                <c:pt idx="5">
                  <c:v>12314.192183844778</c:v>
                </c:pt>
                <c:pt idx="6">
                  <c:v>9632.9590098110275</c:v>
                </c:pt>
                <c:pt idx="7">
                  <c:v>5479.5990331855637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4D60-47EF-B9BB-B8D413CD7070}"/>
            </c:ext>
          </c:extLst>
        </c:ser>
        <c:ser>
          <c:idx val="118"/>
          <c:order val="118"/>
          <c:tx>
            <c:strRef>
              <c:f>IRS!$B$142</c:f>
              <c:strCache>
                <c:ptCount val="1"/>
                <c:pt idx="0">
                  <c:v>Simulation 119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IRS!$E$142:$M$142</c:f>
              <c:numCache>
                <c:formatCode>0</c:formatCode>
                <c:ptCount val="9"/>
                <c:pt idx="0">
                  <c:v>2519.1007443284052</c:v>
                </c:pt>
                <c:pt idx="1">
                  <c:v>7823.5786457695285</c:v>
                </c:pt>
                <c:pt idx="2">
                  <c:v>11620.507100991657</c:v>
                </c:pt>
                <c:pt idx="3">
                  <c:v>13726.02410207536</c:v>
                </c:pt>
                <c:pt idx="4">
                  <c:v>14122.773974905293</c:v>
                </c:pt>
                <c:pt idx="5">
                  <c:v>12845.570777989666</c:v>
                </c:pt>
                <c:pt idx="6">
                  <c:v>9979.3440794872331</c:v>
                </c:pt>
                <c:pt idx="7">
                  <c:v>5647.4714608637305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4D60-47EF-B9BB-B8D413CD7070}"/>
            </c:ext>
          </c:extLst>
        </c:ser>
        <c:ser>
          <c:idx val="119"/>
          <c:order val="119"/>
          <c:tx>
            <c:strRef>
              <c:f>IRS!$B$143</c:f>
              <c:strCache>
                <c:ptCount val="1"/>
                <c:pt idx="0">
                  <c:v>Simulation 120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IRS!$E$143:$M$143</c:f>
              <c:numCache>
                <c:formatCode>0</c:formatCode>
                <c:ptCount val="9"/>
                <c:pt idx="0">
                  <c:v>4529.968708639467</c:v>
                </c:pt>
                <c:pt idx="1">
                  <c:v>9645.8938701505067</c:v>
                </c:pt>
                <c:pt idx="2">
                  <c:v>13221.687143691368</c:v>
                </c:pt>
                <c:pt idx="3">
                  <c:v>15082.976672399818</c:v>
                </c:pt>
                <c:pt idx="4">
                  <c:v>15218.48196826506</c:v>
                </c:pt>
                <c:pt idx="5">
                  <c:v>13669.227374899594</c:v>
                </c:pt>
                <c:pt idx="6">
                  <c:v>10526.107789160662</c:v>
                </c:pt>
                <c:pt idx="7">
                  <c:v>5918.0267175587678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4D60-47EF-B9BB-B8D413CD7070}"/>
            </c:ext>
          </c:extLst>
        </c:ser>
        <c:ser>
          <c:idx val="120"/>
          <c:order val="120"/>
          <c:tx>
            <c:strRef>
              <c:f>IRS!$B$144</c:f>
              <c:strCache>
                <c:ptCount val="1"/>
                <c:pt idx="0">
                  <c:v>Simulation 121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IRS!$E$144:$M$144</c:f>
              <c:numCache>
                <c:formatCode>0</c:formatCode>
                <c:ptCount val="9"/>
                <c:pt idx="0">
                  <c:v>5804.3162524309564</c:v>
                </c:pt>
                <c:pt idx="1">
                  <c:v>10904.329875223739</c:v>
                </c:pt>
                <c:pt idx="2">
                  <c:v>14405.340793584084</c:v>
                </c:pt>
                <c:pt idx="3">
                  <c:v>16141.756415982098</c:v>
                </c:pt>
                <c:pt idx="4">
                  <c:v>16111.383644836384</c:v>
                </c:pt>
                <c:pt idx="5">
                  <c:v>14364.533570637388</c:v>
                </c:pt>
                <c:pt idx="6">
                  <c:v>11001.154813179526</c:v>
                </c:pt>
                <c:pt idx="7">
                  <c:v>6158.6954301317828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4D60-47EF-B9BB-B8D413CD7070}"/>
            </c:ext>
          </c:extLst>
        </c:ser>
        <c:ser>
          <c:idx val="121"/>
          <c:order val="121"/>
          <c:tx>
            <c:strRef>
              <c:f>IRS!$B$145</c:f>
              <c:strCache>
                <c:ptCount val="1"/>
                <c:pt idx="0">
                  <c:v>Simulation 122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IRS!$E$145:$M$145</c:f>
              <c:numCache>
                <c:formatCode>0</c:formatCode>
                <c:ptCount val="9"/>
                <c:pt idx="0">
                  <c:v>5389.4929126550796</c:v>
                </c:pt>
                <c:pt idx="1">
                  <c:v>10536.683325537599</c:v>
                </c:pt>
                <c:pt idx="2">
                  <c:v>14084.362707924725</c:v>
                </c:pt>
                <c:pt idx="3">
                  <c:v>15867.297176006239</c:v>
                </c:pt>
                <c:pt idx="4">
                  <c:v>15884.973986147097</c:v>
                </c:pt>
                <c:pt idx="5">
                  <c:v>14189.035165073401</c:v>
                </c:pt>
                <c:pt idx="6">
                  <c:v>10880.234655697348</c:v>
                </c:pt>
                <c:pt idx="7">
                  <c:v>6096.3190150307364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4D60-47EF-B9BB-B8D413CD7070}"/>
            </c:ext>
          </c:extLst>
        </c:ser>
        <c:ser>
          <c:idx val="122"/>
          <c:order val="122"/>
          <c:tx>
            <c:strRef>
              <c:f>IRS!$B$146</c:f>
              <c:strCache>
                <c:ptCount val="1"/>
                <c:pt idx="0">
                  <c:v>Simulation 123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IRS!$E$146:$M$146</c:f>
              <c:numCache>
                <c:formatCode>0</c:formatCode>
                <c:ptCount val="9"/>
                <c:pt idx="0">
                  <c:v>3676.0422779298751</c:v>
                </c:pt>
                <c:pt idx="1">
                  <c:v>9201.4428239852787</c:v>
                </c:pt>
                <c:pt idx="2">
                  <c:v>13079.227139224769</c:v>
                </c:pt>
                <c:pt idx="3">
                  <c:v>15138.901072881512</c:v>
                </c:pt>
                <c:pt idx="4">
                  <c:v>15383.677861552473</c:v>
                </c:pt>
                <c:pt idx="5">
                  <c:v>13869.450986537244</c:v>
                </c:pt>
                <c:pt idx="6">
                  <c:v>10701.552376574637</c:v>
                </c:pt>
                <c:pt idx="7">
                  <c:v>6022.5281200089903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4D60-47EF-B9BB-B8D413CD7070}"/>
            </c:ext>
          </c:extLst>
        </c:ser>
        <c:ser>
          <c:idx val="123"/>
          <c:order val="123"/>
          <c:tx>
            <c:strRef>
              <c:f>IRS!$B$147</c:f>
              <c:strCache>
                <c:ptCount val="1"/>
                <c:pt idx="0">
                  <c:v>Simulation 124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IRS!$E$147:$M$147</c:f>
              <c:numCache>
                <c:formatCode>0</c:formatCode>
                <c:ptCount val="9"/>
                <c:pt idx="0">
                  <c:v>2449.9441177282042</c:v>
                </c:pt>
                <c:pt idx="1">
                  <c:v>8084.7392967629985</c:v>
                </c:pt>
                <c:pt idx="2">
                  <c:v>12099.435691428147</c:v>
                </c:pt>
                <c:pt idx="3">
                  <c:v>14313.725726502676</c:v>
                </c:pt>
                <c:pt idx="4">
                  <c:v>14724.27378446012</c:v>
                </c:pt>
                <c:pt idx="5">
                  <c:v>13380.807621770195</c:v>
                </c:pt>
                <c:pt idx="6">
                  <c:v>10382.949718809792</c:v>
                </c:pt>
                <c:pt idx="7">
                  <c:v>5868.2034572118482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4D60-47EF-B9BB-B8D413CD7070}"/>
            </c:ext>
          </c:extLst>
        </c:ser>
        <c:ser>
          <c:idx val="124"/>
          <c:order val="124"/>
          <c:tx>
            <c:strRef>
              <c:f>IRS!$B$148</c:f>
              <c:strCache>
                <c:ptCount val="1"/>
                <c:pt idx="0">
                  <c:v>Simulation 125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IRS!$E$148:$M$148</c:f>
              <c:numCache>
                <c:formatCode>0</c:formatCode>
                <c:ptCount val="9"/>
                <c:pt idx="0">
                  <c:v>5122.3606087291118</c:v>
                </c:pt>
                <c:pt idx="1">
                  <c:v>10573.063575290238</c:v>
                </c:pt>
                <c:pt idx="2">
                  <c:v>14328.718597739702</c:v>
                </c:pt>
                <c:pt idx="3">
                  <c:v>16227.799272182034</c:v>
                </c:pt>
                <c:pt idx="4">
                  <c:v>16282.050733260785</c:v>
                </c:pt>
                <c:pt idx="5">
                  <c:v>14555.961919971771</c:v>
                </c:pt>
                <c:pt idx="6">
                  <c:v>11162.953231826303</c:v>
                </c:pt>
                <c:pt idx="7">
                  <c:v>6252.9237757624969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4D60-47EF-B9BB-B8D413CD7070}"/>
            </c:ext>
          </c:extLst>
        </c:ser>
        <c:ser>
          <c:idx val="125"/>
          <c:order val="125"/>
          <c:tx>
            <c:strRef>
              <c:f>IRS!$B$149</c:f>
              <c:strCache>
                <c:ptCount val="1"/>
                <c:pt idx="0">
                  <c:v>Simulation 126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IRS!$E$149:$M$149</c:f>
              <c:numCache>
                <c:formatCode>0</c:formatCode>
                <c:ptCount val="9"/>
                <c:pt idx="0">
                  <c:v>6090.7267554362761</c:v>
                </c:pt>
                <c:pt idx="1">
                  <c:v>11341.174908131019</c:v>
                </c:pt>
                <c:pt idx="2">
                  <c:v>14927.496937638392</c:v>
                </c:pt>
                <c:pt idx="3">
                  <c:v>16685.741206984898</c:v>
                </c:pt>
                <c:pt idx="4">
                  <c:v>16622.01502213546</c:v>
                </c:pt>
                <c:pt idx="5">
                  <c:v>14795.609559903565</c:v>
                </c:pt>
                <c:pt idx="6">
                  <c:v>11315.176300005573</c:v>
                </c:pt>
                <c:pt idx="7">
                  <c:v>6326.4211782361244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4D60-47EF-B9BB-B8D413CD7070}"/>
            </c:ext>
          </c:extLst>
        </c:ser>
        <c:ser>
          <c:idx val="126"/>
          <c:order val="126"/>
          <c:tx>
            <c:strRef>
              <c:f>IRS!$B$150</c:f>
              <c:strCache>
                <c:ptCount val="1"/>
                <c:pt idx="0">
                  <c:v>Simulation 127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IRS!$E$150:$M$150</c:f>
              <c:numCache>
                <c:formatCode>0</c:formatCode>
                <c:ptCount val="9"/>
                <c:pt idx="0">
                  <c:v>8195.6683501268926</c:v>
                </c:pt>
                <c:pt idx="1">
                  <c:v>13231.122714275156</c:v>
                </c:pt>
                <c:pt idx="2">
                  <c:v>16571.147786022782</c:v>
                </c:pt>
                <c:pt idx="3">
                  <c:v>18063.497621337137</c:v>
                </c:pt>
                <c:pt idx="4">
                  <c:v>17721.689287144683</c:v>
                </c:pt>
                <c:pt idx="5">
                  <c:v>15612.23950042238</c:v>
                </c:pt>
                <c:pt idx="6">
                  <c:v>11850.436643331797</c:v>
                </c:pt>
                <c:pt idx="7">
                  <c:v>6587.8273206203494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4D60-47EF-B9BB-B8D413CD7070}"/>
            </c:ext>
          </c:extLst>
        </c:ser>
        <c:ser>
          <c:idx val="127"/>
          <c:order val="127"/>
          <c:tx>
            <c:strRef>
              <c:f>IRS!$B$151</c:f>
              <c:strCache>
                <c:ptCount val="1"/>
                <c:pt idx="0">
                  <c:v>Simulation 128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IRS!$E$151:$M$151</c:f>
              <c:numCache>
                <c:formatCode>0</c:formatCode>
                <c:ptCount val="9"/>
                <c:pt idx="0">
                  <c:v>7726.5422878059544</c:v>
                </c:pt>
                <c:pt idx="1">
                  <c:v>12842.301346349446</c:v>
                </c:pt>
                <c:pt idx="2">
                  <c:v>16260.914370844706</c:v>
                </c:pt>
                <c:pt idx="3">
                  <c:v>17826.061503757854</c:v>
                </c:pt>
                <c:pt idx="4">
                  <c:v>17549.795524213077</c:v>
                </c:pt>
                <c:pt idx="5">
                  <c:v>15497.525087649472</c:v>
                </c:pt>
                <c:pt idx="6">
                  <c:v>11783.706955809696</c:v>
                </c:pt>
                <c:pt idx="7">
                  <c:v>6559.3808157909825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4D60-47EF-B9BB-B8D413CD7070}"/>
            </c:ext>
          </c:extLst>
        </c:ser>
        <c:ser>
          <c:idx val="128"/>
          <c:order val="128"/>
          <c:tx>
            <c:strRef>
              <c:f>IRS!$B$152</c:f>
              <c:strCache>
                <c:ptCount val="1"/>
                <c:pt idx="0">
                  <c:v>Simulation 129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IRS!$E$152:$M$152</c:f>
              <c:numCache>
                <c:formatCode>0</c:formatCode>
                <c:ptCount val="9"/>
                <c:pt idx="0">
                  <c:v>8241.6125209269667</c:v>
                </c:pt>
                <c:pt idx="1">
                  <c:v>13244.466379809062</c:v>
                </c:pt>
                <c:pt idx="2">
                  <c:v>16560.326752429675</c:v>
                </c:pt>
                <c:pt idx="3">
                  <c:v>18036.540299654378</c:v>
                </c:pt>
                <c:pt idx="4">
                  <c:v>17686.49335417731</c:v>
                </c:pt>
                <c:pt idx="5">
                  <c:v>15576.428140119871</c:v>
                </c:pt>
                <c:pt idx="6">
                  <c:v>11820.965356342194</c:v>
                </c:pt>
                <c:pt idx="7">
                  <c:v>6570.6730678518497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4D60-47EF-B9BB-B8D413CD7070}"/>
            </c:ext>
          </c:extLst>
        </c:ser>
        <c:ser>
          <c:idx val="129"/>
          <c:order val="129"/>
          <c:tx>
            <c:strRef>
              <c:f>IRS!$B$153</c:f>
              <c:strCache>
                <c:ptCount val="1"/>
                <c:pt idx="0">
                  <c:v>Simulation 130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IRS!$E$153:$M$153</c:f>
              <c:numCache>
                <c:formatCode>0</c:formatCode>
                <c:ptCount val="9"/>
                <c:pt idx="0">
                  <c:v>15869.178077646604</c:v>
                </c:pt>
                <c:pt idx="1">
                  <c:v>19826.388201397414</c:v>
                </c:pt>
                <c:pt idx="2">
                  <c:v>22084.63939779342</c:v>
                </c:pt>
                <c:pt idx="3">
                  <c:v>22526.14051565282</c:v>
                </c:pt>
                <c:pt idx="4">
                  <c:v>21175.038624572986</c:v>
                </c:pt>
                <c:pt idx="5">
                  <c:v>18107.629620107433</c:v>
                </c:pt>
                <c:pt idx="6">
                  <c:v>13447.241361077535</c:v>
                </c:pt>
                <c:pt idx="7">
                  <c:v>7351.4730067915052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4D60-47EF-B9BB-B8D413CD7070}"/>
            </c:ext>
          </c:extLst>
        </c:ser>
        <c:ser>
          <c:idx val="130"/>
          <c:order val="130"/>
          <c:tx>
            <c:strRef>
              <c:f>IRS!$B$154</c:f>
              <c:strCache>
                <c:ptCount val="1"/>
                <c:pt idx="0">
                  <c:v>Simulation 131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IRS!$E$154:$M$154</c:f>
              <c:numCache>
                <c:formatCode>0</c:formatCode>
                <c:ptCount val="9"/>
                <c:pt idx="0">
                  <c:v>12668.975913835187</c:v>
                </c:pt>
                <c:pt idx="1">
                  <c:v>17223.363758594136</c:v>
                </c:pt>
                <c:pt idx="2">
                  <c:v>20021.869775839201</c:v>
                </c:pt>
                <c:pt idx="3">
                  <c:v>20937.833630629066</c:v>
                </c:pt>
                <c:pt idx="4">
                  <c:v>20001.139550761396</c:v>
                </c:pt>
                <c:pt idx="5">
                  <c:v>17293.985089062968</c:v>
                </c:pt>
                <c:pt idx="6">
                  <c:v>12945.565025225751</c:v>
                </c:pt>
                <c:pt idx="7">
                  <c:v>7119.194579840575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4D60-47EF-B9BB-B8D413CD7070}"/>
            </c:ext>
          </c:extLst>
        </c:ser>
        <c:ser>
          <c:idx val="131"/>
          <c:order val="131"/>
          <c:tx>
            <c:strRef>
              <c:f>IRS!$B$155</c:f>
              <c:strCache>
                <c:ptCount val="1"/>
                <c:pt idx="0">
                  <c:v>Simulation 132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IRS!$E$155:$M$155</c:f>
              <c:numCache>
                <c:formatCode>0</c:formatCode>
                <c:ptCount val="9"/>
                <c:pt idx="0">
                  <c:v>13831.64227498943</c:v>
                </c:pt>
                <c:pt idx="1">
                  <c:v>18245.555557450443</c:v>
                </c:pt>
                <c:pt idx="2">
                  <c:v>20897.928097021329</c:v>
                </c:pt>
                <c:pt idx="3">
                  <c:v>21665.768350139591</c:v>
                </c:pt>
                <c:pt idx="4">
                  <c:v>20580.08668850693</c:v>
                </c:pt>
                <c:pt idx="5">
                  <c:v>17724.380958237805</c:v>
                </c:pt>
                <c:pt idx="6">
                  <c:v>13229.13348054513</c:v>
                </c:pt>
                <c:pt idx="7">
                  <c:v>7258.8999533609967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3-4D60-47EF-B9BB-B8D413CD7070}"/>
            </c:ext>
          </c:extLst>
        </c:ser>
        <c:ser>
          <c:idx val="132"/>
          <c:order val="132"/>
          <c:tx>
            <c:strRef>
              <c:f>IRS!$B$156</c:f>
              <c:strCache>
                <c:ptCount val="1"/>
                <c:pt idx="0">
                  <c:v>Simulation 133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IRS!$E$156:$M$156</c:f>
              <c:numCache>
                <c:formatCode>0</c:formatCode>
                <c:ptCount val="9"/>
                <c:pt idx="0">
                  <c:v>13722.009200197115</c:v>
                </c:pt>
                <c:pt idx="1">
                  <c:v>18200.637812073859</c:v>
                </c:pt>
                <c:pt idx="2">
                  <c:v>20898.862502182827</c:v>
                </c:pt>
                <c:pt idx="3">
                  <c:v>21694.650505554044</c:v>
                </c:pt>
                <c:pt idx="4">
                  <c:v>20621.960056988377</c:v>
                </c:pt>
                <c:pt idx="5">
                  <c:v>17767.238800098392</c:v>
                </c:pt>
                <c:pt idx="6">
                  <c:v>13263.721184688198</c:v>
                </c:pt>
                <c:pt idx="7">
                  <c:v>7278.4607658514433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4-4D60-47EF-B9BB-B8D413CD7070}"/>
            </c:ext>
          </c:extLst>
        </c:ser>
        <c:ser>
          <c:idx val="133"/>
          <c:order val="133"/>
          <c:tx>
            <c:strRef>
              <c:f>IRS!$B$157</c:f>
              <c:strCache>
                <c:ptCount val="1"/>
                <c:pt idx="0">
                  <c:v>Simulation 134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IRS!$E$157:$M$157</c:f>
              <c:numCache>
                <c:formatCode>0</c:formatCode>
                <c:ptCount val="9"/>
                <c:pt idx="0">
                  <c:v>14567.556315795176</c:v>
                </c:pt>
                <c:pt idx="1">
                  <c:v>19004.182613550747</c:v>
                </c:pt>
                <c:pt idx="2">
                  <c:v>21636.495082763751</c:v>
                </c:pt>
                <c:pt idx="3">
                  <c:v>22345.19477103911</c:v>
                </c:pt>
                <c:pt idx="4">
                  <c:v>21166.870343265829</c:v>
                </c:pt>
                <c:pt idx="5">
                  <c:v>18191.013593776086</c:v>
                </c:pt>
                <c:pt idx="6">
                  <c:v>13554.089662538179</c:v>
                </c:pt>
                <c:pt idx="7">
                  <c:v>7426.4657189435165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5-4D60-47EF-B9BB-B8D413CD7070}"/>
            </c:ext>
          </c:extLst>
        </c:ser>
        <c:ser>
          <c:idx val="134"/>
          <c:order val="134"/>
          <c:tx>
            <c:strRef>
              <c:f>IRS!$B$158</c:f>
              <c:strCache>
                <c:ptCount val="1"/>
                <c:pt idx="0">
                  <c:v>Simulation 135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IRS!$E$158:$M$158</c:f>
              <c:numCache>
                <c:formatCode>0</c:formatCode>
                <c:ptCount val="9"/>
                <c:pt idx="0">
                  <c:v>19694.223997899404</c:v>
                </c:pt>
                <c:pt idx="1">
                  <c:v>23319.995864480792</c:v>
                </c:pt>
                <c:pt idx="2">
                  <c:v>25176.790930441537</c:v>
                </c:pt>
                <c:pt idx="3">
                  <c:v>25164.081578595775</c:v>
                </c:pt>
                <c:pt idx="4">
                  <c:v>23318.172670137414</c:v>
                </c:pt>
                <c:pt idx="5">
                  <c:v>19727.977645931467</c:v>
                </c:pt>
                <c:pt idx="6">
                  <c:v>14528.86244038833</c:v>
                </c:pt>
                <c:pt idx="7">
                  <c:v>7889.5869602297771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6-4D60-47EF-B9BB-B8D413CD7070}"/>
            </c:ext>
          </c:extLst>
        </c:ser>
        <c:ser>
          <c:idx val="135"/>
          <c:order val="135"/>
          <c:tx>
            <c:strRef>
              <c:f>IRS!$B$159</c:f>
              <c:strCache>
                <c:ptCount val="1"/>
                <c:pt idx="0">
                  <c:v>Simulation 136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IRS!$E$159:$M$159</c:f>
              <c:numCache>
                <c:formatCode>0</c:formatCode>
                <c:ptCount val="9"/>
                <c:pt idx="0">
                  <c:v>19388.123426331149</c:v>
                </c:pt>
                <c:pt idx="1">
                  <c:v>23162.155192389906</c:v>
                </c:pt>
                <c:pt idx="2">
                  <c:v>25126.773965034612</c:v>
                </c:pt>
                <c:pt idx="3">
                  <c:v>25183.486811886614</c:v>
                </c:pt>
                <c:pt idx="4">
                  <c:v>23374.747755253789</c:v>
                </c:pt>
                <c:pt idx="5">
                  <c:v>19795.600885060616</c:v>
                </c:pt>
                <c:pt idx="6">
                  <c:v>14587.243411709296</c:v>
                </c:pt>
                <c:pt idx="7">
                  <c:v>7923.8173731484858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7-4D60-47EF-B9BB-B8D413CD7070}"/>
            </c:ext>
          </c:extLst>
        </c:ser>
        <c:ser>
          <c:idx val="136"/>
          <c:order val="136"/>
          <c:tx>
            <c:strRef>
              <c:f>IRS!$B$160</c:f>
              <c:strCache>
                <c:ptCount val="1"/>
                <c:pt idx="0">
                  <c:v>Simulation 137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IRS!$E$160:$M$160</c:f>
              <c:numCache>
                <c:formatCode>0</c:formatCode>
                <c:ptCount val="9"/>
                <c:pt idx="0">
                  <c:v>19297.033905632081</c:v>
                </c:pt>
                <c:pt idx="1">
                  <c:v>23076.222942210508</c:v>
                </c:pt>
                <c:pt idx="2">
                  <c:v>25046.119687380731</c:v>
                </c:pt>
                <c:pt idx="3">
                  <c:v>25109.024478369542</c:v>
                </c:pt>
                <c:pt idx="4">
                  <c:v>23308.556095438325</c:v>
                </c:pt>
                <c:pt idx="5">
                  <c:v>19740.657059429348</c:v>
                </c:pt>
                <c:pt idx="6">
                  <c:v>14547.031809321983</c:v>
                </c:pt>
                <c:pt idx="7">
                  <c:v>7901.9689231352995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8-4D60-47EF-B9BB-B8D413CD7070}"/>
            </c:ext>
          </c:extLst>
        </c:ser>
        <c:ser>
          <c:idx val="137"/>
          <c:order val="137"/>
          <c:tx>
            <c:strRef>
              <c:f>IRS!$B$161</c:f>
              <c:strCache>
                <c:ptCount val="1"/>
                <c:pt idx="0">
                  <c:v>Simulation 138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IRS!$E$161:$M$161</c:f>
              <c:numCache>
                <c:formatCode>0</c:formatCode>
                <c:ptCount val="9"/>
                <c:pt idx="0">
                  <c:v>17127.034833939681</c:v>
                </c:pt>
                <c:pt idx="1">
                  <c:v>21307.938425900531</c:v>
                </c:pt>
                <c:pt idx="2">
                  <c:v>23646.344461452914</c:v>
                </c:pt>
                <c:pt idx="3">
                  <c:v>24035.7007673099</c:v>
                </c:pt>
                <c:pt idx="4">
                  <c:v>22521.261510048418</c:v>
                </c:pt>
                <c:pt idx="5">
                  <c:v>19201.081390035739</c:v>
                </c:pt>
                <c:pt idx="6">
                  <c:v>14219.340112598806</c:v>
                </c:pt>
                <c:pt idx="7">
                  <c:v>7753.1199060919953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9-4D60-47EF-B9BB-B8D413CD7070}"/>
            </c:ext>
          </c:extLst>
        </c:ser>
        <c:ser>
          <c:idx val="138"/>
          <c:order val="138"/>
          <c:tx>
            <c:strRef>
              <c:f>IRS!$B$162</c:f>
              <c:strCache>
                <c:ptCount val="1"/>
                <c:pt idx="0">
                  <c:v>Simulation 139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IRS!$E$162:$M$162</c:f>
              <c:numCache>
                <c:formatCode>0</c:formatCode>
                <c:ptCount val="9"/>
                <c:pt idx="0">
                  <c:v>13734.627964868476</c:v>
                </c:pt>
                <c:pt idx="1">
                  <c:v>18446.142480361908</c:v>
                </c:pt>
                <c:pt idx="2">
                  <c:v>21291.177897157977</c:v>
                </c:pt>
                <c:pt idx="3">
                  <c:v>22152.135576304579</c:v>
                </c:pt>
                <c:pt idx="4">
                  <c:v>21075.786270524273</c:v>
                </c:pt>
                <c:pt idx="5">
                  <c:v>18161.664343635064</c:v>
                </c:pt>
                <c:pt idx="6">
                  <c:v>13555.327947656206</c:v>
                </c:pt>
                <c:pt idx="7">
                  <c:v>7435.1631027660969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A-4D60-47EF-B9BB-B8D413CD7070}"/>
            </c:ext>
          </c:extLst>
        </c:ser>
        <c:ser>
          <c:idx val="139"/>
          <c:order val="139"/>
          <c:tx>
            <c:strRef>
              <c:f>IRS!$B$163</c:f>
              <c:strCache>
                <c:ptCount val="1"/>
                <c:pt idx="0">
                  <c:v>Simulation 140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IRS!$E$163:$M$163</c:f>
              <c:numCache>
                <c:formatCode>0</c:formatCode>
                <c:ptCount val="9"/>
                <c:pt idx="0">
                  <c:v>11657.682735902072</c:v>
                </c:pt>
                <c:pt idx="1">
                  <c:v>16601.737530727696</c:v>
                </c:pt>
                <c:pt idx="2">
                  <c:v>19708.469148729007</c:v>
                </c:pt>
                <c:pt idx="3">
                  <c:v>20845.17458226877</c:v>
                </c:pt>
                <c:pt idx="4">
                  <c:v>20049.728691025775</c:v>
                </c:pt>
                <c:pt idx="5">
                  <c:v>17413.455929437117</c:v>
                </c:pt>
                <c:pt idx="6">
                  <c:v>13074.607971013658</c:v>
                </c:pt>
                <c:pt idx="7">
                  <c:v>7205.4372399057183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B-4D60-47EF-B9BB-B8D413CD7070}"/>
            </c:ext>
          </c:extLst>
        </c:ser>
        <c:ser>
          <c:idx val="140"/>
          <c:order val="140"/>
          <c:tx>
            <c:strRef>
              <c:f>IRS!$B$164</c:f>
              <c:strCache>
                <c:ptCount val="1"/>
                <c:pt idx="0">
                  <c:v>Simulation 141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IRS!$E$164:$M$164</c:f>
              <c:numCache>
                <c:formatCode>0</c:formatCode>
                <c:ptCount val="9"/>
                <c:pt idx="0">
                  <c:v>13139.288472093704</c:v>
                </c:pt>
                <c:pt idx="1">
                  <c:v>17886.008357904298</c:v>
                </c:pt>
                <c:pt idx="2">
                  <c:v>20794.244530906224</c:v>
                </c:pt>
                <c:pt idx="3">
                  <c:v>21735.953650799376</c:v>
                </c:pt>
                <c:pt idx="4">
                  <c:v>20749.871840782176</c:v>
                </c:pt>
                <c:pt idx="5">
                  <c:v>17928.300355504594</c:v>
                </c:pt>
                <c:pt idx="6">
                  <c:v>13410.42425293421</c:v>
                </c:pt>
                <c:pt idx="7">
                  <c:v>7369.3662212661975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C-4D60-47EF-B9BB-B8D413CD7070}"/>
            </c:ext>
          </c:extLst>
        </c:ser>
        <c:ser>
          <c:idx val="141"/>
          <c:order val="141"/>
          <c:tx>
            <c:strRef>
              <c:f>IRS!$B$165</c:f>
              <c:strCache>
                <c:ptCount val="1"/>
                <c:pt idx="0">
                  <c:v>Simulation 142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IRS!$E$165:$M$165</c:f>
              <c:numCache>
                <c:formatCode>0</c:formatCode>
                <c:ptCount val="9"/>
                <c:pt idx="0">
                  <c:v>10366.606120250433</c:v>
                </c:pt>
                <c:pt idx="1">
                  <c:v>15419.994095217935</c:v>
                </c:pt>
                <c:pt idx="2">
                  <c:v>18672.662484240325</c:v>
                </c:pt>
                <c:pt idx="3">
                  <c:v>19977.969945156998</c:v>
                </c:pt>
                <c:pt idx="4">
                  <c:v>19363.85824672614</c:v>
                </c:pt>
                <c:pt idx="5">
                  <c:v>16912.516279135947</c:v>
                </c:pt>
                <c:pt idx="6">
                  <c:v>12753.998047902311</c:v>
                </c:pt>
                <c:pt idx="7">
                  <c:v>7053.6167404226353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D-4D60-47EF-B9BB-B8D413CD7070}"/>
            </c:ext>
          </c:extLst>
        </c:ser>
        <c:ser>
          <c:idx val="142"/>
          <c:order val="142"/>
          <c:tx>
            <c:strRef>
              <c:f>IRS!$B$166</c:f>
              <c:strCache>
                <c:ptCount val="1"/>
                <c:pt idx="0">
                  <c:v>Simulation 143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IRS!$E$166:$M$166</c:f>
              <c:numCache>
                <c:formatCode>0</c:formatCode>
                <c:ptCount val="9"/>
                <c:pt idx="0">
                  <c:v>12420.227371026536</c:v>
                </c:pt>
                <c:pt idx="1">
                  <c:v>17338.184577806627</c:v>
                </c:pt>
                <c:pt idx="2">
                  <c:v>20396.626814463798</c:v>
                </c:pt>
                <c:pt idx="3">
                  <c:v>21462.91936856963</c:v>
                </c:pt>
                <c:pt idx="4">
                  <c:v>20576.327316240648</c:v>
                </c:pt>
                <c:pt idx="5">
                  <c:v>17830.219679979331</c:v>
                </c:pt>
                <c:pt idx="6">
                  <c:v>13365.192221283472</c:v>
                </c:pt>
                <c:pt idx="7">
                  <c:v>7356.1250706313622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E-4D60-47EF-B9BB-B8D413CD7070}"/>
            </c:ext>
          </c:extLst>
        </c:ser>
        <c:ser>
          <c:idx val="143"/>
          <c:order val="143"/>
          <c:tx>
            <c:strRef>
              <c:f>IRS!$B$167</c:f>
              <c:strCache>
                <c:ptCount val="1"/>
                <c:pt idx="0">
                  <c:v>Simulation 144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IRS!$E$167:$M$167</c:f>
              <c:numCache>
                <c:formatCode>0</c:formatCode>
                <c:ptCount val="9"/>
                <c:pt idx="0">
                  <c:v>17779.990999409914</c:v>
                </c:pt>
                <c:pt idx="1">
                  <c:v>21937.015294160316</c:v>
                </c:pt>
                <c:pt idx="2">
                  <c:v>24225.325460754051</c:v>
                </c:pt>
                <c:pt idx="3">
                  <c:v>24542.343174038826</c:v>
                </c:pt>
                <c:pt idx="4">
                  <c:v>22939.236672626233</c:v>
                </c:pt>
                <c:pt idx="5">
                  <c:v>19519.7553796053</c:v>
                </c:pt>
                <c:pt idx="6">
                  <c:v>14432.816847492466</c:v>
                </c:pt>
                <c:pt idx="7">
                  <c:v>7859.3332019641748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F-4D60-47EF-B9BB-B8D413CD7070}"/>
            </c:ext>
          </c:extLst>
        </c:ser>
        <c:ser>
          <c:idx val="144"/>
          <c:order val="144"/>
          <c:tx>
            <c:strRef>
              <c:f>IRS!$B$168</c:f>
              <c:strCache>
                <c:ptCount val="1"/>
                <c:pt idx="0">
                  <c:v>Simulation 145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IRS!$E$168:$M$168</c:f>
              <c:numCache>
                <c:formatCode>0</c:formatCode>
                <c:ptCount val="9"/>
                <c:pt idx="0">
                  <c:v>13221.418371014846</c:v>
                </c:pt>
                <c:pt idx="1">
                  <c:v>18099.674666182778</c:v>
                </c:pt>
                <c:pt idx="2">
                  <c:v>21085.132084904009</c:v>
                </c:pt>
                <c:pt idx="3">
                  <c:v>22053.970221896001</c:v>
                </c:pt>
                <c:pt idx="4">
                  <c:v>21053.746108520605</c:v>
                </c:pt>
                <c:pt idx="5">
                  <c:v>18185.559806712074</c:v>
                </c:pt>
                <c:pt idx="6">
                  <c:v>13596.739203708317</c:v>
                </c:pt>
                <c:pt idx="7">
                  <c:v>7467.7543068767955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0-4D60-47EF-B9BB-B8D413CD7070}"/>
            </c:ext>
          </c:extLst>
        </c:ser>
        <c:ser>
          <c:idx val="145"/>
          <c:order val="145"/>
          <c:tx>
            <c:strRef>
              <c:f>IRS!$B$169</c:f>
              <c:strCache>
                <c:ptCount val="1"/>
                <c:pt idx="0">
                  <c:v>Simulation 146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IRS!$E$169:$M$169</c:f>
              <c:numCache>
                <c:formatCode>0</c:formatCode>
                <c:ptCount val="9"/>
                <c:pt idx="0">
                  <c:v>19866.628637700582</c:v>
                </c:pt>
                <c:pt idx="1">
                  <c:v>23875.811328337302</c:v>
                </c:pt>
                <c:pt idx="2">
                  <c:v>25962.128958540547</c:v>
                </c:pt>
                <c:pt idx="3">
                  <c:v>26035.799814222395</c:v>
                </c:pt>
                <c:pt idx="4">
                  <c:v>24158.128815585562</c:v>
                </c:pt>
                <c:pt idx="5">
                  <c:v>20442.957014343279</c:v>
                </c:pt>
                <c:pt idx="6">
                  <c:v>15048.708741338603</c:v>
                </c:pt>
                <c:pt idx="7">
                  <c:v>8164.9482078587316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1-4D60-47EF-B9BB-B8D413CD7070}"/>
            </c:ext>
          </c:extLst>
        </c:ser>
        <c:ser>
          <c:idx val="146"/>
          <c:order val="146"/>
          <c:tx>
            <c:strRef>
              <c:f>IRS!$B$170</c:f>
              <c:strCache>
                <c:ptCount val="1"/>
                <c:pt idx="0">
                  <c:v>Simulation 147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IRS!$E$170:$M$170</c:f>
              <c:numCache>
                <c:formatCode>0</c:formatCode>
                <c:ptCount val="9"/>
                <c:pt idx="0">
                  <c:v>21173.63862367249</c:v>
                </c:pt>
                <c:pt idx="1">
                  <c:v>25034.441224140104</c:v>
                </c:pt>
                <c:pt idx="2">
                  <c:v>26954.159121291599</c:v>
                </c:pt>
                <c:pt idx="3">
                  <c:v>26852.652547938902</c:v>
                </c:pt>
                <c:pt idx="4">
                  <c:v>24797.272843812359</c:v>
                </c:pt>
                <c:pt idx="5">
                  <c:v>20907.360547629305</c:v>
                </c:pt>
                <c:pt idx="6">
                  <c:v>15346.010944520574</c:v>
                </c:pt>
                <c:pt idx="7">
                  <c:v>8306.5237334309095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2-4D60-47EF-B9BB-B8D413CD7070}"/>
            </c:ext>
          </c:extLst>
        </c:ser>
        <c:ser>
          <c:idx val="147"/>
          <c:order val="147"/>
          <c:tx>
            <c:strRef>
              <c:f>IRS!$B$171</c:f>
              <c:strCache>
                <c:ptCount val="1"/>
                <c:pt idx="0">
                  <c:v>Simulation 148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IRS!$E$171:$M$171</c:f>
              <c:numCache>
                <c:formatCode>0</c:formatCode>
                <c:ptCount val="9"/>
                <c:pt idx="0">
                  <c:v>21829.826310479439</c:v>
                </c:pt>
                <c:pt idx="1">
                  <c:v>25573.87561865797</c:v>
                </c:pt>
                <c:pt idx="2">
                  <c:v>27382.290187041719</c:v>
                </c:pt>
                <c:pt idx="3">
                  <c:v>27179.234993901893</c:v>
                </c:pt>
                <c:pt idx="4">
                  <c:v>25033.549194252068</c:v>
                </c:pt>
                <c:pt idx="5">
                  <c:v>21065.610236532517</c:v>
                </c:pt>
                <c:pt idx="6">
                  <c:v>15438.984176223043</c:v>
                </c:pt>
                <c:pt idx="7">
                  <c:v>8346.9137539722688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3-4D60-47EF-B9BB-B8D413CD7070}"/>
            </c:ext>
          </c:extLst>
        </c:ser>
        <c:ser>
          <c:idx val="148"/>
          <c:order val="148"/>
          <c:tx>
            <c:strRef>
              <c:f>IRS!$B$172</c:f>
              <c:strCache>
                <c:ptCount val="1"/>
                <c:pt idx="0">
                  <c:v>Simulation 149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IRS!$E$172:$M$172</c:f>
              <c:numCache>
                <c:formatCode>0</c:formatCode>
                <c:ptCount val="9"/>
                <c:pt idx="0">
                  <c:v>21227.786606716494</c:v>
                </c:pt>
                <c:pt idx="1">
                  <c:v>25024.014761634142</c:v>
                </c:pt>
                <c:pt idx="2">
                  <c:v>26898.150298731896</c:v>
                </c:pt>
                <c:pt idx="3">
                  <c:v>26769.71699099688</c:v>
                </c:pt>
                <c:pt idx="4">
                  <c:v>24704.644907560512</c:v>
                </c:pt>
                <c:pt idx="5">
                  <c:v>20820.501713341888</c:v>
                </c:pt>
                <c:pt idx="6">
                  <c:v>15278.175908831869</c:v>
                </c:pt>
                <c:pt idx="7">
                  <c:v>8268.4914373425581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4-4D60-47EF-B9BB-B8D413CD7070}"/>
            </c:ext>
          </c:extLst>
        </c:ser>
        <c:ser>
          <c:idx val="149"/>
          <c:order val="149"/>
          <c:tx>
            <c:strRef>
              <c:f>IRS!$B$173</c:f>
              <c:strCache>
                <c:ptCount val="1"/>
                <c:pt idx="0">
                  <c:v>Simulation 150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IRS!$E$173:$M$173</c:f>
              <c:numCache>
                <c:formatCode>0</c:formatCode>
                <c:ptCount val="9"/>
                <c:pt idx="0">
                  <c:v>18928.234255081596</c:v>
                </c:pt>
                <c:pt idx="1">
                  <c:v>22992.101095722981</c:v>
                </c:pt>
                <c:pt idx="2">
                  <c:v>25160.253705580846</c:v>
                </c:pt>
                <c:pt idx="3">
                  <c:v>25336.865842688709</c:v>
                </c:pt>
                <c:pt idx="4">
                  <c:v>23579.789244986412</c:v>
                </c:pt>
                <c:pt idx="5">
                  <c:v>19999.090899506249</c:v>
                </c:pt>
                <c:pt idx="6">
                  <c:v>14748.95535703267</c:v>
                </c:pt>
                <c:pt idx="7">
                  <c:v>8014.55222513642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5-4D60-47EF-B9BB-B8D413CD7070}"/>
            </c:ext>
          </c:extLst>
        </c:ser>
        <c:ser>
          <c:idx val="150"/>
          <c:order val="150"/>
          <c:tx>
            <c:strRef>
              <c:f>IRS!$B$174</c:f>
              <c:strCache>
                <c:ptCount val="1"/>
                <c:pt idx="0">
                  <c:v>Simulation 151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cat>
            <c:strRef>
              <c:f>IRS!$E$23:$M$23</c:f>
              <c:strCache>
                <c:ptCount val="9"/>
                <c:pt idx="0">
                  <c:v>T2</c:v>
                </c:pt>
                <c:pt idx="1">
                  <c:v>T3</c:v>
                </c:pt>
                <c:pt idx="2">
                  <c:v>T4</c:v>
                </c:pt>
                <c:pt idx="3">
                  <c:v>T5</c:v>
                </c:pt>
                <c:pt idx="4">
                  <c:v>T6</c:v>
                </c:pt>
                <c:pt idx="5">
                  <c:v>T7</c:v>
                </c:pt>
                <c:pt idx="6">
                  <c:v>T8</c:v>
                </c:pt>
                <c:pt idx="7">
                  <c:v>T9</c:v>
                </c:pt>
                <c:pt idx="8">
                  <c:v>T10</c:v>
                </c:pt>
              </c:strCache>
            </c:strRef>
          </c:cat>
          <c:val>
            <c:numRef>
              <c:f>IRS!$E$174:$M$174</c:f>
              <c:numCache>
                <c:formatCode>0</c:formatCode>
                <c:ptCount val="9"/>
                <c:pt idx="0">
                  <c:v>17814.900294824103</c:v>
                </c:pt>
                <c:pt idx="1">
                  <c:v>22049.994844608489</c:v>
                </c:pt>
                <c:pt idx="2">
                  <c:v>24379.766188063946</c:v>
                </c:pt>
                <c:pt idx="3">
                  <c:v>24706.241285686992</c:v>
                </c:pt>
                <c:pt idx="4">
                  <c:v>23089.260150123311</c:v>
                </c:pt>
                <c:pt idx="5">
                  <c:v>19640.574938081074</c:v>
                </c:pt>
                <c:pt idx="6">
                  <c:v>14515.654237343313</c:v>
                </c:pt>
                <c:pt idx="7">
                  <c:v>7900.5688429841075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6-4D60-47EF-B9BB-B8D413CD7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0905520"/>
        <c:axId val="860904864"/>
      </c:lineChart>
      <c:catAx>
        <c:axId val="86090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904864"/>
        <c:crosses val="autoZero"/>
        <c:auto val="1"/>
        <c:lblAlgn val="ctr"/>
        <c:lblOffset val="100"/>
        <c:noMultiLvlLbl val="0"/>
      </c:catAx>
      <c:valAx>
        <c:axId val="86090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90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Simulated</a:t>
            </a:r>
            <a:r>
              <a:rPr lang="en-GB" baseline="0"/>
              <a:t> Exp. Exposure for T3 onwards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IRS!$B$24</c:f>
              <c:strCache>
                <c:ptCount val="1"/>
                <c:pt idx="0">
                  <c:v>Simulation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IRS!$F$24:$M$24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2302.91695762566</c:v>
                </c:pt>
                <c:pt idx="3">
                  <c:v>4971.3672242155808</c:v>
                </c:pt>
                <c:pt idx="4">
                  <c:v>5988.9511858465812</c:v>
                </c:pt>
                <c:pt idx="5">
                  <c:v>5416.2700067541946</c:v>
                </c:pt>
                <c:pt idx="6">
                  <c:v>3369.3937072993895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1-4798-8422-71D39111FE31}"/>
            </c:ext>
          </c:extLst>
        </c:ser>
        <c:ser>
          <c:idx val="1"/>
          <c:order val="1"/>
          <c:tx>
            <c:strRef>
              <c:f>IRS!$B$25</c:f>
              <c:strCache>
                <c:ptCount val="1"/>
                <c:pt idx="0">
                  <c:v>Simulation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IRS!$F$25:$M$25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3253.9320492499487</c:v>
                </c:pt>
                <c:pt idx="3">
                  <c:v>5715.2382859755862</c:v>
                </c:pt>
                <c:pt idx="4">
                  <c:v>6528.9189817282022</c:v>
                </c:pt>
                <c:pt idx="5">
                  <c:v>5761.4275923326659</c:v>
                </c:pt>
                <c:pt idx="6">
                  <c:v>3533.4499384399574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81-4798-8422-71D39111FE31}"/>
            </c:ext>
          </c:extLst>
        </c:ser>
        <c:ser>
          <c:idx val="2"/>
          <c:order val="2"/>
          <c:tx>
            <c:strRef>
              <c:f>IRS!$B$26</c:f>
              <c:strCache>
                <c:ptCount val="1"/>
                <c:pt idx="0">
                  <c:v>Simulation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IRS!$F$26:$M$26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1884.0156879095266</c:v>
                </c:pt>
                <c:pt idx="3">
                  <c:v>4654.2742572015068</c:v>
                </c:pt>
                <c:pt idx="4">
                  <c:v>5764.1357141605349</c:v>
                </c:pt>
                <c:pt idx="5">
                  <c:v>5274.8563264760542</c:v>
                </c:pt>
                <c:pt idx="6">
                  <c:v>3302.8536555887135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81-4798-8422-71D39111FE31}"/>
            </c:ext>
          </c:extLst>
        </c:ser>
        <c:ser>
          <c:idx val="3"/>
          <c:order val="3"/>
          <c:tx>
            <c:strRef>
              <c:f>IRS!$B$27</c:f>
              <c:strCache>
                <c:ptCount val="1"/>
                <c:pt idx="0">
                  <c:v>Simulation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IRS!$F$27:$M$27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147.33303133841082</c:v>
                </c:pt>
                <c:pt idx="3">
                  <c:v>3295.5655784355963</c:v>
                </c:pt>
                <c:pt idx="4">
                  <c:v>4772.7419670448126</c:v>
                </c:pt>
                <c:pt idx="5">
                  <c:v>4635.1187148928493</c:v>
                </c:pt>
                <c:pt idx="6">
                  <c:v>2994.7458756436999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81-4798-8422-71D39111FE31}"/>
            </c:ext>
          </c:extLst>
        </c:ser>
        <c:ser>
          <c:idx val="4"/>
          <c:order val="4"/>
          <c:tx>
            <c:strRef>
              <c:f>IRS!$B$28</c:f>
              <c:strCache>
                <c:ptCount val="1"/>
                <c:pt idx="0">
                  <c:v>Simulation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IRS!$F$28:$M$28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906.55333721781108</c:v>
                </c:pt>
                <c:pt idx="3">
                  <c:v>3913.1483497674999</c:v>
                </c:pt>
                <c:pt idx="4">
                  <c:v>5239.5449729205775</c:v>
                </c:pt>
                <c:pt idx="5">
                  <c:v>4946.2832103544379</c:v>
                </c:pt>
                <c:pt idx="6">
                  <c:v>3149.2212259816833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981-4798-8422-71D39111FE31}"/>
            </c:ext>
          </c:extLst>
        </c:ser>
        <c:ser>
          <c:idx val="5"/>
          <c:order val="5"/>
          <c:tx>
            <c:strRef>
              <c:f>IRS!$B$29</c:f>
              <c:strCache>
                <c:ptCount val="1"/>
                <c:pt idx="0">
                  <c:v>Simulation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IRS!$F$29:$M$29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2608.4782672190536</c:v>
                </c:pt>
                <c:pt idx="3">
                  <c:v>5217.3257719843705</c:v>
                </c:pt>
                <c:pt idx="4">
                  <c:v>6173.9735398737485</c:v>
                </c:pt>
                <c:pt idx="5">
                  <c:v>5539.9949781065425</c:v>
                </c:pt>
                <c:pt idx="6">
                  <c:v>3431.5712562021054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981-4798-8422-71D39111FE31}"/>
            </c:ext>
          </c:extLst>
        </c:ser>
        <c:ser>
          <c:idx val="6"/>
          <c:order val="6"/>
          <c:tx>
            <c:strRef>
              <c:f>IRS!$B$30</c:f>
              <c:strCache>
                <c:ptCount val="1"/>
                <c:pt idx="0">
                  <c:v>Simulation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IRS!$F$30:$M$30</c:f>
              <c:numCache>
                <c:formatCode>0</c:formatCode>
                <c:ptCount val="8"/>
                <c:pt idx="0">
                  <c:v>0</c:v>
                </c:pt>
                <c:pt idx="1">
                  <c:v>559.38986658909516</c:v>
                </c:pt>
                <c:pt idx="2">
                  <c:v>4458.6002182146185</c:v>
                </c:pt>
                <c:pt idx="3">
                  <c:v>6684.8269614576766</c:v>
                </c:pt>
                <c:pt idx="4">
                  <c:v>7256.5090391019185</c:v>
                </c:pt>
                <c:pt idx="5">
                  <c:v>6244.6058338204766</c:v>
                </c:pt>
                <c:pt idx="6">
                  <c:v>3773.2339175459119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981-4798-8422-71D39111FE31}"/>
            </c:ext>
          </c:extLst>
        </c:ser>
        <c:ser>
          <c:idx val="7"/>
          <c:order val="7"/>
          <c:tx>
            <c:strRef>
              <c:f>IRS!$B$31</c:f>
              <c:strCache>
                <c:ptCount val="1"/>
                <c:pt idx="0">
                  <c:v>Simulation 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IRS!$F$31:$M$31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3786.0276424359522</c:v>
                </c:pt>
                <c:pt idx="3">
                  <c:v>6133.6654343051287</c:v>
                </c:pt>
                <c:pt idx="4">
                  <c:v>6833.7323256458094</c:v>
                </c:pt>
                <c:pt idx="5">
                  <c:v>5957.103189581645</c:v>
                </c:pt>
                <c:pt idx="6">
                  <c:v>3627.0997543115268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981-4798-8422-71D39111FE31}"/>
            </c:ext>
          </c:extLst>
        </c:ser>
        <c:ser>
          <c:idx val="8"/>
          <c:order val="8"/>
          <c:tx>
            <c:strRef>
              <c:f>IRS!$B$32</c:f>
              <c:strCache>
                <c:ptCount val="1"/>
                <c:pt idx="0">
                  <c:v>Simulation 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IRS!$F$32:$M$32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3832.5683962937155</c:v>
                </c:pt>
                <c:pt idx="3">
                  <c:v>6128.0849842611387</c:v>
                </c:pt>
                <c:pt idx="4">
                  <c:v>6799.0020440434891</c:v>
                </c:pt>
                <c:pt idx="5">
                  <c:v>5914.9728967546744</c:v>
                </c:pt>
                <c:pt idx="6">
                  <c:v>3597.372432540752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981-4798-8422-71D39111FE31}"/>
            </c:ext>
          </c:extLst>
        </c:ser>
        <c:ser>
          <c:idx val="9"/>
          <c:order val="9"/>
          <c:tx>
            <c:strRef>
              <c:f>IRS!$B$33</c:f>
              <c:strCache>
                <c:ptCount val="1"/>
                <c:pt idx="0">
                  <c:v>Simulation 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IRS!$F$33:$M$33</c:f>
              <c:numCache>
                <c:formatCode>0</c:formatCode>
                <c:ptCount val="8"/>
                <c:pt idx="0">
                  <c:v>0</c:v>
                </c:pt>
                <c:pt idx="1">
                  <c:v>2919.6910609422966</c:v>
                </c:pt>
                <c:pt idx="2">
                  <c:v>6286.5517206428867</c:v>
                </c:pt>
                <c:pt idx="3">
                  <c:v>8033.0005470806827</c:v>
                </c:pt>
                <c:pt idx="4">
                  <c:v>8180.8248567911251</c:v>
                </c:pt>
                <c:pt idx="5">
                  <c:v>6803.3046586319433</c:v>
                </c:pt>
                <c:pt idx="6">
                  <c:v>4024.5173897570862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981-4798-8422-71D39111FE31}"/>
            </c:ext>
          </c:extLst>
        </c:ser>
        <c:ser>
          <c:idx val="10"/>
          <c:order val="10"/>
          <c:tx>
            <c:strRef>
              <c:f>IRS!$B$34</c:f>
              <c:strCache>
                <c:ptCount val="1"/>
                <c:pt idx="0">
                  <c:v>Simulation 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IRS!$F$34:$M$34</c:f>
              <c:numCache>
                <c:formatCode>0</c:formatCode>
                <c:ptCount val="8"/>
                <c:pt idx="0">
                  <c:v>0</c:v>
                </c:pt>
                <c:pt idx="1">
                  <c:v>3096.3327711642105</c:v>
                </c:pt>
                <c:pt idx="2">
                  <c:v>6497.0115767863972</c:v>
                </c:pt>
                <c:pt idx="3">
                  <c:v>8246.853475775597</c:v>
                </c:pt>
                <c:pt idx="4">
                  <c:v>8371.2562921527897</c:v>
                </c:pt>
                <c:pt idx="5">
                  <c:v>6947.5859081160443</c:v>
                </c:pt>
                <c:pt idx="6">
                  <c:v>4103.9956940445682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981-4798-8422-71D39111FE31}"/>
            </c:ext>
          </c:extLst>
        </c:ser>
        <c:ser>
          <c:idx val="11"/>
          <c:order val="11"/>
          <c:tx>
            <c:strRef>
              <c:f>IRS!$B$35</c:f>
              <c:strCache>
                <c:ptCount val="1"/>
                <c:pt idx="0">
                  <c:v>Simulation 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IRS!$F$35:$M$35</c:f>
              <c:numCache>
                <c:formatCode>0</c:formatCode>
                <c:ptCount val="8"/>
                <c:pt idx="0">
                  <c:v>0</c:v>
                </c:pt>
                <c:pt idx="1">
                  <c:v>2875.0890054166834</c:v>
                </c:pt>
                <c:pt idx="2">
                  <c:v>6332.1072133942253</c:v>
                </c:pt>
                <c:pt idx="3">
                  <c:v>8128.0123942221526</c:v>
                </c:pt>
                <c:pt idx="4">
                  <c:v>8290.168546077708</c:v>
                </c:pt>
                <c:pt idx="5">
                  <c:v>6897.8958998873932</c:v>
                </c:pt>
                <c:pt idx="6">
                  <c:v>4080.9216975041627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981-4798-8422-71D39111FE31}"/>
            </c:ext>
          </c:extLst>
        </c:ser>
        <c:ser>
          <c:idx val="12"/>
          <c:order val="12"/>
          <c:tx>
            <c:strRef>
              <c:f>IRS!$B$36</c:f>
              <c:strCache>
                <c:ptCount val="1"/>
                <c:pt idx="0">
                  <c:v>Simulation 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IRS!$F$36:$M$36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3660.6373173758279</c:v>
                </c:pt>
                <c:pt idx="3">
                  <c:v>6079.1681688559111</c:v>
                </c:pt>
                <c:pt idx="4">
                  <c:v>6821.0185285441949</c:v>
                </c:pt>
                <c:pt idx="5">
                  <c:v>5963.92192098139</c:v>
                </c:pt>
                <c:pt idx="6">
                  <c:v>3636.6983636153977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981-4798-8422-71D39111FE31}"/>
            </c:ext>
          </c:extLst>
        </c:ser>
        <c:ser>
          <c:idx val="13"/>
          <c:order val="13"/>
          <c:tx>
            <c:strRef>
              <c:f>IRS!$B$37</c:f>
              <c:strCache>
                <c:ptCount val="1"/>
                <c:pt idx="0">
                  <c:v>Simulation 14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IRS!$F$37:$M$37</c:f>
              <c:numCache>
                <c:formatCode>0</c:formatCode>
                <c:ptCount val="8"/>
                <c:pt idx="0">
                  <c:v>0</c:v>
                </c:pt>
                <c:pt idx="1">
                  <c:v>3459.4828276127791</c:v>
                </c:pt>
                <c:pt idx="2">
                  <c:v>6848.7616090073661</c:v>
                </c:pt>
                <c:pt idx="3">
                  <c:v>8560.2328385600995</c:v>
                </c:pt>
                <c:pt idx="4">
                  <c:v>8624.8579564472384</c:v>
                </c:pt>
                <c:pt idx="5">
                  <c:v>7125.8571026065019</c:v>
                </c:pt>
                <c:pt idx="6">
                  <c:v>4196.3481419270656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981-4798-8422-71D39111FE31}"/>
            </c:ext>
          </c:extLst>
        </c:ser>
        <c:ser>
          <c:idx val="14"/>
          <c:order val="14"/>
          <c:tx>
            <c:strRef>
              <c:f>IRS!$B$38</c:f>
              <c:strCache>
                <c:ptCount val="1"/>
                <c:pt idx="0">
                  <c:v>Simulation 15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IRS!$F$38:$M$38</c:f>
              <c:numCache>
                <c:formatCode>0</c:formatCode>
                <c:ptCount val="8"/>
                <c:pt idx="0">
                  <c:v>0</c:v>
                </c:pt>
                <c:pt idx="1">
                  <c:v>2191.6475228744139</c:v>
                </c:pt>
                <c:pt idx="2">
                  <c:v>5772.6148699154883</c:v>
                </c:pt>
                <c:pt idx="3">
                  <c:v>7691.4324417966063</c:v>
                </c:pt>
                <c:pt idx="4">
                  <c:v>7972.8925148304561</c:v>
                </c:pt>
                <c:pt idx="5">
                  <c:v>6694.4572204447668</c:v>
                </c:pt>
                <c:pt idx="6">
                  <c:v>3983.855496609327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981-4798-8422-71D39111FE31}"/>
            </c:ext>
          </c:extLst>
        </c:ser>
        <c:ser>
          <c:idx val="15"/>
          <c:order val="15"/>
          <c:tx>
            <c:strRef>
              <c:f>IRS!$B$39</c:f>
              <c:strCache>
                <c:ptCount val="1"/>
                <c:pt idx="0">
                  <c:v>Simulation 16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IRS!$F$39:$M$39</c:f>
              <c:numCache>
                <c:formatCode>0</c:formatCode>
                <c:ptCount val="8"/>
                <c:pt idx="0">
                  <c:v>812.3380413032196</c:v>
                </c:pt>
                <c:pt idx="1">
                  <c:v>5321.0443779610941</c:v>
                </c:pt>
                <c:pt idx="2">
                  <c:v>8219.6272604710302</c:v>
                </c:pt>
                <c:pt idx="3">
                  <c:v>9524.1035898194932</c:v>
                </c:pt>
                <c:pt idx="4">
                  <c:v>9256.9188773193036</c:v>
                </c:pt>
                <c:pt idx="5">
                  <c:v>7492.7439024232244</c:v>
                </c:pt>
                <c:pt idx="6">
                  <c:v>4355.6054821886546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981-4798-8422-71D39111FE31}"/>
            </c:ext>
          </c:extLst>
        </c:ser>
        <c:ser>
          <c:idx val="16"/>
          <c:order val="16"/>
          <c:tx>
            <c:strRef>
              <c:f>IRS!$B$40</c:f>
              <c:strCache>
                <c:ptCount val="1"/>
                <c:pt idx="0">
                  <c:v>Simulation 17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IRS!$F$40:$M$40</c:f>
              <c:numCache>
                <c:formatCode>0</c:formatCode>
                <c:ptCount val="8"/>
                <c:pt idx="0">
                  <c:v>2577.2623176917637</c:v>
                </c:pt>
                <c:pt idx="1">
                  <c:v>6796.2571656666696</c:v>
                </c:pt>
                <c:pt idx="2">
                  <c:v>9416.6779667363407</c:v>
                </c:pt>
                <c:pt idx="3">
                  <c:v>10454.462438924407</c:v>
                </c:pt>
                <c:pt idx="4">
                  <c:v>9933.2049494802122</c:v>
                </c:pt>
                <c:pt idx="5">
                  <c:v>7928.7878913814056</c:v>
                </c:pt>
                <c:pt idx="6">
                  <c:v>4566.0639086411538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981-4798-8422-71D39111FE31}"/>
            </c:ext>
          </c:extLst>
        </c:ser>
        <c:ser>
          <c:idx val="17"/>
          <c:order val="17"/>
          <c:tx>
            <c:strRef>
              <c:f>IRS!$B$41</c:f>
              <c:strCache>
                <c:ptCount val="1"/>
                <c:pt idx="0">
                  <c:v>Simulation 18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IRS!$F$41:$M$41</c:f>
              <c:numCache>
                <c:formatCode>0</c:formatCode>
                <c:ptCount val="8"/>
                <c:pt idx="0">
                  <c:v>3543.6718430168444</c:v>
                </c:pt>
                <c:pt idx="1">
                  <c:v>7570.7612905898695</c:v>
                </c:pt>
                <c:pt idx="2">
                  <c:v>10016.837049732674</c:v>
                </c:pt>
                <c:pt idx="3">
                  <c:v>10897.842403924336</c:v>
                </c:pt>
                <c:pt idx="4">
                  <c:v>10238.110203087894</c:v>
                </c:pt>
                <c:pt idx="5">
                  <c:v>8113.9224258206141</c:v>
                </c:pt>
                <c:pt idx="6">
                  <c:v>4649.8473931908266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981-4798-8422-71D39111FE31}"/>
            </c:ext>
          </c:extLst>
        </c:ser>
        <c:ser>
          <c:idx val="18"/>
          <c:order val="18"/>
          <c:tx>
            <c:strRef>
              <c:f>IRS!$B$42</c:f>
              <c:strCache>
                <c:ptCount val="1"/>
                <c:pt idx="0">
                  <c:v>Simulation 19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IRS!$F$42:$M$42</c:f>
              <c:numCache>
                <c:formatCode>0</c:formatCode>
                <c:ptCount val="8"/>
                <c:pt idx="0">
                  <c:v>4155.7224038593231</c:v>
                </c:pt>
                <c:pt idx="1">
                  <c:v>8075.4235763923825</c:v>
                </c:pt>
                <c:pt idx="2">
                  <c:v>10418.204404645086</c:v>
                </c:pt>
                <c:pt idx="3">
                  <c:v>11201.324719015018</c:v>
                </c:pt>
                <c:pt idx="4">
                  <c:v>10451.138928101758</c:v>
                </c:pt>
                <c:pt idx="5">
                  <c:v>8245.6309338203737</c:v>
                </c:pt>
                <c:pt idx="6">
                  <c:v>4710.4005410718846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981-4798-8422-71D39111FE31}"/>
            </c:ext>
          </c:extLst>
        </c:ser>
        <c:ser>
          <c:idx val="19"/>
          <c:order val="19"/>
          <c:tx>
            <c:strRef>
              <c:f>IRS!$B$43</c:f>
              <c:strCache>
                <c:ptCount val="1"/>
                <c:pt idx="0">
                  <c:v>Simulation 20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IRS!$F$43:$M$43</c:f>
              <c:numCache>
                <c:formatCode>0</c:formatCode>
                <c:ptCount val="8"/>
                <c:pt idx="0">
                  <c:v>3560.1953651295235</c:v>
                </c:pt>
                <c:pt idx="1">
                  <c:v>7571.2425738150851</c:v>
                </c:pt>
                <c:pt idx="2">
                  <c:v>10005.655876512345</c:v>
                </c:pt>
                <c:pt idx="3">
                  <c:v>10878.656573221924</c:v>
                </c:pt>
                <c:pt idx="4">
                  <c:v>10215.539335450128</c:v>
                </c:pt>
                <c:pt idx="5">
                  <c:v>8093.4135304883921</c:v>
                </c:pt>
                <c:pt idx="6">
                  <c:v>4636.9840308510493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981-4798-8422-71D39111FE31}"/>
            </c:ext>
          </c:extLst>
        </c:ser>
        <c:ser>
          <c:idx val="20"/>
          <c:order val="20"/>
          <c:tx>
            <c:strRef>
              <c:f>IRS!$B$44</c:f>
              <c:strCache>
                <c:ptCount val="1"/>
                <c:pt idx="0">
                  <c:v>Simulation 21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IRS!$F$44:$M$44</c:f>
              <c:numCache>
                <c:formatCode>0</c:formatCode>
                <c:ptCount val="8"/>
                <c:pt idx="0">
                  <c:v>3158.4941033184191</c:v>
                </c:pt>
                <c:pt idx="1">
                  <c:v>7218.181694479641</c:v>
                </c:pt>
                <c:pt idx="2">
                  <c:v>9708.3666423088507</c:v>
                </c:pt>
                <c:pt idx="3">
                  <c:v>10641.025447602895</c:v>
                </c:pt>
                <c:pt idx="4">
                  <c:v>10039.283078501339</c:v>
                </c:pt>
                <c:pt idx="5">
                  <c:v>7978.3681331242515</c:v>
                </c:pt>
                <c:pt idx="6">
                  <c:v>4581.206838879194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981-4798-8422-71D39111FE31}"/>
            </c:ext>
          </c:extLst>
        </c:ser>
        <c:ser>
          <c:idx val="21"/>
          <c:order val="21"/>
          <c:tx>
            <c:strRef>
              <c:f>IRS!$B$45</c:f>
              <c:strCache>
                <c:ptCount val="1"/>
                <c:pt idx="0">
                  <c:v>Simulation 22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IRS!$F$45:$M$45</c:f>
              <c:numCache>
                <c:formatCode>0</c:formatCode>
                <c:ptCount val="8"/>
                <c:pt idx="0">
                  <c:v>6281.6755184847625</c:v>
                </c:pt>
                <c:pt idx="1">
                  <c:v>9850.093964439824</c:v>
                </c:pt>
                <c:pt idx="2">
                  <c:v>11852.33948421694</c:v>
                </c:pt>
                <c:pt idx="3">
                  <c:v>12307.615533714477</c:v>
                </c:pt>
                <c:pt idx="4">
                  <c:v>11246.756079676979</c:v>
                </c:pt>
                <c:pt idx="5">
                  <c:v>8751.7878467608389</c:v>
                </c:pt>
                <c:pt idx="6">
                  <c:v>4950.9052930447269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981-4798-8422-71D39111FE31}"/>
            </c:ext>
          </c:extLst>
        </c:ser>
        <c:ser>
          <c:idx val="22"/>
          <c:order val="22"/>
          <c:tx>
            <c:strRef>
              <c:f>IRS!$B$46</c:f>
              <c:strCache>
                <c:ptCount val="1"/>
                <c:pt idx="0">
                  <c:v>Simulation 23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IRS!$F$46:$M$46</c:f>
              <c:numCache>
                <c:formatCode>0</c:formatCode>
                <c:ptCount val="8"/>
                <c:pt idx="0">
                  <c:v>6197.2989832525946</c:v>
                </c:pt>
                <c:pt idx="1">
                  <c:v>9701.7861156279469</c:v>
                </c:pt>
                <c:pt idx="2">
                  <c:v>11670.269662630948</c:v>
                </c:pt>
                <c:pt idx="3">
                  <c:v>12118.930655469369</c:v>
                </c:pt>
                <c:pt idx="4">
                  <c:v>11076.067979617408</c:v>
                </c:pt>
                <c:pt idx="5">
                  <c:v>8620.8288222887149</c:v>
                </c:pt>
                <c:pt idx="6">
                  <c:v>4878.0462218594066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981-4798-8422-71D39111FE31}"/>
            </c:ext>
          </c:extLst>
        </c:ser>
        <c:ser>
          <c:idx val="23"/>
          <c:order val="23"/>
          <c:tx>
            <c:strRef>
              <c:f>IRS!$B$47</c:f>
              <c:strCache>
                <c:ptCount val="1"/>
                <c:pt idx="0">
                  <c:v>Simulation 24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IRS!$F$47:$M$47</c:f>
              <c:numCache>
                <c:formatCode>0</c:formatCode>
                <c:ptCount val="8"/>
                <c:pt idx="0">
                  <c:v>5798.5052153497245</c:v>
                </c:pt>
                <c:pt idx="1">
                  <c:v>9238.6436481060809</c:v>
                </c:pt>
                <c:pt idx="2">
                  <c:v>11198.569814956589</c:v>
                </c:pt>
                <c:pt idx="3">
                  <c:v>11684.554272087877</c:v>
                </c:pt>
                <c:pt idx="4">
                  <c:v>10715.961739614377</c:v>
                </c:pt>
                <c:pt idx="5">
                  <c:v>8363.305359369695</c:v>
                </c:pt>
                <c:pt idx="6">
                  <c:v>4743.1087770924942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981-4798-8422-71D39111FE31}"/>
            </c:ext>
          </c:extLst>
        </c:ser>
        <c:ser>
          <c:idx val="24"/>
          <c:order val="24"/>
          <c:tx>
            <c:strRef>
              <c:f>IRS!$B$48</c:f>
              <c:strCache>
                <c:ptCount val="1"/>
                <c:pt idx="0">
                  <c:v>Simulation 25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IRS!$F$48:$M$48</c:f>
              <c:numCache>
                <c:formatCode>0</c:formatCode>
                <c:ptCount val="8"/>
                <c:pt idx="0">
                  <c:v>11056.480268864821</c:v>
                </c:pt>
                <c:pt idx="1">
                  <c:v>13564.509077599816</c:v>
                </c:pt>
                <c:pt idx="2">
                  <c:v>14650.096953305272</c:v>
                </c:pt>
                <c:pt idx="3">
                  <c:v>14320.972481133087</c:v>
                </c:pt>
                <c:pt idx="4">
                  <c:v>12598.768474596216</c:v>
                </c:pt>
                <c:pt idx="5">
                  <c:v>9555.5476579864408</c:v>
                </c:pt>
                <c:pt idx="6">
                  <c:v>5308.0798469892015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981-4798-8422-71D39111FE31}"/>
            </c:ext>
          </c:extLst>
        </c:ser>
        <c:ser>
          <c:idx val="25"/>
          <c:order val="25"/>
          <c:tx>
            <c:strRef>
              <c:f>IRS!$B$49</c:f>
              <c:strCache>
                <c:ptCount val="1"/>
                <c:pt idx="0">
                  <c:v>Simulation 26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IRS!$F$49:$M$49</c:f>
              <c:numCache>
                <c:formatCode>0</c:formatCode>
                <c:ptCount val="8"/>
                <c:pt idx="0">
                  <c:v>8910.7015169761962</c:v>
                </c:pt>
                <c:pt idx="1">
                  <c:v>11726.170018624158</c:v>
                </c:pt>
                <c:pt idx="2">
                  <c:v>13132.495924444243</c:v>
                </c:pt>
                <c:pt idx="3">
                  <c:v>13128.029941009958</c:v>
                </c:pt>
                <c:pt idx="4">
                  <c:v>11726.4084906481</c:v>
                </c:pt>
                <c:pt idx="5">
                  <c:v>8992.6616566020348</c:v>
                </c:pt>
                <c:pt idx="6">
                  <c:v>5037.5615763825454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981-4798-8422-71D39111FE31}"/>
            </c:ext>
          </c:extLst>
        </c:ser>
        <c:ser>
          <c:idx val="26"/>
          <c:order val="26"/>
          <c:tx>
            <c:strRef>
              <c:f>IRS!$B$50</c:f>
              <c:strCache>
                <c:ptCount val="1"/>
                <c:pt idx="0">
                  <c:v>Simulation 27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IRS!$F$50:$M$50</c:f>
              <c:numCache>
                <c:formatCode>0</c:formatCode>
                <c:ptCount val="8"/>
                <c:pt idx="0">
                  <c:v>9533.3826125582582</c:v>
                </c:pt>
                <c:pt idx="1">
                  <c:v>12310.628338456932</c:v>
                </c:pt>
                <c:pt idx="2">
                  <c:v>13651.997283224599</c:v>
                </c:pt>
                <c:pt idx="3">
                  <c:v>13561.654196599375</c:v>
                </c:pt>
                <c:pt idx="4">
                  <c:v>12059.598165631869</c:v>
                </c:pt>
                <c:pt idx="5">
                  <c:v>9216.8143869313935</c:v>
                </c:pt>
                <c:pt idx="6">
                  <c:v>5149.2210560028934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981-4798-8422-71D39111FE31}"/>
            </c:ext>
          </c:extLst>
        </c:ser>
        <c:ser>
          <c:idx val="27"/>
          <c:order val="27"/>
          <c:tx>
            <c:strRef>
              <c:f>IRS!$B$51</c:f>
              <c:strCache>
                <c:ptCount val="1"/>
                <c:pt idx="0">
                  <c:v>Simulation 28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IRS!$F$51:$M$51</c:f>
              <c:numCache>
                <c:formatCode>0</c:formatCode>
                <c:ptCount val="8"/>
                <c:pt idx="0">
                  <c:v>10172.236920788571</c:v>
                </c:pt>
                <c:pt idx="1">
                  <c:v>12837.017144597385</c:v>
                </c:pt>
                <c:pt idx="2">
                  <c:v>14069.673691539461</c:v>
                </c:pt>
                <c:pt idx="3">
                  <c:v>13876.338686452193</c:v>
                </c:pt>
                <c:pt idx="4">
                  <c:v>12279.428648686076</c:v>
                </c:pt>
                <c:pt idx="5">
                  <c:v>9351.8840161791595</c:v>
                </c:pt>
                <c:pt idx="6">
                  <c:v>5210.8324331458025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981-4798-8422-71D39111FE31}"/>
            </c:ext>
          </c:extLst>
        </c:ser>
        <c:ser>
          <c:idx val="28"/>
          <c:order val="28"/>
          <c:tx>
            <c:strRef>
              <c:f>IRS!$B$52</c:f>
              <c:strCache>
                <c:ptCount val="1"/>
                <c:pt idx="0">
                  <c:v>Simulation 29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IRS!$F$52:$M$52</c:f>
              <c:numCache>
                <c:formatCode>0</c:formatCode>
                <c:ptCount val="8"/>
                <c:pt idx="0">
                  <c:v>5680.5948086578646</c:v>
                </c:pt>
                <c:pt idx="1">
                  <c:v>9222.5879384264117</c:v>
                </c:pt>
                <c:pt idx="2">
                  <c:v>11249.131875735678</c:v>
                </c:pt>
                <c:pt idx="3">
                  <c:v>11768.392763864162</c:v>
                </c:pt>
                <c:pt idx="4">
                  <c:v>10805.788870262879</c:v>
                </c:pt>
                <c:pt idx="5">
                  <c:v>8437.9836525268729</c:v>
                </c:pt>
                <c:pt idx="6">
                  <c:v>4786.484747048723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981-4798-8422-71D39111FE31}"/>
            </c:ext>
          </c:extLst>
        </c:ser>
        <c:ser>
          <c:idx val="29"/>
          <c:order val="29"/>
          <c:tx>
            <c:strRef>
              <c:f>IRS!$B$53</c:f>
              <c:strCache>
                <c:ptCount val="1"/>
                <c:pt idx="0">
                  <c:v>Simulation 30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IRS!$F$53:$M$53</c:f>
              <c:numCache>
                <c:formatCode>0</c:formatCode>
                <c:ptCount val="8"/>
                <c:pt idx="0">
                  <c:v>6760.876574072835</c:v>
                </c:pt>
                <c:pt idx="1">
                  <c:v>10225.27500353327</c:v>
                </c:pt>
                <c:pt idx="2">
                  <c:v>12134.323983634167</c:v>
                </c:pt>
                <c:pt idx="3">
                  <c:v>12504.763567076636</c:v>
                </c:pt>
                <c:pt idx="4">
                  <c:v>11371.124159202196</c:v>
                </c:pt>
                <c:pt idx="5">
                  <c:v>8818.6844308949003</c:v>
                </c:pt>
                <c:pt idx="6">
                  <c:v>4976.5740021061911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981-4798-8422-71D39111FE31}"/>
            </c:ext>
          </c:extLst>
        </c:ser>
        <c:ser>
          <c:idx val="30"/>
          <c:order val="30"/>
          <c:tx>
            <c:strRef>
              <c:f>IRS!$B$54</c:f>
              <c:strCache>
                <c:ptCount val="1"/>
                <c:pt idx="0">
                  <c:v>Simulation 31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IRS!$F$54:$M$54</c:f>
              <c:numCache>
                <c:formatCode>0</c:formatCode>
                <c:ptCount val="8"/>
                <c:pt idx="0">
                  <c:v>6132.8650402755557</c:v>
                </c:pt>
                <c:pt idx="1">
                  <c:v>9757.591367746114</c:v>
                </c:pt>
                <c:pt idx="2">
                  <c:v>11803.887510787054</c:v>
                </c:pt>
                <c:pt idx="3">
                  <c:v>12287.190721311506</c:v>
                </c:pt>
                <c:pt idx="4">
                  <c:v>11242.068865572477</c:v>
                </c:pt>
                <c:pt idx="5">
                  <c:v>8754.5231173409011</c:v>
                </c:pt>
                <c:pt idx="6">
                  <c:v>4954.8785140830696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981-4798-8422-71D39111FE31}"/>
            </c:ext>
          </c:extLst>
        </c:ser>
        <c:ser>
          <c:idx val="31"/>
          <c:order val="31"/>
          <c:tx>
            <c:strRef>
              <c:f>IRS!$B$55</c:f>
              <c:strCache>
                <c:ptCount val="1"/>
                <c:pt idx="0">
                  <c:v>Simulation 32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IRS!$F$55:$M$55</c:f>
              <c:numCache>
                <c:formatCode>0</c:formatCode>
                <c:ptCount val="8"/>
                <c:pt idx="0">
                  <c:v>8105.5124585443746</c:v>
                </c:pt>
                <c:pt idx="1">
                  <c:v>11460.966072437226</c:v>
                </c:pt>
                <c:pt idx="2">
                  <c:v>13230.002315423168</c:v>
                </c:pt>
                <c:pt idx="3">
                  <c:v>13429.515963524864</c:v>
                </c:pt>
                <c:pt idx="4">
                  <c:v>12096.845717966578</c:v>
                </c:pt>
                <c:pt idx="5">
                  <c:v>9321.086436867492</c:v>
                </c:pt>
                <c:pt idx="6">
                  <c:v>5235.5675928709834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A981-4798-8422-71D39111FE31}"/>
            </c:ext>
          </c:extLst>
        </c:ser>
        <c:ser>
          <c:idx val="32"/>
          <c:order val="32"/>
          <c:tx>
            <c:strRef>
              <c:f>IRS!$B$56</c:f>
              <c:strCache>
                <c:ptCount val="1"/>
                <c:pt idx="0">
                  <c:v>Simulation 33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IRS!$F$56:$M$56</c:f>
              <c:numCache>
                <c:formatCode>0</c:formatCode>
                <c:ptCount val="8"/>
                <c:pt idx="0">
                  <c:v>7142.0640845037178</c:v>
                </c:pt>
                <c:pt idx="1">
                  <c:v>10687.006223570792</c:v>
                </c:pt>
                <c:pt idx="2">
                  <c:v>12631.552434513533</c:v>
                </c:pt>
                <c:pt idx="3">
                  <c:v>12989.607273556441</c:v>
                </c:pt>
                <c:pt idx="4">
                  <c:v>11796.788147923724</c:v>
                </c:pt>
                <c:pt idx="5">
                  <c:v>9141.1661032503744</c:v>
                </c:pt>
                <c:pt idx="6">
                  <c:v>5155.614172317155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A981-4798-8422-71D39111FE31}"/>
            </c:ext>
          </c:extLst>
        </c:ser>
        <c:ser>
          <c:idx val="33"/>
          <c:order val="33"/>
          <c:tx>
            <c:strRef>
              <c:f>IRS!$B$57</c:f>
              <c:strCache>
                <c:ptCount val="1"/>
                <c:pt idx="0">
                  <c:v>Simulation 34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IRS!$F$57:$M$57</c:f>
              <c:numCache>
                <c:formatCode>0</c:formatCode>
                <c:ptCount val="8"/>
                <c:pt idx="0">
                  <c:v>3559.9741127872353</c:v>
                </c:pt>
                <c:pt idx="1">
                  <c:v>7738.1491557346253</c:v>
                </c:pt>
                <c:pt idx="2">
                  <c:v>10276.866361103666</c:v>
                </c:pt>
                <c:pt idx="3">
                  <c:v>11188.551592378102</c:v>
                </c:pt>
                <c:pt idx="4">
                  <c:v>10508.086207162689</c:v>
                </c:pt>
                <c:pt idx="5">
                  <c:v>8323.2408548588319</c:v>
                </c:pt>
                <c:pt idx="6">
                  <c:v>4767.032927434273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A981-4798-8422-71D39111FE31}"/>
            </c:ext>
          </c:extLst>
        </c:ser>
        <c:ser>
          <c:idx val="34"/>
          <c:order val="34"/>
          <c:tx>
            <c:strRef>
              <c:f>IRS!$B$58</c:f>
              <c:strCache>
                <c:ptCount val="1"/>
                <c:pt idx="0">
                  <c:v>Simulation 35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IRS!$F$58:$M$58</c:f>
              <c:numCache>
                <c:formatCode>0</c:formatCode>
                <c:ptCount val="8"/>
                <c:pt idx="0">
                  <c:v>2186.1410949412548</c:v>
                </c:pt>
                <c:pt idx="1">
                  <c:v>6543.217154276268</c:v>
                </c:pt>
                <c:pt idx="2">
                  <c:v>9277.7846110792416</c:v>
                </c:pt>
                <c:pt idx="3">
                  <c:v>10394.651157039665</c:v>
                </c:pt>
                <c:pt idx="4">
                  <c:v>9922.1726618114444</c:v>
                </c:pt>
                <c:pt idx="5">
                  <c:v>7942.2542690217761</c:v>
                </c:pt>
                <c:pt idx="6">
                  <c:v>4582.760958130857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981-4798-8422-71D39111FE31}"/>
            </c:ext>
          </c:extLst>
        </c:ser>
        <c:ser>
          <c:idx val="35"/>
          <c:order val="35"/>
          <c:tx>
            <c:strRef>
              <c:f>IRS!$B$59</c:f>
              <c:strCache>
                <c:ptCount val="1"/>
                <c:pt idx="0">
                  <c:v>Simulation 36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IRS!$F$59:$M$59</c:f>
              <c:numCache>
                <c:formatCode>0</c:formatCode>
                <c:ptCount val="8"/>
                <c:pt idx="0">
                  <c:v>2636.9100525041813</c:v>
                </c:pt>
                <c:pt idx="1">
                  <c:v>6844.5599526647202</c:v>
                </c:pt>
                <c:pt idx="2">
                  <c:v>9470.2265857574639</c:v>
                </c:pt>
                <c:pt idx="3">
                  <c:v>10510.490702212102</c:v>
                </c:pt>
                <c:pt idx="4">
                  <c:v>9986.660028693881</c:v>
                </c:pt>
                <c:pt idx="5">
                  <c:v>7974.1536275973122</c:v>
                </c:pt>
                <c:pt idx="6">
                  <c:v>4594.8918224437211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981-4798-8422-71D39111FE31}"/>
            </c:ext>
          </c:extLst>
        </c:ser>
        <c:ser>
          <c:idx val="36"/>
          <c:order val="36"/>
          <c:tx>
            <c:strRef>
              <c:f>IRS!$B$60</c:f>
              <c:strCache>
                <c:ptCount val="1"/>
                <c:pt idx="0">
                  <c:v>Simulation 37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IRS!$F$60:$M$60</c:f>
              <c:numCache>
                <c:formatCode>0</c:formatCode>
                <c:ptCount val="8"/>
                <c:pt idx="0">
                  <c:v>472.75138680653254</c:v>
                </c:pt>
                <c:pt idx="1">
                  <c:v>5043.7487116749189</c:v>
                </c:pt>
                <c:pt idx="2">
                  <c:v>8021.8209905079511</c:v>
                </c:pt>
                <c:pt idx="3">
                  <c:v>9398.3072914359036</c:v>
                </c:pt>
                <c:pt idx="4">
                  <c:v>9190.3905630286499</c:v>
                </c:pt>
                <c:pt idx="5">
                  <c:v>7470.123199557338</c:v>
                </c:pt>
                <c:pt idx="6">
                  <c:v>4356.8422814773885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981-4798-8422-71D39111FE31}"/>
            </c:ext>
          </c:extLst>
        </c:ser>
        <c:ser>
          <c:idx val="37"/>
          <c:order val="37"/>
          <c:tx>
            <c:strRef>
              <c:f>IRS!$B$61</c:f>
              <c:strCache>
                <c:ptCount val="1"/>
                <c:pt idx="0">
                  <c:v>Simulation 38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IRS!$F$61:$M$61</c:f>
              <c:numCache>
                <c:formatCode>0</c:formatCode>
                <c:ptCount val="8"/>
                <c:pt idx="0">
                  <c:v>61.83354220846013</c:v>
                </c:pt>
                <c:pt idx="1">
                  <c:v>4740.7323194289202</c:v>
                </c:pt>
                <c:pt idx="2">
                  <c:v>7811.6385664149966</c:v>
                </c:pt>
                <c:pt idx="3">
                  <c:v>9264.1870065886214</c:v>
                </c:pt>
                <c:pt idx="4">
                  <c:v>9115.0424695674101</c:v>
                </c:pt>
                <c:pt idx="5">
                  <c:v>7436.323018510474</c:v>
                </c:pt>
                <c:pt idx="6">
                  <c:v>4347.8503404630228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981-4798-8422-71D39111FE31}"/>
            </c:ext>
          </c:extLst>
        </c:ser>
        <c:ser>
          <c:idx val="38"/>
          <c:order val="38"/>
          <c:tx>
            <c:strRef>
              <c:f>IRS!$B$62</c:f>
              <c:strCache>
                <c:ptCount val="1"/>
                <c:pt idx="0">
                  <c:v>Simulation 39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IRS!$F$62:$M$62</c:f>
              <c:numCache>
                <c:formatCode>0</c:formatCode>
                <c:ptCount val="8"/>
                <c:pt idx="0">
                  <c:v>2568.3257930129625</c:v>
                </c:pt>
                <c:pt idx="1">
                  <c:v>6836.5391648443747</c:v>
                </c:pt>
                <c:pt idx="2">
                  <c:v>9507.1578910117423</c:v>
                </c:pt>
                <c:pt idx="3">
                  <c:v>10574.250482767437</c:v>
                </c:pt>
                <c:pt idx="4">
                  <c:v>10059.275065204292</c:v>
                </c:pt>
                <c:pt idx="5">
                  <c:v>8038.4458843076318</c:v>
                </c:pt>
                <c:pt idx="6">
                  <c:v>4634.5890401274828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981-4798-8422-71D39111FE31}"/>
            </c:ext>
          </c:extLst>
        </c:ser>
        <c:ser>
          <c:idx val="39"/>
          <c:order val="39"/>
          <c:tx>
            <c:strRef>
              <c:f>IRS!$B$63</c:f>
              <c:strCache>
                <c:ptCount val="1"/>
                <c:pt idx="0">
                  <c:v>Simulation 40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IRS!$F$63:$M$63</c:f>
              <c:numCache>
                <c:formatCode>0</c:formatCode>
                <c:ptCount val="8"/>
                <c:pt idx="0">
                  <c:v>3924.877504336936</c:v>
                </c:pt>
                <c:pt idx="1">
                  <c:v>8020.1498349429148</c:v>
                </c:pt>
                <c:pt idx="2">
                  <c:v>10510.716498429687</c:v>
                </c:pt>
                <c:pt idx="3">
                  <c:v>11389.676437760287</c:v>
                </c:pt>
                <c:pt idx="4">
                  <c:v>10678.960874063303</c:v>
                </c:pt>
                <c:pt idx="5">
                  <c:v>8455.9185799729166</c:v>
                </c:pt>
                <c:pt idx="6">
                  <c:v>4844.8855333400079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981-4798-8422-71D39111FE31}"/>
            </c:ext>
          </c:extLst>
        </c:ser>
        <c:ser>
          <c:idx val="40"/>
          <c:order val="40"/>
          <c:tx>
            <c:strRef>
              <c:f>IRS!$B$64</c:f>
              <c:strCache>
                <c:ptCount val="1"/>
                <c:pt idx="0">
                  <c:v>Simulation 41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IRS!$F$64:$M$64</c:f>
              <c:numCache>
                <c:formatCode>0</c:formatCode>
                <c:ptCount val="8"/>
                <c:pt idx="0">
                  <c:v>5115.5455759040615</c:v>
                </c:pt>
                <c:pt idx="1">
                  <c:v>8977.8630897980474</c:v>
                </c:pt>
                <c:pt idx="2">
                  <c:v>11258.738145114521</c:v>
                </c:pt>
                <c:pt idx="3">
                  <c:v>11949.592761742502</c:v>
                </c:pt>
                <c:pt idx="4">
                  <c:v>11071.322754278928</c:v>
                </c:pt>
                <c:pt idx="5">
                  <c:v>8700.1137798717955</c:v>
                </c:pt>
                <c:pt idx="6">
                  <c:v>4958.8398188326591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981-4798-8422-71D39111FE31}"/>
            </c:ext>
          </c:extLst>
        </c:ser>
        <c:ser>
          <c:idx val="41"/>
          <c:order val="41"/>
          <c:tx>
            <c:strRef>
              <c:f>IRS!$B$65</c:f>
              <c:strCache>
                <c:ptCount val="1"/>
                <c:pt idx="0">
                  <c:v>Simulation 42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IRS!$F$65:$M$65</c:f>
              <c:numCache>
                <c:formatCode>0</c:formatCode>
                <c:ptCount val="8"/>
                <c:pt idx="0">
                  <c:v>4656.5474491460946</c:v>
                </c:pt>
                <c:pt idx="1">
                  <c:v>8627.7753521423656</c:v>
                </c:pt>
                <c:pt idx="2">
                  <c:v>11002.174053293114</c:v>
                </c:pt>
                <c:pt idx="3">
                  <c:v>11771.194574651083</c:v>
                </c:pt>
                <c:pt idx="4">
                  <c:v>10956.575168003419</c:v>
                </c:pt>
                <c:pt idx="5">
                  <c:v>8635.559561447868</c:v>
                </c:pt>
                <c:pt idx="6">
                  <c:v>4932.1354611462457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981-4798-8422-71D39111FE31}"/>
            </c:ext>
          </c:extLst>
        </c:ser>
        <c:ser>
          <c:idx val="42"/>
          <c:order val="42"/>
          <c:tx>
            <c:strRef>
              <c:f>IRS!$B$66</c:f>
              <c:strCache>
                <c:ptCount val="1"/>
                <c:pt idx="0">
                  <c:v>Simulation 43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IRS!$F$66:$M$66</c:f>
              <c:numCache>
                <c:formatCode>0</c:formatCode>
                <c:ptCount val="8"/>
                <c:pt idx="0">
                  <c:v>3736.4128532440745</c:v>
                </c:pt>
                <c:pt idx="1">
                  <c:v>7859.8197319239553</c:v>
                </c:pt>
                <c:pt idx="2">
                  <c:v>10375.646682025377</c:v>
                </c:pt>
                <c:pt idx="3">
                  <c:v>11277.898275440188</c:v>
                </c:pt>
                <c:pt idx="4">
                  <c:v>10590.894768412476</c:v>
                </c:pt>
                <c:pt idx="5">
                  <c:v>8393.8796685315338</c:v>
                </c:pt>
                <c:pt idx="6">
                  <c:v>4812.1269674819205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A981-4798-8422-71D39111FE31}"/>
            </c:ext>
          </c:extLst>
        </c:ser>
        <c:ser>
          <c:idx val="43"/>
          <c:order val="43"/>
          <c:tx>
            <c:strRef>
              <c:f>IRS!$B$67</c:f>
              <c:strCache>
                <c:ptCount val="1"/>
                <c:pt idx="0">
                  <c:v>Simulation 44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IRS!$F$67:$M$67</c:f>
              <c:numCache>
                <c:formatCode>0</c:formatCode>
                <c:ptCount val="8"/>
                <c:pt idx="0">
                  <c:v>3863.7633504570981</c:v>
                </c:pt>
                <c:pt idx="1">
                  <c:v>7950.1974239011815</c:v>
                </c:pt>
                <c:pt idx="2">
                  <c:v>10433.561290087982</c:v>
                </c:pt>
                <c:pt idx="3">
                  <c:v>11308.993614368064</c:v>
                </c:pt>
                <c:pt idx="4">
                  <c:v>10602.175795617932</c:v>
                </c:pt>
                <c:pt idx="5">
                  <c:v>8393.2576924238801</c:v>
                </c:pt>
                <c:pt idx="6">
                  <c:v>4807.8128160813603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A981-4798-8422-71D39111FE31}"/>
            </c:ext>
          </c:extLst>
        </c:ser>
        <c:ser>
          <c:idx val="44"/>
          <c:order val="44"/>
          <c:tx>
            <c:strRef>
              <c:f>IRS!$B$68</c:f>
              <c:strCache>
                <c:ptCount val="1"/>
                <c:pt idx="0">
                  <c:v>Simulation 45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IRS!$F$68:$M$68</c:f>
              <c:numCache>
                <c:formatCode>0</c:formatCode>
                <c:ptCount val="8"/>
                <c:pt idx="0">
                  <c:v>0</c:v>
                </c:pt>
                <c:pt idx="1">
                  <c:v>2148.3266381188869</c:v>
                </c:pt>
                <c:pt idx="2">
                  <c:v>5750.344711567247</c:v>
                </c:pt>
                <c:pt idx="3">
                  <c:v>7691.8263969709724</c:v>
                </c:pt>
                <c:pt idx="4">
                  <c:v>7991.5229866199188</c:v>
                </c:pt>
                <c:pt idx="5">
                  <c:v>6723.6966798544254</c:v>
                </c:pt>
                <c:pt idx="6">
                  <c:v>4009.4304867497281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A981-4798-8422-71D39111FE31}"/>
            </c:ext>
          </c:extLst>
        </c:ser>
        <c:ser>
          <c:idx val="45"/>
          <c:order val="45"/>
          <c:tx>
            <c:strRef>
              <c:f>IRS!$B$69</c:f>
              <c:strCache>
                <c:ptCount val="1"/>
                <c:pt idx="0">
                  <c:v>Simulation 46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IRS!$F$69:$M$69</c:f>
              <c:numCache>
                <c:formatCode>0</c:formatCode>
                <c:ptCount val="8"/>
                <c:pt idx="0">
                  <c:v>0</c:v>
                </c:pt>
                <c:pt idx="1">
                  <c:v>4499.6465029062056</c:v>
                </c:pt>
                <c:pt idx="2">
                  <c:v>7578.7490939905556</c:v>
                </c:pt>
                <c:pt idx="3">
                  <c:v>9049.1681207016081</c:v>
                </c:pt>
                <c:pt idx="4">
                  <c:v>8930.9868241706063</c:v>
                </c:pt>
                <c:pt idx="5">
                  <c:v>7298.6488733110837</c:v>
                </c:pt>
                <c:pt idx="6">
                  <c:v>4272.032745224632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A981-4798-8422-71D39111FE31}"/>
            </c:ext>
          </c:extLst>
        </c:ser>
        <c:ser>
          <c:idx val="46"/>
          <c:order val="46"/>
          <c:tx>
            <c:strRef>
              <c:f>IRS!$B$70</c:f>
              <c:strCache>
                <c:ptCount val="1"/>
                <c:pt idx="0">
                  <c:v>Simulation 47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IRS!$F$70:$M$70</c:f>
              <c:numCache>
                <c:formatCode>0</c:formatCode>
                <c:ptCount val="8"/>
                <c:pt idx="0">
                  <c:v>1209.5149177994535</c:v>
                </c:pt>
                <c:pt idx="1">
                  <c:v>5672.1776825870611</c:v>
                </c:pt>
                <c:pt idx="2">
                  <c:v>8540.9870711585208</c:v>
                </c:pt>
                <c:pt idx="3">
                  <c:v>9805.3886533591794</c:v>
                </c:pt>
                <c:pt idx="4">
                  <c:v>9486.7644814673404</c:v>
                </c:pt>
                <c:pt idx="5">
                  <c:v>7660.8745467495373</c:v>
                </c:pt>
                <c:pt idx="6">
                  <c:v>4448.6972063238418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A981-4798-8422-71D39111FE31}"/>
            </c:ext>
          </c:extLst>
        </c:ser>
        <c:ser>
          <c:idx val="47"/>
          <c:order val="47"/>
          <c:tx>
            <c:strRef>
              <c:f>IRS!$B$71</c:f>
              <c:strCache>
                <c:ptCount val="1"/>
                <c:pt idx="0">
                  <c:v>Simulation 48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IRS!$F$71:$M$71</c:f>
              <c:numCache>
                <c:formatCode>0</c:formatCode>
                <c:ptCount val="8"/>
                <c:pt idx="0">
                  <c:v>1740.7738267747604</c:v>
                </c:pt>
                <c:pt idx="1">
                  <c:v>6134.3460138881019</c:v>
                </c:pt>
                <c:pt idx="2">
                  <c:v>8925.7223453243987</c:v>
                </c:pt>
                <c:pt idx="3">
                  <c:v>10108.141501321563</c:v>
                </c:pt>
                <c:pt idx="4">
                  <c:v>9706.9769768936494</c:v>
                </c:pt>
                <c:pt idx="5">
                  <c:v>7801.4453158221568</c:v>
                </c:pt>
                <c:pt idx="6">
                  <c:v>4515.2144974044922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A981-4798-8422-71D39111FE31}"/>
            </c:ext>
          </c:extLst>
        </c:ser>
        <c:ser>
          <c:idx val="48"/>
          <c:order val="48"/>
          <c:tx>
            <c:strRef>
              <c:f>IRS!$B$72</c:f>
              <c:strCache>
                <c:ptCount val="1"/>
                <c:pt idx="0">
                  <c:v>Simulation 49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IRS!$F$72:$M$72</c:f>
              <c:numCache>
                <c:formatCode>0</c:formatCode>
                <c:ptCount val="8"/>
                <c:pt idx="0">
                  <c:v>363.53176159738587</c:v>
                </c:pt>
                <c:pt idx="1">
                  <c:v>5033.6947362102674</c:v>
                </c:pt>
                <c:pt idx="2">
                  <c:v>8074.7052661183088</c:v>
                </c:pt>
                <c:pt idx="3">
                  <c:v>9479.3537069312442</c:v>
                </c:pt>
                <c:pt idx="4">
                  <c:v>9273.419595933301</c:v>
                </c:pt>
                <c:pt idx="5">
                  <c:v>7536.9431340145184</c:v>
                </c:pt>
                <c:pt idx="6">
                  <c:v>4394.7375514418409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A981-4798-8422-71D39111FE31}"/>
            </c:ext>
          </c:extLst>
        </c:ser>
        <c:ser>
          <c:idx val="49"/>
          <c:order val="49"/>
          <c:tx>
            <c:strRef>
              <c:f>IRS!$B$73</c:f>
              <c:strCache>
                <c:ptCount val="1"/>
                <c:pt idx="0">
                  <c:v>Simulation 50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IRS!$F$73:$M$73</c:f>
              <c:numCache>
                <c:formatCode>0</c:formatCode>
                <c:ptCount val="8"/>
                <c:pt idx="0">
                  <c:v>0</c:v>
                </c:pt>
                <c:pt idx="1">
                  <c:v>1574.6862898413879</c:v>
                </c:pt>
                <c:pt idx="2">
                  <c:v>5304.6324031894274</c:v>
                </c:pt>
                <c:pt idx="3">
                  <c:v>7360.2122706526989</c:v>
                </c:pt>
                <c:pt idx="4">
                  <c:v>7760.9502783497283</c:v>
                </c:pt>
                <c:pt idx="5">
                  <c:v>6581.9330887173128</c:v>
                </c:pt>
                <c:pt idx="6">
                  <c:v>3944.5050986622368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A981-4798-8422-71D39111FE31}"/>
            </c:ext>
          </c:extLst>
        </c:ser>
        <c:ser>
          <c:idx val="50"/>
          <c:order val="50"/>
          <c:tx>
            <c:strRef>
              <c:f>IRS!$B$74</c:f>
              <c:strCache>
                <c:ptCount val="1"/>
                <c:pt idx="0">
                  <c:v>Simulation 51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IRS!$F$74:$M$74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2856.7749530590672</c:v>
                </c:pt>
                <c:pt idx="3">
                  <c:v>5428.2223952409477</c:v>
                </c:pt>
                <c:pt idx="4">
                  <c:v>6339.8515761540166</c:v>
                </c:pt>
                <c:pt idx="5">
                  <c:v>5658.0517054001048</c:v>
                </c:pt>
                <c:pt idx="6">
                  <c:v>3496.4605405136635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A981-4798-8422-71D39111FE31}"/>
            </c:ext>
          </c:extLst>
        </c:ser>
        <c:ser>
          <c:idx val="51"/>
          <c:order val="51"/>
          <c:tx>
            <c:strRef>
              <c:f>IRS!$B$75</c:f>
              <c:strCache>
                <c:ptCount val="1"/>
                <c:pt idx="0">
                  <c:v>Simulation 52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IRS!$F$75:$M$75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3679.839756028312</c:v>
                </c:pt>
                <c:pt idx="3">
                  <c:v>6127.5575065151716</c:v>
                </c:pt>
                <c:pt idx="4">
                  <c:v>6901.8176046672088</c:v>
                </c:pt>
                <c:pt idx="5">
                  <c:v>6061.5368885555617</c:v>
                </c:pt>
                <c:pt idx="6">
                  <c:v>3714.1684119573652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A981-4798-8422-71D39111FE31}"/>
            </c:ext>
          </c:extLst>
        </c:ser>
        <c:ser>
          <c:idx val="52"/>
          <c:order val="52"/>
          <c:tx>
            <c:strRef>
              <c:f>IRS!$B$76</c:f>
              <c:strCache>
                <c:ptCount val="1"/>
                <c:pt idx="0">
                  <c:v>Simulation 53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IRS!$F$76:$M$76</c:f>
              <c:numCache>
                <c:formatCode>0</c:formatCode>
                <c:ptCount val="8"/>
                <c:pt idx="0">
                  <c:v>0</c:v>
                </c:pt>
                <c:pt idx="1">
                  <c:v>988.7318339663484</c:v>
                </c:pt>
                <c:pt idx="2">
                  <c:v>4799.8070021224521</c:v>
                </c:pt>
                <c:pt idx="3">
                  <c:v>6969.397393274071</c:v>
                </c:pt>
                <c:pt idx="4">
                  <c:v>7495.824760629127</c:v>
                </c:pt>
                <c:pt idx="5">
                  <c:v>6434.7743055639385</c:v>
                </c:pt>
                <c:pt idx="6">
                  <c:v>3890.4455726406072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A981-4798-8422-71D39111FE31}"/>
            </c:ext>
          </c:extLst>
        </c:ser>
        <c:ser>
          <c:idx val="53"/>
          <c:order val="53"/>
          <c:tx>
            <c:strRef>
              <c:f>IRS!$B$77</c:f>
              <c:strCache>
                <c:ptCount val="1"/>
                <c:pt idx="0">
                  <c:v>Simulation 54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IRS!$F$77:$M$77</c:f>
              <c:numCache>
                <c:formatCode>0</c:formatCode>
                <c:ptCount val="8"/>
                <c:pt idx="0">
                  <c:v>0</c:v>
                </c:pt>
                <c:pt idx="1">
                  <c:v>1914.8267957927633</c:v>
                </c:pt>
                <c:pt idx="2">
                  <c:v>5564.8169476772082</c:v>
                </c:pt>
                <c:pt idx="3">
                  <c:v>7573.2304746997252</c:v>
                </c:pt>
                <c:pt idx="4">
                  <c:v>7940.6363265894679</c:v>
                </c:pt>
                <c:pt idx="5">
                  <c:v>6724.8263077652773</c:v>
                </c:pt>
                <c:pt idx="6">
                  <c:v>4031.7552584331706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A981-4798-8422-71D39111FE31}"/>
            </c:ext>
          </c:extLst>
        </c:ser>
        <c:ser>
          <c:idx val="54"/>
          <c:order val="54"/>
          <c:tx>
            <c:strRef>
              <c:f>IRS!$B$78</c:f>
              <c:strCache>
                <c:ptCount val="1"/>
                <c:pt idx="0">
                  <c:v>Simulation 55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IRS!$F$78:$M$78</c:f>
              <c:numCache>
                <c:formatCode>0</c:formatCode>
                <c:ptCount val="8"/>
                <c:pt idx="0">
                  <c:v>0</c:v>
                </c:pt>
                <c:pt idx="1">
                  <c:v>1737.0593071485896</c:v>
                </c:pt>
                <c:pt idx="2">
                  <c:v>5509.4229083540995</c:v>
                </c:pt>
                <c:pt idx="3">
                  <c:v>7593.9406311408566</c:v>
                </c:pt>
                <c:pt idx="4">
                  <c:v>7998.1396285353221</c:v>
                </c:pt>
                <c:pt idx="5">
                  <c:v>6786.7699407841319</c:v>
                </c:pt>
                <c:pt idx="6">
                  <c:v>4072.4522139261117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A981-4798-8422-71D39111FE31}"/>
            </c:ext>
          </c:extLst>
        </c:ser>
        <c:ser>
          <c:idx val="55"/>
          <c:order val="55"/>
          <c:tx>
            <c:strRef>
              <c:f>IRS!$B$79</c:f>
              <c:strCache>
                <c:ptCount val="1"/>
                <c:pt idx="0">
                  <c:v>Simulation 56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IRS!$F$79:$M$79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3489.1683148293646</c:v>
                </c:pt>
                <c:pt idx="3">
                  <c:v>6054.6107259639548</c:v>
                </c:pt>
                <c:pt idx="4">
                  <c:v>6903.3395397256691</c:v>
                </c:pt>
                <c:pt idx="5">
                  <c:v>6097.6119437700381</c:v>
                </c:pt>
                <c:pt idx="6">
                  <c:v>3748.4360226596737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A981-4798-8422-71D39111FE31}"/>
            </c:ext>
          </c:extLst>
        </c:ser>
        <c:ser>
          <c:idx val="56"/>
          <c:order val="56"/>
          <c:tx>
            <c:strRef>
              <c:f>IRS!$B$80</c:f>
              <c:strCache>
                <c:ptCount val="1"/>
                <c:pt idx="0">
                  <c:v>Simulation 57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IRS!$F$80:$M$80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2730.9625420287252</c:v>
                </c:pt>
                <c:pt idx="3">
                  <c:v>5457.1776693505672</c:v>
                </c:pt>
                <c:pt idx="4">
                  <c:v>6466.0824844927565</c:v>
                </c:pt>
                <c:pt idx="5">
                  <c:v>5815.6929935660992</c:v>
                </c:pt>
                <c:pt idx="6">
                  <c:v>3613.2850427845133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A981-4798-8422-71D39111FE31}"/>
            </c:ext>
          </c:extLst>
        </c:ser>
        <c:ser>
          <c:idx val="57"/>
          <c:order val="57"/>
          <c:tx>
            <c:strRef>
              <c:f>IRS!$B$81</c:f>
              <c:strCache>
                <c:ptCount val="1"/>
                <c:pt idx="0">
                  <c:v>Simulation 58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IRS!$F$81:$M$81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2925.0881608994478</c:v>
                </c:pt>
                <c:pt idx="3">
                  <c:v>5565.9543091587002</c:v>
                </c:pt>
                <c:pt idx="4">
                  <c:v>6515.5603031045812</c:v>
                </c:pt>
                <c:pt idx="5">
                  <c:v>5829.3231370210506</c:v>
                </c:pt>
                <c:pt idx="6">
                  <c:v>3611.5041502300483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A981-4798-8422-71D39111FE31}"/>
            </c:ext>
          </c:extLst>
        </c:ser>
        <c:ser>
          <c:idx val="58"/>
          <c:order val="58"/>
          <c:tx>
            <c:strRef>
              <c:f>IRS!$B$82</c:f>
              <c:strCache>
                <c:ptCount val="1"/>
                <c:pt idx="0">
                  <c:v>Simulation 59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IRS!$F$82:$M$82</c:f>
              <c:numCache>
                <c:formatCode>0</c:formatCode>
                <c:ptCount val="8"/>
                <c:pt idx="0">
                  <c:v>0</c:v>
                </c:pt>
                <c:pt idx="1">
                  <c:v>331.00823523986492</c:v>
                </c:pt>
                <c:pt idx="2">
                  <c:v>4328.8754373091924</c:v>
                </c:pt>
                <c:pt idx="3">
                  <c:v>6655.1253286456276</c:v>
                </c:pt>
                <c:pt idx="4">
                  <c:v>7307.0900786624097</c:v>
                </c:pt>
                <c:pt idx="5">
                  <c:v>6340.2031071374631</c:v>
                </c:pt>
                <c:pt idx="6">
                  <c:v>3858.6088022984054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A981-4798-8422-71D39111FE31}"/>
            </c:ext>
          </c:extLst>
        </c:ser>
        <c:ser>
          <c:idx val="59"/>
          <c:order val="59"/>
          <c:tx>
            <c:strRef>
              <c:f>IRS!$B$83</c:f>
              <c:strCache>
                <c:ptCount val="1"/>
                <c:pt idx="0">
                  <c:v>Simulation 60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IRS!$F$83:$M$83</c:f>
              <c:numCache>
                <c:formatCode>0</c:formatCode>
                <c:ptCount val="8"/>
                <c:pt idx="0">
                  <c:v>0</c:v>
                </c:pt>
                <c:pt idx="1">
                  <c:v>851.91001103238386</c:v>
                </c:pt>
                <c:pt idx="2">
                  <c:v>4748.0842142932579</c:v>
                </c:pt>
                <c:pt idx="3">
                  <c:v>6978.0647064272389</c:v>
                </c:pt>
                <c:pt idx="4">
                  <c:v>7539.7008797858989</c:v>
                </c:pt>
                <c:pt idx="5">
                  <c:v>6488.8162472829063</c:v>
                </c:pt>
                <c:pt idx="6">
                  <c:v>3929.6981317682753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A981-4798-8422-71D39111FE31}"/>
            </c:ext>
          </c:extLst>
        </c:ser>
        <c:ser>
          <c:idx val="60"/>
          <c:order val="60"/>
          <c:tx>
            <c:strRef>
              <c:f>IRS!$B$84</c:f>
              <c:strCache>
                <c:ptCount val="1"/>
                <c:pt idx="0">
                  <c:v>Simulation 61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IRS!$F$84:$M$84</c:f>
              <c:numCache>
                <c:formatCode>0</c:formatCode>
                <c:ptCount val="8"/>
                <c:pt idx="0">
                  <c:v>0</c:v>
                </c:pt>
                <c:pt idx="1">
                  <c:v>481.63443107533067</c:v>
                </c:pt>
                <c:pt idx="2">
                  <c:v>4391.9674421427599</c:v>
                </c:pt>
                <c:pt idx="3">
                  <c:v>6662.757207088398</c:v>
                </c:pt>
                <c:pt idx="4">
                  <c:v>7285.9875542499231</c:v>
                </c:pt>
                <c:pt idx="5">
                  <c:v>6311.7593073682219</c:v>
                </c:pt>
                <c:pt idx="6">
                  <c:v>3838.8793234798613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A981-4798-8422-71D39111FE31}"/>
            </c:ext>
          </c:extLst>
        </c:ser>
        <c:ser>
          <c:idx val="61"/>
          <c:order val="61"/>
          <c:tx>
            <c:strRef>
              <c:f>IRS!$B$85</c:f>
              <c:strCache>
                <c:ptCount val="1"/>
                <c:pt idx="0">
                  <c:v>Simulation 62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IRS!$F$85:$M$85</c:f>
              <c:numCache>
                <c:formatCode>0</c:formatCode>
                <c:ptCount val="8"/>
                <c:pt idx="0">
                  <c:v>0</c:v>
                </c:pt>
                <c:pt idx="1">
                  <c:v>1531.2561018130241</c:v>
                </c:pt>
                <c:pt idx="2">
                  <c:v>5274.5346453271704</c:v>
                </c:pt>
                <c:pt idx="3">
                  <c:v>7373.4102684936934</c:v>
                </c:pt>
                <c:pt idx="4">
                  <c:v>7820.9904622466102</c:v>
                </c:pt>
                <c:pt idx="5">
                  <c:v>6668.7664343816832</c:v>
                </c:pt>
                <c:pt idx="6">
                  <c:v>4017.0290424963887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A981-4798-8422-71D39111FE31}"/>
            </c:ext>
          </c:extLst>
        </c:ser>
        <c:ser>
          <c:idx val="62"/>
          <c:order val="62"/>
          <c:tx>
            <c:strRef>
              <c:f>IRS!$B$86</c:f>
              <c:strCache>
                <c:ptCount val="1"/>
                <c:pt idx="0">
                  <c:v>Simulation 63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IRS!$F$86:$M$86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3153.2758694916647</c:v>
                </c:pt>
                <c:pt idx="3">
                  <c:v>5713.2240751298032</c:v>
                </c:pt>
                <c:pt idx="4">
                  <c:v>6609.4468268630844</c:v>
                </c:pt>
                <c:pt idx="5">
                  <c:v>5887.0243915781302</c:v>
                </c:pt>
                <c:pt idx="6">
                  <c:v>3640.6479285170963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A981-4798-8422-71D39111FE31}"/>
            </c:ext>
          </c:extLst>
        </c:ser>
        <c:ser>
          <c:idx val="63"/>
          <c:order val="63"/>
          <c:tx>
            <c:strRef>
              <c:f>IRS!$B$87</c:f>
              <c:strCache>
                <c:ptCount val="1"/>
                <c:pt idx="0">
                  <c:v>Simulation 64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IRS!$F$87:$M$87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3004.8705745301172</c:v>
                </c:pt>
                <c:pt idx="3">
                  <c:v>5632.8232419793458</c:v>
                </c:pt>
                <c:pt idx="4">
                  <c:v>6575.9909531654666</c:v>
                </c:pt>
                <c:pt idx="5">
                  <c:v>5881.2668517897455</c:v>
                </c:pt>
                <c:pt idx="6">
                  <c:v>3645.3260204684266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A981-4798-8422-71D39111FE31}"/>
            </c:ext>
          </c:extLst>
        </c:ser>
        <c:ser>
          <c:idx val="64"/>
          <c:order val="64"/>
          <c:tx>
            <c:strRef>
              <c:f>IRS!$B$88</c:f>
              <c:strCache>
                <c:ptCount val="1"/>
                <c:pt idx="0">
                  <c:v>Simulation 65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IRS!$F$88:$M$88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2774.1074022118792</c:v>
                </c:pt>
                <c:pt idx="3">
                  <c:v>5485.7630209877952</c:v>
                </c:pt>
                <c:pt idx="4">
                  <c:v>6491.1040164394299</c:v>
                </c:pt>
                <c:pt idx="5">
                  <c:v>5839.8113281866154</c:v>
                </c:pt>
                <c:pt idx="6">
                  <c:v>3631.2848136030871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A981-4798-8422-71D39111FE31}"/>
            </c:ext>
          </c:extLst>
        </c:ser>
        <c:ser>
          <c:idx val="65"/>
          <c:order val="65"/>
          <c:tx>
            <c:strRef>
              <c:f>IRS!$B$89</c:f>
              <c:strCache>
                <c:ptCount val="1"/>
                <c:pt idx="0">
                  <c:v>Simulation 66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IRS!$F$89:$M$89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3451.134539910438</c:v>
                </c:pt>
                <c:pt idx="3">
                  <c:v>6052.9572499761689</c:v>
                </c:pt>
                <c:pt idx="4">
                  <c:v>6931.0221320676465</c:v>
                </c:pt>
                <c:pt idx="5">
                  <c:v>6139.7991401736163</c:v>
                </c:pt>
                <c:pt idx="6">
                  <c:v>3783.2306543443342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A981-4798-8422-71D39111FE31}"/>
            </c:ext>
          </c:extLst>
        </c:ser>
        <c:ser>
          <c:idx val="66"/>
          <c:order val="66"/>
          <c:tx>
            <c:strRef>
              <c:f>IRS!$B$90</c:f>
              <c:strCache>
                <c:ptCount val="1"/>
                <c:pt idx="0">
                  <c:v>Simulation 67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IRS!$F$90:$M$90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1055.9776074390511</c:v>
                </c:pt>
                <c:pt idx="3">
                  <c:v>4179.4035451184473</c:v>
                </c:pt>
                <c:pt idx="4">
                  <c:v>5561.0327278984769</c:v>
                </c:pt>
                <c:pt idx="5">
                  <c:v>5251.9612720265868</c:v>
                </c:pt>
                <c:pt idx="6">
                  <c:v>3352.9705844649261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A981-4798-8422-71D39111FE31}"/>
            </c:ext>
          </c:extLst>
        </c:ser>
        <c:ser>
          <c:idx val="67"/>
          <c:order val="67"/>
          <c:tx>
            <c:strRef>
              <c:f>IRS!$B$91</c:f>
              <c:strCache>
                <c:ptCount val="1"/>
                <c:pt idx="0">
                  <c:v>Simulation 68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IRS!$F$91:$M$91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3246.5461963919452</c:v>
                </c:pt>
                <c:pt idx="4">
                  <c:v>4905.5655340070734</c:v>
                </c:pt>
                <c:pt idx="5">
                  <c:v>4844.1862634133231</c:v>
                </c:pt>
                <c:pt idx="6">
                  <c:v>3163.4346340081556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A981-4798-8422-71D39111FE31}"/>
            </c:ext>
          </c:extLst>
        </c:ser>
        <c:ser>
          <c:idx val="68"/>
          <c:order val="68"/>
          <c:tx>
            <c:strRef>
              <c:f>IRS!$B$92</c:f>
              <c:strCache>
                <c:ptCount val="1"/>
                <c:pt idx="0">
                  <c:v>Simulation 69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IRS!$F$92:$M$92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3216.8812639185858</c:v>
                </c:pt>
                <c:pt idx="4">
                  <c:v>4881.7286029419502</c:v>
                </c:pt>
                <c:pt idx="5">
                  <c:v>4827.8267073274237</c:v>
                </c:pt>
                <c:pt idx="6">
                  <c:v>3155.3018346005742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A981-4798-8422-71D39111FE31}"/>
            </c:ext>
          </c:extLst>
        </c:ser>
        <c:ser>
          <c:idx val="69"/>
          <c:order val="69"/>
          <c:tx>
            <c:strRef>
              <c:f>IRS!$B$93</c:f>
              <c:strCache>
                <c:ptCount val="1"/>
                <c:pt idx="0">
                  <c:v>Simulation 70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IRS!$F$93:$M$93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1932.7199891166802</c:v>
                </c:pt>
                <c:pt idx="3">
                  <c:v>4885.1431234858246</c:v>
                </c:pt>
                <c:pt idx="4">
                  <c:v>6089.1598710832113</c:v>
                </c:pt>
                <c:pt idx="5">
                  <c:v>5600.6987522894669</c:v>
                </c:pt>
                <c:pt idx="6">
                  <c:v>3524.5666292600977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A981-4798-8422-71D39111FE31}"/>
            </c:ext>
          </c:extLst>
        </c:ser>
        <c:ser>
          <c:idx val="70"/>
          <c:order val="70"/>
          <c:tx>
            <c:strRef>
              <c:f>IRS!$B$94</c:f>
              <c:strCache>
                <c:ptCount val="1"/>
                <c:pt idx="0">
                  <c:v>Simulation 71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IRS!$F$94:$M$94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3034.0941909588619</c:v>
                </c:pt>
                <c:pt idx="4">
                  <c:v>4788.8112581755086</c:v>
                </c:pt>
                <c:pt idx="5">
                  <c:v>4791.6635972616778</c:v>
                </c:pt>
                <c:pt idx="6">
                  <c:v>3148.3483011806529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A981-4798-8422-71D39111FE31}"/>
            </c:ext>
          </c:extLst>
        </c:ser>
        <c:ser>
          <c:idx val="71"/>
          <c:order val="71"/>
          <c:tx>
            <c:strRef>
              <c:f>IRS!$B$95</c:f>
              <c:strCache>
                <c:ptCount val="1"/>
                <c:pt idx="0">
                  <c:v>Simulation 72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IRS!$F$95:$M$95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2465.4613107649407</c:v>
                </c:pt>
                <c:pt idx="4">
                  <c:v>4336.0589086792343</c:v>
                </c:pt>
                <c:pt idx="5">
                  <c:v>4478.3054704526494</c:v>
                </c:pt>
                <c:pt idx="6">
                  <c:v>2988.6867399475086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A981-4798-8422-71D39111FE31}"/>
            </c:ext>
          </c:extLst>
        </c:ser>
        <c:ser>
          <c:idx val="72"/>
          <c:order val="72"/>
          <c:tx>
            <c:strRef>
              <c:f>IRS!$B$96</c:f>
              <c:strCache>
                <c:ptCount val="1"/>
                <c:pt idx="0">
                  <c:v>Simulation 73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IRS!$F$96:$M$96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634.3771516165616</c:v>
                </c:pt>
                <c:pt idx="3">
                  <c:v>3916.3931515510658</c:v>
                </c:pt>
                <c:pt idx="4">
                  <c:v>5414.5660805686111</c:v>
                </c:pt>
                <c:pt idx="5">
                  <c:v>5185.1338275025328</c:v>
                </c:pt>
                <c:pt idx="6">
                  <c:v>3333.5084458347214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A981-4798-8422-71D39111FE31}"/>
            </c:ext>
          </c:extLst>
        </c:ser>
        <c:ser>
          <c:idx val="73"/>
          <c:order val="73"/>
          <c:tx>
            <c:strRef>
              <c:f>IRS!$B$97</c:f>
              <c:strCache>
                <c:ptCount val="1"/>
                <c:pt idx="0">
                  <c:v>Simulation 74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IRS!$F$97:$M$97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1124.2207394735583</c:v>
                </c:pt>
                <c:pt idx="4">
                  <c:v>3386.8818010031337</c:v>
                </c:pt>
                <c:pt idx="5">
                  <c:v>3882.4523468663051</c:v>
                </c:pt>
                <c:pt idx="6">
                  <c:v>2708.7014621832109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A981-4798-8422-71D39111FE31}"/>
            </c:ext>
          </c:extLst>
        </c:ser>
        <c:ser>
          <c:idx val="74"/>
          <c:order val="74"/>
          <c:tx>
            <c:strRef>
              <c:f>IRS!$B$98</c:f>
              <c:strCache>
                <c:ptCount val="1"/>
                <c:pt idx="0">
                  <c:v>Simulation 75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IRS!$F$98:$M$98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1199.2959105789021</c:v>
                </c:pt>
                <c:pt idx="4">
                  <c:v>3451.1975959310184</c:v>
                </c:pt>
                <c:pt idx="5">
                  <c:v>3928.4281812017134</c:v>
                </c:pt>
                <c:pt idx="6">
                  <c:v>2732.2631408898669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A981-4798-8422-71D39111FE31}"/>
            </c:ext>
          </c:extLst>
        </c:ser>
        <c:ser>
          <c:idx val="75"/>
          <c:order val="75"/>
          <c:tx>
            <c:strRef>
              <c:f>IRS!$B$99</c:f>
              <c:strCache>
                <c:ptCount val="1"/>
                <c:pt idx="0">
                  <c:v>Simulation 76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IRS!$F$99:$M$99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1679.3116739916745</c:v>
                </c:pt>
                <c:pt idx="4">
                  <c:v>3828.2809990210962</c:v>
                </c:pt>
                <c:pt idx="5">
                  <c:v>4189.2238341640477</c:v>
                </c:pt>
                <c:pt idx="6">
                  <c:v>2866.3644178138325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A981-4798-8422-71D39111FE31}"/>
            </c:ext>
          </c:extLst>
        </c:ser>
        <c:ser>
          <c:idx val="76"/>
          <c:order val="76"/>
          <c:tx>
            <c:strRef>
              <c:f>IRS!$B$100</c:f>
              <c:strCache>
                <c:ptCount val="1"/>
                <c:pt idx="0">
                  <c:v>Simulation 77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IRS!$F$100:$M$100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2458.9875378953857</c:v>
                </c:pt>
                <c:pt idx="4">
                  <c:v>4394.1791294831764</c:v>
                </c:pt>
                <c:pt idx="5">
                  <c:v>4551.6583912415772</c:v>
                </c:pt>
                <c:pt idx="6">
                  <c:v>3039.2651142674272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A981-4798-8422-71D39111FE31}"/>
            </c:ext>
          </c:extLst>
        </c:ser>
        <c:ser>
          <c:idx val="77"/>
          <c:order val="77"/>
          <c:tx>
            <c:strRef>
              <c:f>IRS!$B$101</c:f>
              <c:strCache>
                <c:ptCount val="1"/>
                <c:pt idx="0">
                  <c:v>Simulation 78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IRS!$F$101:$M$101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195.99639829539865</c:v>
                </c:pt>
                <c:pt idx="3">
                  <c:v>3614.2669444933772</c:v>
                </c:pt>
                <c:pt idx="4">
                  <c:v>5219.4436586867578</c:v>
                </c:pt>
                <c:pt idx="5">
                  <c:v>5073.1550897406596</c:v>
                </c:pt>
                <c:pt idx="6">
                  <c:v>3285.304877581872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A981-4798-8422-71D39111FE31}"/>
            </c:ext>
          </c:extLst>
        </c:ser>
        <c:ser>
          <c:idx val="78"/>
          <c:order val="78"/>
          <c:tx>
            <c:strRef>
              <c:f>IRS!$B$102</c:f>
              <c:strCache>
                <c:ptCount val="1"/>
                <c:pt idx="0">
                  <c:v>Simulation 79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IRS!$F$102:$M$102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241.37227718672011</c:v>
                </c:pt>
                <c:pt idx="3">
                  <c:v>3693.0793802293956</c:v>
                </c:pt>
                <c:pt idx="4">
                  <c:v>5305.3755199681136</c:v>
                </c:pt>
                <c:pt idx="5">
                  <c:v>5145.0983740904212</c:v>
                </c:pt>
                <c:pt idx="6">
                  <c:v>3327.0846395120593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A981-4798-8422-71D39111FE31}"/>
            </c:ext>
          </c:extLst>
        </c:ser>
        <c:ser>
          <c:idx val="79"/>
          <c:order val="79"/>
          <c:tx>
            <c:strRef>
              <c:f>IRS!$B$103</c:f>
              <c:strCache>
                <c:ptCount val="1"/>
                <c:pt idx="0">
                  <c:v>Simulation 80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IRS!$F$103:$M$103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538.2822033238208</c:v>
                </c:pt>
                <c:pt idx="3">
                  <c:v>3925.8766992288156</c:v>
                </c:pt>
                <c:pt idx="4">
                  <c:v>5471.6118278698868</c:v>
                </c:pt>
                <c:pt idx="5">
                  <c:v>5247.6871738744248</c:v>
                </c:pt>
                <c:pt idx="6">
                  <c:v>3373.211851582239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A981-4798-8422-71D39111FE31}"/>
            </c:ext>
          </c:extLst>
        </c:ser>
        <c:ser>
          <c:idx val="80"/>
          <c:order val="80"/>
          <c:tx>
            <c:strRef>
              <c:f>IRS!$B$104</c:f>
              <c:strCache>
                <c:ptCount val="1"/>
                <c:pt idx="0">
                  <c:v>Simulation 81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IRS!$F$104:$M$104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2690.1855474174195</c:v>
                </c:pt>
                <c:pt idx="4">
                  <c:v>4568.6591609438983</c:v>
                </c:pt>
                <c:pt idx="5">
                  <c:v>4663.3852512184085</c:v>
                </c:pt>
                <c:pt idx="6">
                  <c:v>3090.6776562930954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A981-4798-8422-71D39111FE31}"/>
            </c:ext>
          </c:extLst>
        </c:ser>
        <c:ser>
          <c:idx val="81"/>
          <c:order val="81"/>
          <c:tx>
            <c:strRef>
              <c:f>IRS!$B$105</c:f>
              <c:strCache>
                <c:ptCount val="1"/>
                <c:pt idx="0">
                  <c:v>Simulation 82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IRS!$F$105:$M$105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2575.4816895449567</c:v>
                </c:pt>
                <c:pt idx="3">
                  <c:v>5519.9004072715215</c:v>
                </c:pt>
                <c:pt idx="4">
                  <c:v>6636.6740892155394</c:v>
                </c:pt>
                <c:pt idx="5">
                  <c:v>6002.0287763254855</c:v>
                </c:pt>
                <c:pt idx="6">
                  <c:v>3738.350041461581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A981-4798-8422-71D39111FE31}"/>
            </c:ext>
          </c:extLst>
        </c:ser>
        <c:ser>
          <c:idx val="82"/>
          <c:order val="82"/>
          <c:tx>
            <c:strRef>
              <c:f>IRS!$B$106</c:f>
              <c:strCache>
                <c:ptCount val="1"/>
                <c:pt idx="0">
                  <c:v>Simulation 83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IRS!$F$106:$M$106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1296.5131445301367</c:v>
                </c:pt>
                <c:pt idx="3">
                  <c:v>4526.806177624836</c:v>
                </c:pt>
                <c:pt idx="4">
                  <c:v>5916.6066697135229</c:v>
                </c:pt>
                <c:pt idx="5">
                  <c:v>5539.7710928773022</c:v>
                </c:pt>
                <c:pt idx="6">
                  <c:v>3516.6433865596973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A981-4798-8422-71D39111FE31}"/>
            </c:ext>
          </c:extLst>
        </c:ser>
        <c:ser>
          <c:idx val="83"/>
          <c:order val="83"/>
          <c:tx>
            <c:strRef>
              <c:f>IRS!$B$107</c:f>
              <c:strCache>
                <c:ptCount val="1"/>
                <c:pt idx="0">
                  <c:v>Simulation 84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IRS!$F$107:$M$107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1696.2702735478579</c:v>
                </c:pt>
                <c:pt idx="3">
                  <c:v>4833.0260781956968</c:v>
                </c:pt>
                <c:pt idx="4">
                  <c:v>6137.4502226746754</c:v>
                </c:pt>
                <c:pt idx="5">
                  <c:v>5681.980162853426</c:v>
                </c:pt>
                <c:pt idx="6">
                  <c:v>3585.6235511427949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A981-4798-8422-71D39111FE31}"/>
            </c:ext>
          </c:extLst>
        </c:ser>
        <c:ser>
          <c:idx val="84"/>
          <c:order val="84"/>
          <c:tx>
            <c:strRef>
              <c:f>IRS!$B$108</c:f>
              <c:strCache>
                <c:ptCount val="1"/>
                <c:pt idx="0">
                  <c:v>Simulation 85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IRS!$F$108:$M$108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3327.5498477490305</c:v>
                </c:pt>
                <c:pt idx="3">
                  <c:v>6081.4633095493664</c:v>
                </c:pt>
                <c:pt idx="4">
                  <c:v>7031.4697120126839</c:v>
                </c:pt>
                <c:pt idx="5">
                  <c:v>6250.0948987742177</c:v>
                </c:pt>
                <c:pt idx="6">
                  <c:v>3855.9800534246433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A981-4798-8422-71D39111FE31}"/>
            </c:ext>
          </c:extLst>
        </c:ser>
        <c:ser>
          <c:idx val="85"/>
          <c:order val="85"/>
          <c:tx>
            <c:strRef>
              <c:f>IRS!$B$109</c:f>
              <c:strCache>
                <c:ptCount val="1"/>
                <c:pt idx="0">
                  <c:v>Simulation 86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IRS!$F$109:$M$109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3046.7281457181466</c:v>
                </c:pt>
                <c:pt idx="3">
                  <c:v>5858.5937635473656</c:v>
                </c:pt>
                <c:pt idx="4">
                  <c:v>6864.1750221847069</c:v>
                </c:pt>
                <c:pt idx="5">
                  <c:v>6137.7492677284899</c:v>
                </c:pt>
                <c:pt idx="6">
                  <c:v>3799.1626054967046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A981-4798-8422-71D39111FE31}"/>
            </c:ext>
          </c:extLst>
        </c:ser>
        <c:ser>
          <c:idx val="86"/>
          <c:order val="86"/>
          <c:tx>
            <c:strRef>
              <c:f>IRS!$B$110</c:f>
              <c:strCache>
                <c:ptCount val="1"/>
                <c:pt idx="0">
                  <c:v>Simulation 87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IRS!$F$110:$M$110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4014.8748964090241</c:v>
                </c:pt>
                <c:pt idx="3">
                  <c:v>6616.2422900746124</c:v>
                </c:pt>
                <c:pt idx="4">
                  <c:v>7417.3166562426777</c:v>
                </c:pt>
                <c:pt idx="5">
                  <c:v>6495.070842927571</c:v>
                </c:pt>
                <c:pt idx="6">
                  <c:v>3971.541788779527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A981-4798-8422-71D39111FE31}"/>
            </c:ext>
          </c:extLst>
        </c:ser>
        <c:ser>
          <c:idx val="87"/>
          <c:order val="87"/>
          <c:tx>
            <c:strRef>
              <c:f>IRS!$B$111</c:f>
              <c:strCache>
                <c:ptCount val="1"/>
                <c:pt idx="0">
                  <c:v>Simulation 88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IRS!$F$111:$M$111</c:f>
              <c:numCache>
                <c:formatCode>0</c:formatCode>
                <c:ptCount val="8"/>
                <c:pt idx="0">
                  <c:v>0</c:v>
                </c:pt>
                <c:pt idx="1">
                  <c:v>732.83097950987622</c:v>
                </c:pt>
                <c:pt idx="2">
                  <c:v>4861.9423959815576</c:v>
                </c:pt>
                <c:pt idx="3">
                  <c:v>7218.6974260571442</c:v>
                </c:pt>
                <c:pt idx="4">
                  <c:v>7818.2951963881824</c:v>
                </c:pt>
                <c:pt idx="5">
                  <c:v>6732.1899312742989</c:v>
                </c:pt>
                <c:pt idx="6">
                  <c:v>4076.8157699808876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A981-4798-8422-71D39111FE31}"/>
            </c:ext>
          </c:extLst>
        </c:ser>
        <c:ser>
          <c:idx val="88"/>
          <c:order val="88"/>
          <c:tx>
            <c:strRef>
              <c:f>IRS!$B$112</c:f>
              <c:strCache>
                <c:ptCount val="1"/>
                <c:pt idx="0">
                  <c:v>Simulation 89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IRS!$F$112:$M$112</c:f>
              <c:numCache>
                <c:formatCode>0</c:formatCode>
                <c:ptCount val="8"/>
                <c:pt idx="0">
                  <c:v>0</c:v>
                </c:pt>
                <c:pt idx="1">
                  <c:v>4892.9600283858717</c:v>
                </c:pt>
                <c:pt idx="2">
                  <c:v>8217.2470910953562</c:v>
                </c:pt>
                <c:pt idx="3">
                  <c:v>9808.2026501861492</c:v>
                </c:pt>
                <c:pt idx="4">
                  <c:v>9685.9069878757236</c:v>
                </c:pt>
                <c:pt idx="5">
                  <c:v>7925.8425500801377</c:v>
                </c:pt>
                <c:pt idx="6">
                  <c:v>4647.3463884797966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A981-4798-8422-71D39111FE31}"/>
            </c:ext>
          </c:extLst>
        </c:ser>
        <c:ser>
          <c:idx val="89"/>
          <c:order val="89"/>
          <c:tx>
            <c:strRef>
              <c:f>IRS!$B$113</c:f>
              <c:strCache>
                <c:ptCount val="1"/>
                <c:pt idx="0">
                  <c:v>Simulation 90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IRS!$F$113:$M$113</c:f>
              <c:numCache>
                <c:formatCode>0</c:formatCode>
                <c:ptCount val="8"/>
                <c:pt idx="0">
                  <c:v>0</c:v>
                </c:pt>
                <c:pt idx="1">
                  <c:v>3752.0309489121028</c:v>
                </c:pt>
                <c:pt idx="2">
                  <c:v>7333.3427624776523</c:v>
                </c:pt>
                <c:pt idx="3">
                  <c:v>9153.4177520690773</c:v>
                </c:pt>
                <c:pt idx="4">
                  <c:v>9232.9770321952237</c:v>
                </c:pt>
                <c:pt idx="5">
                  <c:v>7648.4497639894671</c:v>
                </c:pt>
                <c:pt idx="6">
                  <c:v>4520.4142762647662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A981-4798-8422-71D39111FE31}"/>
            </c:ext>
          </c:extLst>
        </c:ser>
        <c:ser>
          <c:idx val="90"/>
          <c:order val="90"/>
          <c:tx>
            <c:strRef>
              <c:f>IRS!$B$114</c:f>
              <c:strCache>
                <c:ptCount val="1"/>
                <c:pt idx="0">
                  <c:v>Simulation 91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IRS!$F$114:$M$114</c:f>
              <c:numCache>
                <c:formatCode>0</c:formatCode>
                <c:ptCount val="8"/>
                <c:pt idx="0">
                  <c:v>0</c:v>
                </c:pt>
                <c:pt idx="1">
                  <c:v>2610.3303273595156</c:v>
                </c:pt>
                <c:pt idx="2">
                  <c:v>6398.3406014590555</c:v>
                </c:pt>
                <c:pt idx="3">
                  <c:v>8418.5620062067283</c:v>
                </c:pt>
                <c:pt idx="4">
                  <c:v>8691.9280512565692</c:v>
                </c:pt>
                <c:pt idx="5">
                  <c:v>7294.7646871011721</c:v>
                </c:pt>
                <c:pt idx="6">
                  <c:v>4347.2666256865114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A981-4798-8422-71D39111FE31}"/>
            </c:ext>
          </c:extLst>
        </c:ser>
        <c:ser>
          <c:idx val="91"/>
          <c:order val="91"/>
          <c:tx>
            <c:strRef>
              <c:f>IRS!$B$115</c:f>
              <c:strCache>
                <c:ptCount val="1"/>
                <c:pt idx="0">
                  <c:v>Simulation 92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IRS!$F$115:$M$115</c:f>
              <c:numCache>
                <c:formatCode>0</c:formatCode>
                <c:ptCount val="8"/>
                <c:pt idx="0">
                  <c:v>0</c:v>
                </c:pt>
                <c:pt idx="1">
                  <c:v>1175.4033533357897</c:v>
                </c:pt>
                <c:pt idx="2">
                  <c:v>5251.3816560974155</c:v>
                </c:pt>
                <c:pt idx="3">
                  <c:v>7539.9623701561886</c:v>
                </c:pt>
                <c:pt idx="4">
                  <c:v>8062.087437348262</c:v>
                </c:pt>
                <c:pt idx="5">
                  <c:v>6894.1487462391387</c:v>
                </c:pt>
                <c:pt idx="6">
                  <c:v>4156.4956503610874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A981-4798-8422-71D39111FE31}"/>
            </c:ext>
          </c:extLst>
        </c:ser>
        <c:ser>
          <c:idx val="92"/>
          <c:order val="92"/>
          <c:tx>
            <c:strRef>
              <c:f>IRS!$B$116</c:f>
              <c:strCache>
                <c:ptCount val="1"/>
                <c:pt idx="0">
                  <c:v>Simulation 93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IRS!$F$116:$M$116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4029.5264012852367</c:v>
                </c:pt>
                <c:pt idx="3">
                  <c:v>6566.7505033514899</c:v>
                </c:pt>
                <c:pt idx="4">
                  <c:v>7338.5760322124343</c:v>
                </c:pt>
                <c:pt idx="5">
                  <c:v>6418.16744397809</c:v>
                </c:pt>
                <c:pt idx="6">
                  <c:v>3922.679136894114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A981-4798-8422-71D39111FE31}"/>
            </c:ext>
          </c:extLst>
        </c:ser>
        <c:ser>
          <c:idx val="93"/>
          <c:order val="93"/>
          <c:tx>
            <c:strRef>
              <c:f>IRS!$B$117</c:f>
              <c:strCache>
                <c:ptCount val="1"/>
                <c:pt idx="0">
                  <c:v>Simulation 94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IRS!$F$117:$M$117</c:f>
              <c:numCache>
                <c:formatCode>0</c:formatCode>
                <c:ptCount val="8"/>
                <c:pt idx="0">
                  <c:v>0</c:v>
                </c:pt>
                <c:pt idx="1">
                  <c:v>720.91011641351133</c:v>
                </c:pt>
                <c:pt idx="2">
                  <c:v>4889.9266928306224</c:v>
                </c:pt>
                <c:pt idx="3">
                  <c:v>7266.7928657378798</c:v>
                </c:pt>
                <c:pt idx="4">
                  <c:v>7870.6623970172805</c:v>
                </c:pt>
                <c:pt idx="5">
                  <c:v>6776.3374135291924</c:v>
                </c:pt>
                <c:pt idx="6">
                  <c:v>4102.8144039035487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A981-4798-8422-71D39111FE31}"/>
            </c:ext>
          </c:extLst>
        </c:ser>
        <c:ser>
          <c:idx val="94"/>
          <c:order val="94"/>
          <c:tx>
            <c:strRef>
              <c:f>IRS!$B$118</c:f>
              <c:strCache>
                <c:ptCount val="1"/>
                <c:pt idx="0">
                  <c:v>Simulation 95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IRS!$F$118:$M$118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3586.5891179450209</c:v>
                </c:pt>
                <c:pt idx="3">
                  <c:v>6234.7440910161004</c:v>
                </c:pt>
                <c:pt idx="4">
                  <c:v>7109.2526133414249</c:v>
                </c:pt>
                <c:pt idx="5">
                  <c:v>6280.0177646252941</c:v>
                </c:pt>
                <c:pt idx="6">
                  <c:v>3861.5733067048081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A981-4798-8422-71D39111FE31}"/>
            </c:ext>
          </c:extLst>
        </c:ser>
        <c:ser>
          <c:idx val="95"/>
          <c:order val="95"/>
          <c:tx>
            <c:strRef>
              <c:f>IRS!$B$119</c:f>
              <c:strCache>
                <c:ptCount val="1"/>
                <c:pt idx="0">
                  <c:v>Simulation 96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IRS!$F$119:$M$119</c:f>
              <c:numCache>
                <c:formatCode>0</c:formatCode>
                <c:ptCount val="8"/>
                <c:pt idx="0">
                  <c:v>0</c:v>
                </c:pt>
                <c:pt idx="1">
                  <c:v>1542.3836743058096</c:v>
                </c:pt>
                <c:pt idx="2">
                  <c:v>5514.6391176859506</c:v>
                </c:pt>
                <c:pt idx="3">
                  <c:v>7718.0860192442669</c:v>
                </c:pt>
                <c:pt idx="4">
                  <c:v>8172.968648463625</c:v>
                </c:pt>
                <c:pt idx="5">
                  <c:v>6954.3221480265784</c:v>
                </c:pt>
                <c:pt idx="6">
                  <c:v>4180.4863681855077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A981-4798-8422-71D39111FE31}"/>
            </c:ext>
          </c:extLst>
        </c:ser>
        <c:ser>
          <c:idx val="96"/>
          <c:order val="96"/>
          <c:tx>
            <c:strRef>
              <c:f>IRS!$B$120</c:f>
              <c:strCache>
                <c:ptCount val="1"/>
                <c:pt idx="0">
                  <c:v>Simulation 97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IRS!$F$120:$M$120</c:f>
              <c:numCache>
                <c:formatCode>0</c:formatCode>
                <c:ptCount val="8"/>
                <c:pt idx="0">
                  <c:v>0</c:v>
                </c:pt>
                <c:pt idx="1">
                  <c:v>3388.8254677399445</c:v>
                </c:pt>
                <c:pt idx="2">
                  <c:v>7016.769482287531</c:v>
                </c:pt>
                <c:pt idx="3">
                  <c:v>8884.1244940211927</c:v>
                </c:pt>
                <c:pt idx="4">
                  <c:v>9016.5915148488239</c:v>
                </c:pt>
                <c:pt idx="5">
                  <c:v>7493.8615564359534</c:v>
                </c:pt>
                <c:pt idx="6">
                  <c:v>4437.9373950663321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A981-4798-8422-71D39111FE31}"/>
            </c:ext>
          </c:extLst>
        </c:ser>
        <c:ser>
          <c:idx val="97"/>
          <c:order val="97"/>
          <c:tx>
            <c:strRef>
              <c:f>IRS!$B$121</c:f>
              <c:strCache>
                <c:ptCount val="1"/>
                <c:pt idx="0">
                  <c:v>Simulation 98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IRS!$F$121:$M$121</c:f>
              <c:numCache>
                <c:formatCode>0</c:formatCode>
                <c:ptCount val="8"/>
                <c:pt idx="0">
                  <c:v>2889.0449030757577</c:v>
                </c:pt>
                <c:pt idx="1">
                  <c:v>7489.5864882249743</c:v>
                </c:pt>
                <c:pt idx="2">
                  <c:v>10363.007439994182</c:v>
                </c:pt>
                <c:pt idx="3">
                  <c:v>11493.285178059181</c:v>
                </c:pt>
                <c:pt idx="4">
                  <c:v>10915.248512553175</c:v>
                </c:pt>
                <c:pt idx="5">
                  <c:v>8716.6522547820205</c:v>
                </c:pt>
                <c:pt idx="6">
                  <c:v>5026.1423385553117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A981-4798-8422-71D39111FE31}"/>
            </c:ext>
          </c:extLst>
        </c:ser>
        <c:ser>
          <c:idx val="98"/>
          <c:order val="98"/>
          <c:tx>
            <c:strRef>
              <c:f>IRS!$B$122</c:f>
              <c:strCache>
                <c:ptCount val="1"/>
                <c:pt idx="0">
                  <c:v>Simulation 99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IRS!$F$122:$M$122</c:f>
              <c:numCache>
                <c:formatCode>0</c:formatCode>
                <c:ptCount val="8"/>
                <c:pt idx="0">
                  <c:v>4214.2085824740716</c:v>
                </c:pt>
                <c:pt idx="1">
                  <c:v>8559.9769750285359</c:v>
                </c:pt>
                <c:pt idx="2">
                  <c:v>11199.462814042772</c:v>
                </c:pt>
                <c:pt idx="3">
                  <c:v>12117.618869035079</c:v>
                </c:pt>
                <c:pt idx="4">
                  <c:v>11350.010360763779</c:v>
                </c:pt>
                <c:pt idx="5">
                  <c:v>8984.5492484429487</c:v>
                </c:pt>
                <c:pt idx="6">
                  <c:v>5149.4356630835136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A981-4798-8422-71D39111FE31}"/>
            </c:ext>
          </c:extLst>
        </c:ser>
        <c:ser>
          <c:idx val="99"/>
          <c:order val="99"/>
          <c:tx>
            <c:strRef>
              <c:f>IRS!$B$123</c:f>
              <c:strCache>
                <c:ptCount val="1"/>
                <c:pt idx="0">
                  <c:v>Simulation 100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IRS!$F$123:$M$123</c:f>
              <c:numCache>
                <c:formatCode>0</c:formatCode>
                <c:ptCount val="8"/>
                <c:pt idx="0">
                  <c:v>3514.7831795379589</c:v>
                </c:pt>
                <c:pt idx="1">
                  <c:v>7936.7168123921765</c:v>
                </c:pt>
                <c:pt idx="2">
                  <c:v>10662.532936761709</c:v>
                </c:pt>
                <c:pt idx="3">
                  <c:v>11676.063962622688</c:v>
                </c:pt>
                <c:pt idx="4">
                  <c:v>11011.586129384683</c:v>
                </c:pt>
                <c:pt idx="5">
                  <c:v>8755.3790716618569</c:v>
                </c:pt>
                <c:pt idx="6">
                  <c:v>5033.7463647306477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A981-4798-8422-71D39111FE31}"/>
            </c:ext>
          </c:extLst>
        </c:ser>
        <c:ser>
          <c:idx val="100"/>
          <c:order val="100"/>
          <c:tx>
            <c:strRef>
              <c:f>IRS!$B$124</c:f>
              <c:strCache>
                <c:ptCount val="1"/>
                <c:pt idx="0">
                  <c:v>Simulation 101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IRS!$F$124:$M$124</c:f>
              <c:numCache>
                <c:formatCode>0</c:formatCode>
                <c:ptCount val="8"/>
                <c:pt idx="0">
                  <c:v>3041.1857223075831</c:v>
                </c:pt>
                <c:pt idx="1">
                  <c:v>7493.3923377009087</c:v>
                </c:pt>
                <c:pt idx="2">
                  <c:v>10269.024042713445</c:v>
                </c:pt>
                <c:pt idx="3">
                  <c:v>11347.449198233337</c:v>
                </c:pt>
                <c:pt idx="4">
                  <c:v>10758.714336432446</c:v>
                </c:pt>
                <c:pt idx="5">
                  <c:v>8585.0032043049687</c:v>
                </c:pt>
                <c:pt idx="6">
                  <c:v>4948.7916582744347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A981-4798-8422-71D39111FE31}"/>
            </c:ext>
          </c:extLst>
        </c:ser>
        <c:ser>
          <c:idx val="101"/>
          <c:order val="101"/>
          <c:tx>
            <c:strRef>
              <c:f>IRS!$B$125</c:f>
              <c:strCache>
                <c:ptCount val="1"/>
                <c:pt idx="0">
                  <c:v>Simulation 102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IRS!$F$125:$M$125</c:f>
              <c:numCache>
                <c:formatCode>0</c:formatCode>
                <c:ptCount val="8"/>
                <c:pt idx="0">
                  <c:v>3677.2616385102997</c:v>
                </c:pt>
                <c:pt idx="1">
                  <c:v>8164.4549204334198</c:v>
                </c:pt>
                <c:pt idx="2">
                  <c:v>10942.434638025314</c:v>
                </c:pt>
                <c:pt idx="3">
                  <c:v>11983.791659900999</c:v>
                </c:pt>
                <c:pt idx="4">
                  <c:v>11312.856988440171</c:v>
                </c:pt>
                <c:pt idx="5">
                  <c:v>9007.3673599545418</c:v>
                </c:pt>
                <c:pt idx="6">
                  <c:v>5186.8665918380639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A981-4798-8422-71D39111FE31}"/>
            </c:ext>
          </c:extLst>
        </c:ser>
        <c:ser>
          <c:idx val="102"/>
          <c:order val="102"/>
          <c:tx>
            <c:strRef>
              <c:f>IRS!$B$126</c:f>
              <c:strCache>
                <c:ptCount val="1"/>
                <c:pt idx="0">
                  <c:v>Simulation 103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IRS!$F$126:$M$126</c:f>
              <c:numCache>
                <c:formatCode>0</c:formatCode>
                <c:ptCount val="8"/>
                <c:pt idx="0">
                  <c:v>4332.3822773706443</c:v>
                </c:pt>
                <c:pt idx="1">
                  <c:v>8657.4349383780573</c:v>
                </c:pt>
                <c:pt idx="2">
                  <c:v>11301.075464840123</c:v>
                </c:pt>
                <c:pt idx="3">
                  <c:v>12232.927868487937</c:v>
                </c:pt>
                <c:pt idx="4">
                  <c:v>11474.420068810279</c:v>
                </c:pt>
                <c:pt idx="5">
                  <c:v>9100.2571612097454</c:v>
                </c:pt>
                <c:pt idx="6">
                  <c:v>5226.8981627053008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A981-4798-8422-71D39111FE31}"/>
            </c:ext>
          </c:extLst>
        </c:ser>
        <c:ser>
          <c:idx val="103"/>
          <c:order val="103"/>
          <c:tx>
            <c:strRef>
              <c:f>IRS!$B$127</c:f>
              <c:strCache>
                <c:ptCount val="1"/>
                <c:pt idx="0">
                  <c:v>Simulation 104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IRS!$F$127:$M$127</c:f>
              <c:numCache>
                <c:formatCode>0</c:formatCode>
                <c:ptCount val="8"/>
                <c:pt idx="0">
                  <c:v>5547.390292101205</c:v>
                </c:pt>
                <c:pt idx="1">
                  <c:v>9636.4436229703533</c:v>
                </c:pt>
                <c:pt idx="2">
                  <c:v>12064.739379046659</c:v>
                </c:pt>
                <c:pt idx="3">
                  <c:v>12802.280848485225</c:v>
                </c:pt>
                <c:pt idx="4">
                  <c:v>11870.715107844622</c:v>
                </c:pt>
                <c:pt idx="5">
                  <c:v>9344.5103551742723</c:v>
                </c:pt>
                <c:pt idx="6">
                  <c:v>5339.4169566911869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A981-4798-8422-71D39111FE31}"/>
            </c:ext>
          </c:extLst>
        </c:ser>
        <c:ser>
          <c:idx val="104"/>
          <c:order val="104"/>
          <c:tx>
            <c:strRef>
              <c:f>IRS!$B$128</c:f>
              <c:strCache>
                <c:ptCount val="1"/>
                <c:pt idx="0">
                  <c:v>Simulation 105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IRS!$F$128:$M$128</c:f>
              <c:numCache>
                <c:formatCode>0</c:formatCode>
                <c:ptCount val="8"/>
                <c:pt idx="0">
                  <c:v>6047.24904949764</c:v>
                </c:pt>
                <c:pt idx="1">
                  <c:v>9977.7894343247499</c:v>
                </c:pt>
                <c:pt idx="2">
                  <c:v>12285.162586107013</c:v>
                </c:pt>
                <c:pt idx="3">
                  <c:v>12934.110861585094</c:v>
                </c:pt>
                <c:pt idx="4">
                  <c:v>11941.17919669894</c:v>
                </c:pt>
                <c:pt idx="5">
                  <c:v>9375.7626071120649</c:v>
                </c:pt>
                <c:pt idx="6">
                  <c:v>5348.7000763356691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A981-4798-8422-71D39111FE31}"/>
            </c:ext>
          </c:extLst>
        </c:ser>
        <c:ser>
          <c:idx val="105"/>
          <c:order val="105"/>
          <c:tx>
            <c:strRef>
              <c:f>IRS!$B$129</c:f>
              <c:strCache>
                <c:ptCount val="1"/>
                <c:pt idx="0">
                  <c:v>Simulation 106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IRS!$F$129:$M$129</c:f>
              <c:numCache>
                <c:formatCode>0</c:formatCode>
                <c:ptCount val="8"/>
                <c:pt idx="0">
                  <c:v>2349.0467382649081</c:v>
                </c:pt>
                <c:pt idx="1">
                  <c:v>6899.9341219275593</c:v>
                </c:pt>
                <c:pt idx="2">
                  <c:v>9799.4377503335236</c:v>
                </c:pt>
                <c:pt idx="3">
                  <c:v>11010.714421545345</c:v>
                </c:pt>
                <c:pt idx="4">
                  <c:v>10548.805061676227</c:v>
                </c:pt>
                <c:pt idx="5">
                  <c:v>8481.687296967737</c:v>
                </c:pt>
                <c:pt idx="6">
                  <c:v>4919.0211175393279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A981-4798-8422-71D39111FE31}"/>
            </c:ext>
          </c:extLst>
        </c:ser>
        <c:ser>
          <c:idx val="106"/>
          <c:order val="106"/>
          <c:tx>
            <c:strRef>
              <c:f>IRS!$B$130</c:f>
              <c:strCache>
                <c:ptCount val="1"/>
                <c:pt idx="0">
                  <c:v>Simulation 107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IRS!$F$130:$M$130</c:f>
              <c:numCache>
                <c:formatCode>0</c:formatCode>
                <c:ptCount val="8"/>
                <c:pt idx="0">
                  <c:v>2833.1130847474951</c:v>
                </c:pt>
                <c:pt idx="1">
                  <c:v>7378.2555234552819</c:v>
                </c:pt>
                <c:pt idx="2">
                  <c:v>10245.970849150719</c:v>
                </c:pt>
                <c:pt idx="3">
                  <c:v>11402.014301031726</c:v>
                </c:pt>
                <c:pt idx="4">
                  <c:v>10864.509129751479</c:v>
                </c:pt>
                <c:pt idx="5">
                  <c:v>8704.7162176158381</c:v>
                </c:pt>
                <c:pt idx="6">
                  <c:v>5035.676490507436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A981-4798-8422-71D39111FE31}"/>
            </c:ext>
          </c:extLst>
        </c:ser>
        <c:ser>
          <c:idx val="107"/>
          <c:order val="107"/>
          <c:tx>
            <c:strRef>
              <c:f>IRS!$B$131</c:f>
              <c:strCache>
                <c:ptCount val="1"/>
                <c:pt idx="0">
                  <c:v>Simulation 108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IRS!$F$131:$M$131</c:f>
              <c:numCache>
                <c:formatCode>0</c:formatCode>
                <c:ptCount val="8"/>
                <c:pt idx="0">
                  <c:v>0</c:v>
                </c:pt>
                <c:pt idx="1">
                  <c:v>3446.2223455646699</c:v>
                </c:pt>
                <c:pt idx="2">
                  <c:v>7071.3952323246058</c:v>
                </c:pt>
                <c:pt idx="3">
                  <c:v>8951.4775745005245</c:v>
                </c:pt>
                <c:pt idx="4">
                  <c:v>9098.3067839675605</c:v>
                </c:pt>
                <c:pt idx="5">
                  <c:v>7577.7027923897394</c:v>
                </c:pt>
                <c:pt idx="6">
                  <c:v>4498.3947426349987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A981-4798-8422-71D39111FE31}"/>
            </c:ext>
          </c:extLst>
        </c:ser>
        <c:ser>
          <c:idx val="108"/>
          <c:order val="108"/>
          <c:tx>
            <c:strRef>
              <c:f>IRS!$B$132</c:f>
              <c:strCache>
                <c:ptCount val="1"/>
                <c:pt idx="0">
                  <c:v>Simulation 109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IRS!$F$132:$M$132</c:f>
              <c:numCache>
                <c:formatCode>0</c:formatCode>
                <c:ptCount val="8"/>
                <c:pt idx="0">
                  <c:v>0</c:v>
                </c:pt>
                <c:pt idx="1">
                  <c:v>1544.1173117385561</c:v>
                </c:pt>
                <c:pt idx="2">
                  <c:v>5492.8081595092299</c:v>
                </c:pt>
                <c:pt idx="3">
                  <c:v>7703.9320066621231</c:v>
                </c:pt>
                <c:pt idx="4">
                  <c:v>8181.2045480970992</c:v>
                </c:pt>
                <c:pt idx="5">
                  <c:v>6982.9178121878622</c:v>
                </c:pt>
                <c:pt idx="6">
                  <c:v>4211.1507597417449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A981-4798-8422-71D39111FE31}"/>
            </c:ext>
          </c:extLst>
        </c:ser>
        <c:ser>
          <c:idx val="109"/>
          <c:order val="109"/>
          <c:tx>
            <c:strRef>
              <c:f>IRS!$B$133</c:f>
              <c:strCache>
                <c:ptCount val="1"/>
                <c:pt idx="0">
                  <c:v>Simulation 110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IRS!$F$133:$M$133</c:f>
              <c:numCache>
                <c:formatCode>0</c:formatCode>
                <c:ptCount val="8"/>
                <c:pt idx="0">
                  <c:v>0</c:v>
                </c:pt>
                <c:pt idx="1">
                  <c:v>3190.6222388488454</c:v>
                </c:pt>
                <c:pt idx="2">
                  <c:v>6818.7777453551607</c:v>
                </c:pt>
                <c:pt idx="3">
                  <c:v>8723.7335136240326</c:v>
                </c:pt>
                <c:pt idx="4">
                  <c:v>8912.7940258424969</c:v>
                </c:pt>
                <c:pt idx="5">
                  <c:v>7447.1765582065818</c:v>
                </c:pt>
                <c:pt idx="6">
                  <c:v>4431.0971632659339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A981-4798-8422-71D39111FE31}"/>
            </c:ext>
          </c:extLst>
        </c:ser>
        <c:ser>
          <c:idx val="110"/>
          <c:order val="110"/>
          <c:tx>
            <c:strRef>
              <c:f>IRS!$B$134</c:f>
              <c:strCache>
                <c:ptCount val="1"/>
                <c:pt idx="0">
                  <c:v>Simulation 111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IRS!$F$134:$M$134</c:f>
              <c:numCache>
                <c:formatCode>0</c:formatCode>
                <c:ptCount val="8"/>
                <c:pt idx="0">
                  <c:v>4730.7166766395439</c:v>
                </c:pt>
                <c:pt idx="1">
                  <c:v>8960.0436803340381</c:v>
                </c:pt>
                <c:pt idx="2">
                  <c:v>11525.481745018737</c:v>
                </c:pt>
                <c:pt idx="3">
                  <c:v>12393.588221376487</c:v>
                </c:pt>
                <c:pt idx="4">
                  <c:v>11583.694880983541</c:v>
                </c:pt>
                <c:pt idx="5">
                  <c:v>9167.7722950223197</c:v>
                </c:pt>
                <c:pt idx="6">
                  <c:v>5259.045888951393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A981-4798-8422-71D39111FE31}"/>
            </c:ext>
          </c:extLst>
        </c:ser>
        <c:ser>
          <c:idx val="111"/>
          <c:order val="111"/>
          <c:tx>
            <c:strRef>
              <c:f>IRS!$B$135</c:f>
              <c:strCache>
                <c:ptCount val="1"/>
                <c:pt idx="0">
                  <c:v>Simulation 112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IRS!$F$135:$M$135</c:f>
              <c:numCache>
                <c:formatCode>0</c:formatCode>
                <c:ptCount val="8"/>
                <c:pt idx="0">
                  <c:v>5938.0500910172395</c:v>
                </c:pt>
                <c:pt idx="1">
                  <c:v>10006.144112983187</c:v>
                </c:pt>
                <c:pt idx="2">
                  <c:v>12397.755119317391</c:v>
                </c:pt>
                <c:pt idx="3">
                  <c:v>13085.155231287878</c:v>
                </c:pt>
                <c:pt idx="4">
                  <c:v>12093.16930499999</c:v>
                </c:pt>
                <c:pt idx="5">
                  <c:v>9498.6604935195082</c:v>
                </c:pt>
                <c:pt idx="6">
                  <c:v>5418.99598706285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A981-4798-8422-71D39111FE31}"/>
            </c:ext>
          </c:extLst>
        </c:ser>
        <c:ser>
          <c:idx val="112"/>
          <c:order val="112"/>
          <c:tx>
            <c:strRef>
              <c:f>IRS!$B$136</c:f>
              <c:strCache>
                <c:ptCount val="1"/>
                <c:pt idx="0">
                  <c:v>Simulation 113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IRS!$F$136:$M$136</c:f>
              <c:numCache>
                <c:formatCode>0</c:formatCode>
                <c:ptCount val="8"/>
                <c:pt idx="0">
                  <c:v>7079.8710019480968</c:v>
                </c:pt>
                <c:pt idx="1">
                  <c:v>11052.960815410612</c:v>
                </c:pt>
                <c:pt idx="2">
                  <c:v>13313.474630033572</c:v>
                </c:pt>
                <c:pt idx="3">
                  <c:v>13842.000579630636</c:v>
                </c:pt>
                <c:pt idx="4">
                  <c:v>12671.618883349598</c:v>
                </c:pt>
                <c:pt idx="5">
                  <c:v>9886.9562284741769</c:v>
                </c:pt>
                <c:pt idx="6">
                  <c:v>5612.4183240678094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A981-4798-8422-71D39111FE31}"/>
            </c:ext>
          </c:extLst>
        </c:ser>
        <c:ser>
          <c:idx val="113"/>
          <c:order val="113"/>
          <c:tx>
            <c:strRef>
              <c:f>IRS!$B$137</c:f>
              <c:strCache>
                <c:ptCount val="1"/>
                <c:pt idx="0">
                  <c:v>Simulation 114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IRS!$F$137:$M$137</c:f>
              <c:numCache>
                <c:formatCode>0</c:formatCode>
                <c:ptCount val="8"/>
                <c:pt idx="0">
                  <c:v>1084.3312944217719</c:v>
                </c:pt>
                <c:pt idx="1">
                  <c:v>6081.7185279206915</c:v>
                </c:pt>
                <c:pt idx="2">
                  <c:v>9322.4187380951917</c:v>
                </c:pt>
                <c:pt idx="3">
                  <c:v>10778.731564594133</c:v>
                </c:pt>
                <c:pt idx="4">
                  <c:v>10476.468514882701</c:v>
                </c:pt>
                <c:pt idx="5">
                  <c:v>8494.3042339225613</c:v>
                </c:pt>
                <c:pt idx="6">
                  <c:v>4952.3240263870084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A981-4798-8422-71D39111FE31}"/>
            </c:ext>
          </c:extLst>
        </c:ser>
        <c:ser>
          <c:idx val="114"/>
          <c:order val="114"/>
          <c:tx>
            <c:strRef>
              <c:f>IRS!$B$138</c:f>
              <c:strCache>
                <c:ptCount val="1"/>
                <c:pt idx="0">
                  <c:v>Simulation 115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IRS!$F$138:$M$138</c:f>
              <c:numCache>
                <c:formatCode>0</c:formatCode>
                <c:ptCount val="8"/>
                <c:pt idx="0">
                  <c:v>1364.2496570135904</c:v>
                </c:pt>
                <c:pt idx="1">
                  <c:v>6297.0105246973817</c:v>
                </c:pt>
                <c:pt idx="2">
                  <c:v>9479.9500154930429</c:v>
                </c:pt>
                <c:pt idx="3">
                  <c:v>10886.493550596346</c:v>
                </c:pt>
                <c:pt idx="4">
                  <c:v>10543.353369240536</c:v>
                </c:pt>
                <c:pt idx="5">
                  <c:v>8529.6587047273952</c:v>
                </c:pt>
                <c:pt idx="6">
                  <c:v>4965.5045027216302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A981-4798-8422-71D39111FE31}"/>
            </c:ext>
          </c:extLst>
        </c:ser>
        <c:ser>
          <c:idx val="115"/>
          <c:order val="115"/>
          <c:tx>
            <c:strRef>
              <c:f>IRS!$B$139</c:f>
              <c:strCache>
                <c:ptCount val="1"/>
                <c:pt idx="0">
                  <c:v>Simulation 116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IRS!$F$139:$M$139</c:f>
              <c:numCache>
                <c:formatCode>0</c:formatCode>
                <c:ptCount val="8"/>
                <c:pt idx="0">
                  <c:v>5881.2050142413191</c:v>
                </c:pt>
                <c:pt idx="1">
                  <c:v>10014.563353419453</c:v>
                </c:pt>
                <c:pt idx="2">
                  <c:v>12444.295199227023</c:v>
                </c:pt>
                <c:pt idx="3">
                  <c:v>13147.753386666296</c:v>
                </c:pt>
                <c:pt idx="4">
                  <c:v>12154.980521022968</c:v>
                </c:pt>
                <c:pt idx="5">
                  <c:v>9547.3647041162476</c:v>
                </c:pt>
                <c:pt idx="6">
                  <c:v>5446.0456059666358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A981-4798-8422-71D39111FE31}"/>
            </c:ext>
          </c:extLst>
        </c:ser>
        <c:ser>
          <c:idx val="116"/>
          <c:order val="116"/>
          <c:tx>
            <c:strRef>
              <c:f>IRS!$B$140</c:f>
              <c:strCache>
                <c:ptCount val="1"/>
                <c:pt idx="0">
                  <c:v>Simulation 117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IRS!$F$140:$M$140</c:f>
              <c:numCache>
                <c:formatCode>0</c:formatCode>
                <c:ptCount val="8"/>
                <c:pt idx="0">
                  <c:v>6989.1364883521273</c:v>
                </c:pt>
                <c:pt idx="1">
                  <c:v>10915.848996749326</c:v>
                </c:pt>
                <c:pt idx="2">
                  <c:v>13151.1529165227</c:v>
                </c:pt>
                <c:pt idx="3">
                  <c:v>13675.339062498802</c:v>
                </c:pt>
                <c:pt idx="4">
                  <c:v>12520.923082646759</c:v>
                </c:pt>
                <c:pt idx="5">
                  <c:v>9771.0097387480564</c:v>
                </c:pt>
                <c:pt idx="6">
                  <c:v>5547.6535682040139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A981-4798-8422-71D39111FE31}"/>
            </c:ext>
          </c:extLst>
        </c:ser>
        <c:ser>
          <c:idx val="117"/>
          <c:order val="117"/>
          <c:tx>
            <c:strRef>
              <c:f>IRS!$B$141</c:f>
              <c:strCache>
                <c:ptCount val="1"/>
                <c:pt idx="0">
                  <c:v>Simulation 118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IRS!$F$141:$M$141</c:f>
              <c:numCache>
                <c:formatCode>0</c:formatCode>
                <c:ptCount val="8"/>
                <c:pt idx="0">
                  <c:v>6601.3657174169666</c:v>
                </c:pt>
                <c:pt idx="1">
                  <c:v>10550.501909839819</c:v>
                </c:pt>
                <c:pt idx="2">
                  <c:v>12826.507392572275</c:v>
                </c:pt>
                <c:pt idx="3">
                  <c:v>13405.025825559685</c:v>
                </c:pt>
                <c:pt idx="4">
                  <c:v>12314.192183844778</c:v>
                </c:pt>
                <c:pt idx="5">
                  <c:v>9632.9590098110275</c:v>
                </c:pt>
                <c:pt idx="6">
                  <c:v>5479.5990331855637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A981-4798-8422-71D39111FE31}"/>
            </c:ext>
          </c:extLst>
        </c:ser>
        <c:ser>
          <c:idx val="118"/>
          <c:order val="118"/>
          <c:tx>
            <c:strRef>
              <c:f>IRS!$B$142</c:f>
              <c:strCache>
                <c:ptCount val="1"/>
                <c:pt idx="0">
                  <c:v>Simulation 119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IRS!$F$142:$M$142</c:f>
              <c:numCache>
                <c:formatCode>0</c:formatCode>
                <c:ptCount val="8"/>
                <c:pt idx="0">
                  <c:v>7823.5786457695285</c:v>
                </c:pt>
                <c:pt idx="1">
                  <c:v>11620.507100991657</c:v>
                </c:pt>
                <c:pt idx="2">
                  <c:v>13726.02410207536</c:v>
                </c:pt>
                <c:pt idx="3">
                  <c:v>14122.773974905293</c:v>
                </c:pt>
                <c:pt idx="4">
                  <c:v>12845.570777989666</c:v>
                </c:pt>
                <c:pt idx="5">
                  <c:v>9979.3440794872331</c:v>
                </c:pt>
                <c:pt idx="6">
                  <c:v>5647.4714608637305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A981-4798-8422-71D39111FE31}"/>
            </c:ext>
          </c:extLst>
        </c:ser>
        <c:ser>
          <c:idx val="119"/>
          <c:order val="119"/>
          <c:tx>
            <c:strRef>
              <c:f>IRS!$B$143</c:f>
              <c:strCache>
                <c:ptCount val="1"/>
                <c:pt idx="0">
                  <c:v>Simulation 120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IRS!$F$143:$M$143</c:f>
              <c:numCache>
                <c:formatCode>0</c:formatCode>
                <c:ptCount val="8"/>
                <c:pt idx="0">
                  <c:v>9645.8938701505067</c:v>
                </c:pt>
                <c:pt idx="1">
                  <c:v>13221.687143691368</c:v>
                </c:pt>
                <c:pt idx="2">
                  <c:v>15082.976672399818</c:v>
                </c:pt>
                <c:pt idx="3">
                  <c:v>15218.48196826506</c:v>
                </c:pt>
                <c:pt idx="4">
                  <c:v>13669.227374899594</c:v>
                </c:pt>
                <c:pt idx="5">
                  <c:v>10526.107789160662</c:v>
                </c:pt>
                <c:pt idx="6">
                  <c:v>5918.0267175587678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A981-4798-8422-71D39111FE31}"/>
            </c:ext>
          </c:extLst>
        </c:ser>
        <c:ser>
          <c:idx val="120"/>
          <c:order val="120"/>
          <c:tx>
            <c:strRef>
              <c:f>IRS!$B$144</c:f>
              <c:strCache>
                <c:ptCount val="1"/>
                <c:pt idx="0">
                  <c:v>Simulation 121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IRS!$F$144:$M$144</c:f>
              <c:numCache>
                <c:formatCode>0</c:formatCode>
                <c:ptCount val="8"/>
                <c:pt idx="0">
                  <c:v>10904.329875223739</c:v>
                </c:pt>
                <c:pt idx="1">
                  <c:v>14405.340793584084</c:v>
                </c:pt>
                <c:pt idx="2">
                  <c:v>16141.756415982098</c:v>
                </c:pt>
                <c:pt idx="3">
                  <c:v>16111.383644836384</c:v>
                </c:pt>
                <c:pt idx="4">
                  <c:v>14364.533570637388</c:v>
                </c:pt>
                <c:pt idx="5">
                  <c:v>11001.154813179526</c:v>
                </c:pt>
                <c:pt idx="6">
                  <c:v>6158.6954301317828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A981-4798-8422-71D39111FE31}"/>
            </c:ext>
          </c:extLst>
        </c:ser>
        <c:ser>
          <c:idx val="121"/>
          <c:order val="121"/>
          <c:tx>
            <c:strRef>
              <c:f>IRS!$B$145</c:f>
              <c:strCache>
                <c:ptCount val="1"/>
                <c:pt idx="0">
                  <c:v>Simulation 122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IRS!$F$145:$M$145</c:f>
              <c:numCache>
                <c:formatCode>0</c:formatCode>
                <c:ptCount val="8"/>
                <c:pt idx="0">
                  <c:v>10536.683325537599</c:v>
                </c:pt>
                <c:pt idx="1">
                  <c:v>14084.362707924725</c:v>
                </c:pt>
                <c:pt idx="2">
                  <c:v>15867.297176006239</c:v>
                </c:pt>
                <c:pt idx="3">
                  <c:v>15884.973986147097</c:v>
                </c:pt>
                <c:pt idx="4">
                  <c:v>14189.035165073401</c:v>
                </c:pt>
                <c:pt idx="5">
                  <c:v>10880.234655697348</c:v>
                </c:pt>
                <c:pt idx="6">
                  <c:v>6096.3190150307364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A981-4798-8422-71D39111FE31}"/>
            </c:ext>
          </c:extLst>
        </c:ser>
        <c:ser>
          <c:idx val="122"/>
          <c:order val="122"/>
          <c:tx>
            <c:strRef>
              <c:f>IRS!$B$146</c:f>
              <c:strCache>
                <c:ptCount val="1"/>
                <c:pt idx="0">
                  <c:v>Simulation 123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IRS!$F$146:$M$146</c:f>
              <c:numCache>
                <c:formatCode>0</c:formatCode>
                <c:ptCount val="8"/>
                <c:pt idx="0">
                  <c:v>9201.4428239852787</c:v>
                </c:pt>
                <c:pt idx="1">
                  <c:v>13079.227139224769</c:v>
                </c:pt>
                <c:pt idx="2">
                  <c:v>15138.901072881512</c:v>
                </c:pt>
                <c:pt idx="3">
                  <c:v>15383.677861552473</c:v>
                </c:pt>
                <c:pt idx="4">
                  <c:v>13869.450986537244</c:v>
                </c:pt>
                <c:pt idx="5">
                  <c:v>10701.552376574637</c:v>
                </c:pt>
                <c:pt idx="6">
                  <c:v>6022.5281200089903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A981-4798-8422-71D39111FE31}"/>
            </c:ext>
          </c:extLst>
        </c:ser>
        <c:ser>
          <c:idx val="123"/>
          <c:order val="123"/>
          <c:tx>
            <c:strRef>
              <c:f>IRS!$B$147</c:f>
              <c:strCache>
                <c:ptCount val="1"/>
                <c:pt idx="0">
                  <c:v>Simulation 124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IRS!$F$147:$M$147</c:f>
              <c:numCache>
                <c:formatCode>0</c:formatCode>
                <c:ptCount val="8"/>
                <c:pt idx="0">
                  <c:v>8084.7392967629985</c:v>
                </c:pt>
                <c:pt idx="1">
                  <c:v>12099.435691428147</c:v>
                </c:pt>
                <c:pt idx="2">
                  <c:v>14313.725726502676</c:v>
                </c:pt>
                <c:pt idx="3">
                  <c:v>14724.27378446012</c:v>
                </c:pt>
                <c:pt idx="4">
                  <c:v>13380.807621770195</c:v>
                </c:pt>
                <c:pt idx="5">
                  <c:v>10382.949718809792</c:v>
                </c:pt>
                <c:pt idx="6">
                  <c:v>5868.2034572118482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A981-4798-8422-71D39111FE31}"/>
            </c:ext>
          </c:extLst>
        </c:ser>
        <c:ser>
          <c:idx val="124"/>
          <c:order val="124"/>
          <c:tx>
            <c:strRef>
              <c:f>IRS!$B$148</c:f>
              <c:strCache>
                <c:ptCount val="1"/>
                <c:pt idx="0">
                  <c:v>Simulation 125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IRS!$F$148:$M$148</c:f>
              <c:numCache>
                <c:formatCode>0</c:formatCode>
                <c:ptCount val="8"/>
                <c:pt idx="0">
                  <c:v>10573.063575290238</c:v>
                </c:pt>
                <c:pt idx="1">
                  <c:v>14328.718597739702</c:v>
                </c:pt>
                <c:pt idx="2">
                  <c:v>16227.799272182034</c:v>
                </c:pt>
                <c:pt idx="3">
                  <c:v>16282.050733260785</c:v>
                </c:pt>
                <c:pt idx="4">
                  <c:v>14555.961919971771</c:v>
                </c:pt>
                <c:pt idx="5">
                  <c:v>11162.953231826303</c:v>
                </c:pt>
                <c:pt idx="6">
                  <c:v>6252.9237757624969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A981-4798-8422-71D39111FE31}"/>
            </c:ext>
          </c:extLst>
        </c:ser>
        <c:ser>
          <c:idx val="125"/>
          <c:order val="125"/>
          <c:tx>
            <c:strRef>
              <c:f>IRS!$B$149</c:f>
              <c:strCache>
                <c:ptCount val="1"/>
                <c:pt idx="0">
                  <c:v>Simulation 126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IRS!$F$149:$M$149</c:f>
              <c:numCache>
                <c:formatCode>0</c:formatCode>
                <c:ptCount val="8"/>
                <c:pt idx="0">
                  <c:v>11341.174908131019</c:v>
                </c:pt>
                <c:pt idx="1">
                  <c:v>14927.496937638392</c:v>
                </c:pt>
                <c:pt idx="2">
                  <c:v>16685.741206984898</c:v>
                </c:pt>
                <c:pt idx="3">
                  <c:v>16622.01502213546</c:v>
                </c:pt>
                <c:pt idx="4">
                  <c:v>14795.609559903565</c:v>
                </c:pt>
                <c:pt idx="5">
                  <c:v>11315.176300005573</c:v>
                </c:pt>
                <c:pt idx="6">
                  <c:v>6326.4211782361244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A981-4798-8422-71D39111FE31}"/>
            </c:ext>
          </c:extLst>
        </c:ser>
        <c:ser>
          <c:idx val="126"/>
          <c:order val="126"/>
          <c:tx>
            <c:strRef>
              <c:f>IRS!$B$150</c:f>
              <c:strCache>
                <c:ptCount val="1"/>
                <c:pt idx="0">
                  <c:v>Simulation 127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IRS!$F$150:$M$150</c:f>
              <c:numCache>
                <c:formatCode>0</c:formatCode>
                <c:ptCount val="8"/>
                <c:pt idx="0">
                  <c:v>13231.122714275156</c:v>
                </c:pt>
                <c:pt idx="1">
                  <c:v>16571.147786022782</c:v>
                </c:pt>
                <c:pt idx="2">
                  <c:v>18063.497621337137</c:v>
                </c:pt>
                <c:pt idx="3">
                  <c:v>17721.689287144683</c:v>
                </c:pt>
                <c:pt idx="4">
                  <c:v>15612.23950042238</c:v>
                </c:pt>
                <c:pt idx="5">
                  <c:v>11850.436643331797</c:v>
                </c:pt>
                <c:pt idx="6">
                  <c:v>6587.8273206203494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A981-4798-8422-71D39111FE31}"/>
            </c:ext>
          </c:extLst>
        </c:ser>
        <c:ser>
          <c:idx val="127"/>
          <c:order val="127"/>
          <c:tx>
            <c:strRef>
              <c:f>IRS!$B$151</c:f>
              <c:strCache>
                <c:ptCount val="1"/>
                <c:pt idx="0">
                  <c:v>Simulation 128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IRS!$F$151:$M$151</c:f>
              <c:numCache>
                <c:formatCode>0</c:formatCode>
                <c:ptCount val="8"/>
                <c:pt idx="0">
                  <c:v>12842.301346349446</c:v>
                </c:pt>
                <c:pt idx="1">
                  <c:v>16260.914370844706</c:v>
                </c:pt>
                <c:pt idx="2">
                  <c:v>17826.061503757854</c:v>
                </c:pt>
                <c:pt idx="3">
                  <c:v>17549.795524213077</c:v>
                </c:pt>
                <c:pt idx="4">
                  <c:v>15497.525087649472</c:v>
                </c:pt>
                <c:pt idx="5">
                  <c:v>11783.706955809696</c:v>
                </c:pt>
                <c:pt idx="6">
                  <c:v>6559.3808157909825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A981-4798-8422-71D39111FE31}"/>
            </c:ext>
          </c:extLst>
        </c:ser>
        <c:ser>
          <c:idx val="128"/>
          <c:order val="128"/>
          <c:tx>
            <c:strRef>
              <c:f>IRS!$B$152</c:f>
              <c:strCache>
                <c:ptCount val="1"/>
                <c:pt idx="0">
                  <c:v>Simulation 129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IRS!$F$152:$M$152</c:f>
              <c:numCache>
                <c:formatCode>0</c:formatCode>
                <c:ptCount val="8"/>
                <c:pt idx="0">
                  <c:v>13244.466379809062</c:v>
                </c:pt>
                <c:pt idx="1">
                  <c:v>16560.326752429675</c:v>
                </c:pt>
                <c:pt idx="2">
                  <c:v>18036.540299654378</c:v>
                </c:pt>
                <c:pt idx="3">
                  <c:v>17686.49335417731</c:v>
                </c:pt>
                <c:pt idx="4">
                  <c:v>15576.428140119871</c:v>
                </c:pt>
                <c:pt idx="5">
                  <c:v>11820.965356342194</c:v>
                </c:pt>
                <c:pt idx="6">
                  <c:v>6570.6730678518497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A981-4798-8422-71D39111FE31}"/>
            </c:ext>
          </c:extLst>
        </c:ser>
        <c:ser>
          <c:idx val="129"/>
          <c:order val="129"/>
          <c:tx>
            <c:strRef>
              <c:f>IRS!$B$153</c:f>
              <c:strCache>
                <c:ptCount val="1"/>
                <c:pt idx="0">
                  <c:v>Simulation 130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IRS!$F$153:$M$153</c:f>
              <c:numCache>
                <c:formatCode>0</c:formatCode>
                <c:ptCount val="8"/>
                <c:pt idx="0">
                  <c:v>19826.388201397414</c:v>
                </c:pt>
                <c:pt idx="1">
                  <c:v>22084.63939779342</c:v>
                </c:pt>
                <c:pt idx="2">
                  <c:v>22526.14051565282</c:v>
                </c:pt>
                <c:pt idx="3">
                  <c:v>21175.038624572986</c:v>
                </c:pt>
                <c:pt idx="4">
                  <c:v>18107.629620107433</c:v>
                </c:pt>
                <c:pt idx="5">
                  <c:v>13447.241361077535</c:v>
                </c:pt>
                <c:pt idx="6">
                  <c:v>7351.4730067915052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A981-4798-8422-71D39111FE31}"/>
            </c:ext>
          </c:extLst>
        </c:ser>
        <c:ser>
          <c:idx val="130"/>
          <c:order val="130"/>
          <c:tx>
            <c:strRef>
              <c:f>IRS!$B$154</c:f>
              <c:strCache>
                <c:ptCount val="1"/>
                <c:pt idx="0">
                  <c:v>Simulation 131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IRS!$F$154:$M$154</c:f>
              <c:numCache>
                <c:formatCode>0</c:formatCode>
                <c:ptCount val="8"/>
                <c:pt idx="0">
                  <c:v>17223.363758594136</c:v>
                </c:pt>
                <c:pt idx="1">
                  <c:v>20021.869775839201</c:v>
                </c:pt>
                <c:pt idx="2">
                  <c:v>20937.833630629066</c:v>
                </c:pt>
                <c:pt idx="3">
                  <c:v>20001.139550761396</c:v>
                </c:pt>
                <c:pt idx="4">
                  <c:v>17293.985089062968</c:v>
                </c:pt>
                <c:pt idx="5">
                  <c:v>12945.565025225751</c:v>
                </c:pt>
                <c:pt idx="6">
                  <c:v>7119.194579840575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A981-4798-8422-71D39111FE31}"/>
            </c:ext>
          </c:extLst>
        </c:ser>
        <c:ser>
          <c:idx val="131"/>
          <c:order val="131"/>
          <c:tx>
            <c:strRef>
              <c:f>IRS!$B$155</c:f>
              <c:strCache>
                <c:ptCount val="1"/>
                <c:pt idx="0">
                  <c:v>Simulation 132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IRS!$F$155:$M$155</c:f>
              <c:numCache>
                <c:formatCode>0</c:formatCode>
                <c:ptCount val="8"/>
                <c:pt idx="0">
                  <c:v>18245.555557450443</c:v>
                </c:pt>
                <c:pt idx="1">
                  <c:v>20897.928097021329</c:v>
                </c:pt>
                <c:pt idx="2">
                  <c:v>21665.768350139591</c:v>
                </c:pt>
                <c:pt idx="3">
                  <c:v>20580.08668850693</c:v>
                </c:pt>
                <c:pt idx="4">
                  <c:v>17724.380958237805</c:v>
                </c:pt>
                <c:pt idx="5">
                  <c:v>13229.13348054513</c:v>
                </c:pt>
                <c:pt idx="6">
                  <c:v>7258.8999533609967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3-A981-4798-8422-71D39111FE31}"/>
            </c:ext>
          </c:extLst>
        </c:ser>
        <c:ser>
          <c:idx val="132"/>
          <c:order val="132"/>
          <c:tx>
            <c:strRef>
              <c:f>IRS!$B$156</c:f>
              <c:strCache>
                <c:ptCount val="1"/>
                <c:pt idx="0">
                  <c:v>Simulation 133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IRS!$F$156:$M$156</c:f>
              <c:numCache>
                <c:formatCode>0</c:formatCode>
                <c:ptCount val="8"/>
                <c:pt idx="0">
                  <c:v>18200.637812073859</c:v>
                </c:pt>
                <c:pt idx="1">
                  <c:v>20898.862502182827</c:v>
                </c:pt>
                <c:pt idx="2">
                  <c:v>21694.650505554044</c:v>
                </c:pt>
                <c:pt idx="3">
                  <c:v>20621.960056988377</c:v>
                </c:pt>
                <c:pt idx="4">
                  <c:v>17767.238800098392</c:v>
                </c:pt>
                <c:pt idx="5">
                  <c:v>13263.721184688198</c:v>
                </c:pt>
                <c:pt idx="6">
                  <c:v>7278.4607658514433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4-A981-4798-8422-71D39111FE31}"/>
            </c:ext>
          </c:extLst>
        </c:ser>
        <c:ser>
          <c:idx val="133"/>
          <c:order val="133"/>
          <c:tx>
            <c:strRef>
              <c:f>IRS!$B$157</c:f>
              <c:strCache>
                <c:ptCount val="1"/>
                <c:pt idx="0">
                  <c:v>Simulation 134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IRS!$F$157:$M$157</c:f>
              <c:numCache>
                <c:formatCode>0</c:formatCode>
                <c:ptCount val="8"/>
                <c:pt idx="0">
                  <c:v>19004.182613550747</c:v>
                </c:pt>
                <c:pt idx="1">
                  <c:v>21636.495082763751</c:v>
                </c:pt>
                <c:pt idx="2">
                  <c:v>22345.19477103911</c:v>
                </c:pt>
                <c:pt idx="3">
                  <c:v>21166.870343265829</c:v>
                </c:pt>
                <c:pt idx="4">
                  <c:v>18191.013593776086</c:v>
                </c:pt>
                <c:pt idx="5">
                  <c:v>13554.089662538179</c:v>
                </c:pt>
                <c:pt idx="6">
                  <c:v>7426.4657189435165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5-A981-4798-8422-71D39111FE31}"/>
            </c:ext>
          </c:extLst>
        </c:ser>
        <c:ser>
          <c:idx val="134"/>
          <c:order val="134"/>
          <c:tx>
            <c:strRef>
              <c:f>IRS!$B$158</c:f>
              <c:strCache>
                <c:ptCount val="1"/>
                <c:pt idx="0">
                  <c:v>Simulation 135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IRS!$F$158:$M$158</c:f>
              <c:numCache>
                <c:formatCode>0</c:formatCode>
                <c:ptCount val="8"/>
                <c:pt idx="0">
                  <c:v>23319.995864480792</c:v>
                </c:pt>
                <c:pt idx="1">
                  <c:v>25176.790930441537</c:v>
                </c:pt>
                <c:pt idx="2">
                  <c:v>25164.081578595775</c:v>
                </c:pt>
                <c:pt idx="3">
                  <c:v>23318.172670137414</c:v>
                </c:pt>
                <c:pt idx="4">
                  <c:v>19727.977645931467</c:v>
                </c:pt>
                <c:pt idx="5">
                  <c:v>14528.86244038833</c:v>
                </c:pt>
                <c:pt idx="6">
                  <c:v>7889.5869602297771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6-A981-4798-8422-71D39111FE31}"/>
            </c:ext>
          </c:extLst>
        </c:ser>
        <c:ser>
          <c:idx val="135"/>
          <c:order val="135"/>
          <c:tx>
            <c:strRef>
              <c:f>IRS!$B$159</c:f>
              <c:strCache>
                <c:ptCount val="1"/>
                <c:pt idx="0">
                  <c:v>Simulation 136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IRS!$F$159:$M$159</c:f>
              <c:numCache>
                <c:formatCode>0</c:formatCode>
                <c:ptCount val="8"/>
                <c:pt idx="0">
                  <c:v>23162.155192389906</c:v>
                </c:pt>
                <c:pt idx="1">
                  <c:v>25126.773965034612</c:v>
                </c:pt>
                <c:pt idx="2">
                  <c:v>25183.486811886614</c:v>
                </c:pt>
                <c:pt idx="3">
                  <c:v>23374.747755253789</c:v>
                </c:pt>
                <c:pt idx="4">
                  <c:v>19795.600885060616</c:v>
                </c:pt>
                <c:pt idx="5">
                  <c:v>14587.243411709296</c:v>
                </c:pt>
                <c:pt idx="6">
                  <c:v>7923.8173731484858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7-A981-4798-8422-71D39111FE31}"/>
            </c:ext>
          </c:extLst>
        </c:ser>
        <c:ser>
          <c:idx val="136"/>
          <c:order val="136"/>
          <c:tx>
            <c:strRef>
              <c:f>IRS!$B$160</c:f>
              <c:strCache>
                <c:ptCount val="1"/>
                <c:pt idx="0">
                  <c:v>Simulation 137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IRS!$F$160:$M$160</c:f>
              <c:numCache>
                <c:formatCode>0</c:formatCode>
                <c:ptCount val="8"/>
                <c:pt idx="0">
                  <c:v>23076.222942210508</c:v>
                </c:pt>
                <c:pt idx="1">
                  <c:v>25046.119687380731</c:v>
                </c:pt>
                <c:pt idx="2">
                  <c:v>25109.024478369542</c:v>
                </c:pt>
                <c:pt idx="3">
                  <c:v>23308.556095438325</c:v>
                </c:pt>
                <c:pt idx="4">
                  <c:v>19740.657059429348</c:v>
                </c:pt>
                <c:pt idx="5">
                  <c:v>14547.031809321983</c:v>
                </c:pt>
                <c:pt idx="6">
                  <c:v>7901.9689231352995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8-A981-4798-8422-71D39111FE31}"/>
            </c:ext>
          </c:extLst>
        </c:ser>
        <c:ser>
          <c:idx val="137"/>
          <c:order val="137"/>
          <c:tx>
            <c:strRef>
              <c:f>IRS!$B$161</c:f>
              <c:strCache>
                <c:ptCount val="1"/>
                <c:pt idx="0">
                  <c:v>Simulation 138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IRS!$F$161:$M$161</c:f>
              <c:numCache>
                <c:formatCode>0</c:formatCode>
                <c:ptCount val="8"/>
                <c:pt idx="0">
                  <c:v>21307.938425900531</c:v>
                </c:pt>
                <c:pt idx="1">
                  <c:v>23646.344461452914</c:v>
                </c:pt>
                <c:pt idx="2">
                  <c:v>24035.7007673099</c:v>
                </c:pt>
                <c:pt idx="3">
                  <c:v>22521.261510048418</c:v>
                </c:pt>
                <c:pt idx="4">
                  <c:v>19201.081390035739</c:v>
                </c:pt>
                <c:pt idx="5">
                  <c:v>14219.340112598806</c:v>
                </c:pt>
                <c:pt idx="6">
                  <c:v>7753.1199060919953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9-A981-4798-8422-71D39111FE31}"/>
            </c:ext>
          </c:extLst>
        </c:ser>
        <c:ser>
          <c:idx val="138"/>
          <c:order val="138"/>
          <c:tx>
            <c:strRef>
              <c:f>IRS!$B$162</c:f>
              <c:strCache>
                <c:ptCount val="1"/>
                <c:pt idx="0">
                  <c:v>Simulation 139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IRS!$F$162:$M$162</c:f>
              <c:numCache>
                <c:formatCode>0</c:formatCode>
                <c:ptCount val="8"/>
                <c:pt idx="0">
                  <c:v>18446.142480361908</c:v>
                </c:pt>
                <c:pt idx="1">
                  <c:v>21291.177897157977</c:v>
                </c:pt>
                <c:pt idx="2">
                  <c:v>22152.135576304579</c:v>
                </c:pt>
                <c:pt idx="3">
                  <c:v>21075.786270524273</c:v>
                </c:pt>
                <c:pt idx="4">
                  <c:v>18161.664343635064</c:v>
                </c:pt>
                <c:pt idx="5">
                  <c:v>13555.327947656206</c:v>
                </c:pt>
                <c:pt idx="6">
                  <c:v>7435.1631027660969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A-A981-4798-8422-71D39111FE31}"/>
            </c:ext>
          </c:extLst>
        </c:ser>
        <c:ser>
          <c:idx val="139"/>
          <c:order val="139"/>
          <c:tx>
            <c:strRef>
              <c:f>IRS!$B$163</c:f>
              <c:strCache>
                <c:ptCount val="1"/>
                <c:pt idx="0">
                  <c:v>Simulation 140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IRS!$F$163:$M$163</c:f>
              <c:numCache>
                <c:formatCode>0</c:formatCode>
                <c:ptCount val="8"/>
                <c:pt idx="0">
                  <c:v>16601.737530727696</c:v>
                </c:pt>
                <c:pt idx="1">
                  <c:v>19708.469148729007</c:v>
                </c:pt>
                <c:pt idx="2">
                  <c:v>20845.17458226877</c:v>
                </c:pt>
                <c:pt idx="3">
                  <c:v>20049.728691025775</c:v>
                </c:pt>
                <c:pt idx="4">
                  <c:v>17413.455929437117</c:v>
                </c:pt>
                <c:pt idx="5">
                  <c:v>13074.607971013658</c:v>
                </c:pt>
                <c:pt idx="6">
                  <c:v>7205.4372399057183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B-A981-4798-8422-71D39111FE31}"/>
            </c:ext>
          </c:extLst>
        </c:ser>
        <c:ser>
          <c:idx val="140"/>
          <c:order val="140"/>
          <c:tx>
            <c:strRef>
              <c:f>IRS!$B$164</c:f>
              <c:strCache>
                <c:ptCount val="1"/>
                <c:pt idx="0">
                  <c:v>Simulation 141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IRS!$F$164:$M$164</c:f>
              <c:numCache>
                <c:formatCode>0</c:formatCode>
                <c:ptCount val="8"/>
                <c:pt idx="0">
                  <c:v>17886.008357904298</c:v>
                </c:pt>
                <c:pt idx="1">
                  <c:v>20794.244530906224</c:v>
                </c:pt>
                <c:pt idx="2">
                  <c:v>21735.953650799376</c:v>
                </c:pt>
                <c:pt idx="3">
                  <c:v>20749.871840782176</c:v>
                </c:pt>
                <c:pt idx="4">
                  <c:v>17928.300355504594</c:v>
                </c:pt>
                <c:pt idx="5">
                  <c:v>13410.42425293421</c:v>
                </c:pt>
                <c:pt idx="6">
                  <c:v>7369.3662212661975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C-A981-4798-8422-71D39111FE31}"/>
            </c:ext>
          </c:extLst>
        </c:ser>
        <c:ser>
          <c:idx val="141"/>
          <c:order val="141"/>
          <c:tx>
            <c:strRef>
              <c:f>IRS!$B$165</c:f>
              <c:strCache>
                <c:ptCount val="1"/>
                <c:pt idx="0">
                  <c:v>Simulation 142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IRS!$F$165:$M$165</c:f>
              <c:numCache>
                <c:formatCode>0</c:formatCode>
                <c:ptCount val="8"/>
                <c:pt idx="0">
                  <c:v>15419.994095217935</c:v>
                </c:pt>
                <c:pt idx="1">
                  <c:v>18672.662484240325</c:v>
                </c:pt>
                <c:pt idx="2">
                  <c:v>19977.969945156998</c:v>
                </c:pt>
                <c:pt idx="3">
                  <c:v>19363.85824672614</c:v>
                </c:pt>
                <c:pt idx="4">
                  <c:v>16912.516279135947</c:v>
                </c:pt>
                <c:pt idx="5">
                  <c:v>12753.998047902311</c:v>
                </c:pt>
                <c:pt idx="6">
                  <c:v>7053.6167404226353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D-A981-4798-8422-71D39111FE31}"/>
            </c:ext>
          </c:extLst>
        </c:ser>
        <c:ser>
          <c:idx val="142"/>
          <c:order val="142"/>
          <c:tx>
            <c:strRef>
              <c:f>IRS!$B$166</c:f>
              <c:strCache>
                <c:ptCount val="1"/>
                <c:pt idx="0">
                  <c:v>Simulation 143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IRS!$F$166:$M$166</c:f>
              <c:numCache>
                <c:formatCode>0</c:formatCode>
                <c:ptCount val="8"/>
                <c:pt idx="0">
                  <c:v>17338.184577806627</c:v>
                </c:pt>
                <c:pt idx="1">
                  <c:v>20396.626814463798</c:v>
                </c:pt>
                <c:pt idx="2">
                  <c:v>21462.91936856963</c:v>
                </c:pt>
                <c:pt idx="3">
                  <c:v>20576.327316240648</c:v>
                </c:pt>
                <c:pt idx="4">
                  <c:v>17830.219679979331</c:v>
                </c:pt>
                <c:pt idx="5">
                  <c:v>13365.192221283472</c:v>
                </c:pt>
                <c:pt idx="6">
                  <c:v>7356.1250706313622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E-A981-4798-8422-71D39111FE31}"/>
            </c:ext>
          </c:extLst>
        </c:ser>
        <c:ser>
          <c:idx val="143"/>
          <c:order val="143"/>
          <c:tx>
            <c:strRef>
              <c:f>IRS!$B$167</c:f>
              <c:strCache>
                <c:ptCount val="1"/>
                <c:pt idx="0">
                  <c:v>Simulation 144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IRS!$F$167:$M$167</c:f>
              <c:numCache>
                <c:formatCode>0</c:formatCode>
                <c:ptCount val="8"/>
                <c:pt idx="0">
                  <c:v>21937.015294160316</c:v>
                </c:pt>
                <c:pt idx="1">
                  <c:v>24225.325460754051</c:v>
                </c:pt>
                <c:pt idx="2">
                  <c:v>24542.343174038826</c:v>
                </c:pt>
                <c:pt idx="3">
                  <c:v>22939.236672626233</c:v>
                </c:pt>
                <c:pt idx="4">
                  <c:v>19519.7553796053</c:v>
                </c:pt>
                <c:pt idx="5">
                  <c:v>14432.816847492466</c:v>
                </c:pt>
                <c:pt idx="6">
                  <c:v>7859.3332019641748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F-A981-4798-8422-71D39111FE31}"/>
            </c:ext>
          </c:extLst>
        </c:ser>
        <c:ser>
          <c:idx val="144"/>
          <c:order val="144"/>
          <c:tx>
            <c:strRef>
              <c:f>IRS!$B$168</c:f>
              <c:strCache>
                <c:ptCount val="1"/>
                <c:pt idx="0">
                  <c:v>Simulation 145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IRS!$F$168:$M$168</c:f>
              <c:numCache>
                <c:formatCode>0</c:formatCode>
                <c:ptCount val="8"/>
                <c:pt idx="0">
                  <c:v>18099.674666182778</c:v>
                </c:pt>
                <c:pt idx="1">
                  <c:v>21085.132084904009</c:v>
                </c:pt>
                <c:pt idx="2">
                  <c:v>22053.970221896001</c:v>
                </c:pt>
                <c:pt idx="3">
                  <c:v>21053.746108520605</c:v>
                </c:pt>
                <c:pt idx="4">
                  <c:v>18185.559806712074</c:v>
                </c:pt>
                <c:pt idx="5">
                  <c:v>13596.739203708317</c:v>
                </c:pt>
                <c:pt idx="6">
                  <c:v>7467.7543068767955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0-A981-4798-8422-71D39111FE31}"/>
            </c:ext>
          </c:extLst>
        </c:ser>
        <c:ser>
          <c:idx val="145"/>
          <c:order val="145"/>
          <c:tx>
            <c:strRef>
              <c:f>IRS!$B$169</c:f>
              <c:strCache>
                <c:ptCount val="1"/>
                <c:pt idx="0">
                  <c:v>Simulation 146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IRS!$F$169:$M$169</c:f>
              <c:numCache>
                <c:formatCode>0</c:formatCode>
                <c:ptCount val="8"/>
                <c:pt idx="0">
                  <c:v>23875.811328337302</c:v>
                </c:pt>
                <c:pt idx="1">
                  <c:v>25962.128958540547</c:v>
                </c:pt>
                <c:pt idx="2">
                  <c:v>26035.799814222395</c:v>
                </c:pt>
                <c:pt idx="3">
                  <c:v>24158.128815585562</c:v>
                </c:pt>
                <c:pt idx="4">
                  <c:v>20442.957014343279</c:v>
                </c:pt>
                <c:pt idx="5">
                  <c:v>15048.708741338603</c:v>
                </c:pt>
                <c:pt idx="6">
                  <c:v>8164.9482078587316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1-A981-4798-8422-71D39111FE31}"/>
            </c:ext>
          </c:extLst>
        </c:ser>
        <c:ser>
          <c:idx val="146"/>
          <c:order val="146"/>
          <c:tx>
            <c:strRef>
              <c:f>IRS!$B$170</c:f>
              <c:strCache>
                <c:ptCount val="1"/>
                <c:pt idx="0">
                  <c:v>Simulation 147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IRS!$F$170:$M$170</c:f>
              <c:numCache>
                <c:formatCode>0</c:formatCode>
                <c:ptCount val="8"/>
                <c:pt idx="0">
                  <c:v>25034.441224140104</c:v>
                </c:pt>
                <c:pt idx="1">
                  <c:v>26954.159121291599</c:v>
                </c:pt>
                <c:pt idx="2">
                  <c:v>26852.652547938902</c:v>
                </c:pt>
                <c:pt idx="3">
                  <c:v>24797.272843812359</c:v>
                </c:pt>
                <c:pt idx="4">
                  <c:v>20907.360547629305</c:v>
                </c:pt>
                <c:pt idx="5">
                  <c:v>15346.010944520574</c:v>
                </c:pt>
                <c:pt idx="6">
                  <c:v>8306.5237334309095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2-A981-4798-8422-71D39111FE31}"/>
            </c:ext>
          </c:extLst>
        </c:ser>
        <c:ser>
          <c:idx val="147"/>
          <c:order val="147"/>
          <c:tx>
            <c:strRef>
              <c:f>IRS!$B$171</c:f>
              <c:strCache>
                <c:ptCount val="1"/>
                <c:pt idx="0">
                  <c:v>Simulation 148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IRS!$F$171:$M$171</c:f>
              <c:numCache>
                <c:formatCode>0</c:formatCode>
                <c:ptCount val="8"/>
                <c:pt idx="0">
                  <c:v>25573.87561865797</c:v>
                </c:pt>
                <c:pt idx="1">
                  <c:v>27382.290187041719</c:v>
                </c:pt>
                <c:pt idx="2">
                  <c:v>27179.234993901893</c:v>
                </c:pt>
                <c:pt idx="3">
                  <c:v>25033.549194252068</c:v>
                </c:pt>
                <c:pt idx="4">
                  <c:v>21065.610236532517</c:v>
                </c:pt>
                <c:pt idx="5">
                  <c:v>15438.984176223043</c:v>
                </c:pt>
                <c:pt idx="6">
                  <c:v>8346.9137539722688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3-A981-4798-8422-71D39111FE31}"/>
            </c:ext>
          </c:extLst>
        </c:ser>
        <c:ser>
          <c:idx val="148"/>
          <c:order val="148"/>
          <c:tx>
            <c:strRef>
              <c:f>IRS!$B$172</c:f>
              <c:strCache>
                <c:ptCount val="1"/>
                <c:pt idx="0">
                  <c:v>Simulation 149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IRS!$F$172:$M$172</c:f>
              <c:numCache>
                <c:formatCode>0</c:formatCode>
                <c:ptCount val="8"/>
                <c:pt idx="0">
                  <c:v>25024.014761634142</c:v>
                </c:pt>
                <c:pt idx="1">
                  <c:v>26898.150298731896</c:v>
                </c:pt>
                <c:pt idx="2">
                  <c:v>26769.71699099688</c:v>
                </c:pt>
                <c:pt idx="3">
                  <c:v>24704.644907560512</c:v>
                </c:pt>
                <c:pt idx="4">
                  <c:v>20820.501713341888</c:v>
                </c:pt>
                <c:pt idx="5">
                  <c:v>15278.175908831869</c:v>
                </c:pt>
                <c:pt idx="6">
                  <c:v>8268.4914373425581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4-A981-4798-8422-71D39111FE31}"/>
            </c:ext>
          </c:extLst>
        </c:ser>
        <c:ser>
          <c:idx val="149"/>
          <c:order val="149"/>
          <c:tx>
            <c:strRef>
              <c:f>IRS!$B$173</c:f>
              <c:strCache>
                <c:ptCount val="1"/>
                <c:pt idx="0">
                  <c:v>Simulation 150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IRS!$F$173:$M$173</c:f>
              <c:numCache>
                <c:formatCode>0</c:formatCode>
                <c:ptCount val="8"/>
                <c:pt idx="0">
                  <c:v>22992.101095722981</c:v>
                </c:pt>
                <c:pt idx="1">
                  <c:v>25160.253705580846</c:v>
                </c:pt>
                <c:pt idx="2">
                  <c:v>25336.865842688709</c:v>
                </c:pt>
                <c:pt idx="3">
                  <c:v>23579.789244986412</c:v>
                </c:pt>
                <c:pt idx="4">
                  <c:v>19999.090899506249</c:v>
                </c:pt>
                <c:pt idx="5">
                  <c:v>14748.95535703267</c:v>
                </c:pt>
                <c:pt idx="6">
                  <c:v>8014.55222513642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5-A981-4798-8422-71D39111FE31}"/>
            </c:ext>
          </c:extLst>
        </c:ser>
        <c:ser>
          <c:idx val="150"/>
          <c:order val="150"/>
          <c:tx>
            <c:strRef>
              <c:f>IRS!$B$174</c:f>
              <c:strCache>
                <c:ptCount val="1"/>
                <c:pt idx="0">
                  <c:v>Simulation 151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IRS!$F$174:$M$174</c:f>
              <c:numCache>
                <c:formatCode>0</c:formatCode>
                <c:ptCount val="8"/>
                <c:pt idx="0">
                  <c:v>22049.994844608489</c:v>
                </c:pt>
                <c:pt idx="1">
                  <c:v>24379.766188063946</c:v>
                </c:pt>
                <c:pt idx="2">
                  <c:v>24706.241285686992</c:v>
                </c:pt>
                <c:pt idx="3">
                  <c:v>23089.260150123311</c:v>
                </c:pt>
                <c:pt idx="4">
                  <c:v>19640.574938081074</c:v>
                </c:pt>
                <c:pt idx="5">
                  <c:v>14515.654237343313</c:v>
                </c:pt>
                <c:pt idx="6">
                  <c:v>7900.5688429841075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6-A981-4798-8422-71D39111FE31}"/>
            </c:ext>
          </c:extLst>
        </c:ser>
        <c:ser>
          <c:idx val="151"/>
          <c:order val="151"/>
          <c:tx>
            <c:strRef>
              <c:f>IRS!$B$175</c:f>
              <c:strCache>
                <c:ptCount val="1"/>
                <c:pt idx="0">
                  <c:v>Simulation 152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IRS!$F$175:$M$175</c:f>
              <c:numCache>
                <c:formatCode>0</c:formatCode>
                <c:ptCount val="8"/>
                <c:pt idx="0">
                  <c:v>25552.224431363022</c:v>
                </c:pt>
                <c:pt idx="1">
                  <c:v>27423.917735789619</c:v>
                </c:pt>
                <c:pt idx="2">
                  <c:v>27333.161939302325</c:v>
                </c:pt>
                <c:pt idx="3">
                  <c:v>25268.275303669874</c:v>
                </c:pt>
                <c:pt idx="4">
                  <c:v>21336.930034079531</c:v>
                </c:pt>
                <c:pt idx="5">
                  <c:v>15689.523870607372</c:v>
                </c:pt>
                <c:pt idx="6">
                  <c:v>8509.2190668113362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7-A981-4798-8422-71D39111FE31}"/>
            </c:ext>
          </c:extLst>
        </c:ser>
        <c:ser>
          <c:idx val="152"/>
          <c:order val="152"/>
          <c:tx>
            <c:strRef>
              <c:f>IRS!$B$176</c:f>
              <c:strCache>
                <c:ptCount val="1"/>
                <c:pt idx="0">
                  <c:v>Simulation 153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IRS!$F$176:$M$176</c:f>
              <c:numCache>
                <c:formatCode>0</c:formatCode>
                <c:ptCount val="8"/>
                <c:pt idx="0">
                  <c:v>33094.572708161671</c:v>
                </c:pt>
                <c:pt idx="1">
                  <c:v>33692.868023734845</c:v>
                </c:pt>
                <c:pt idx="2">
                  <c:v>32399.902790428147</c:v>
                </c:pt>
                <c:pt idx="3">
                  <c:v>29164.8219249295</c:v>
                </c:pt>
                <c:pt idx="4">
                  <c:v>24139.709707007718</c:v>
                </c:pt>
                <c:pt idx="5">
                  <c:v>17477.554668529894</c:v>
                </c:pt>
                <c:pt idx="6">
                  <c:v>9362.9152340282744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8-A981-4798-8422-71D39111FE31}"/>
            </c:ext>
          </c:extLst>
        </c:ser>
        <c:ser>
          <c:idx val="153"/>
          <c:order val="153"/>
          <c:tx>
            <c:strRef>
              <c:f>IRS!$B$177</c:f>
              <c:strCache>
                <c:ptCount val="1"/>
                <c:pt idx="0">
                  <c:v>Simulation 154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IRS!$F$177:$M$177</c:f>
              <c:numCache>
                <c:formatCode>0</c:formatCode>
                <c:ptCount val="8"/>
                <c:pt idx="0">
                  <c:v>35603.255761140783</c:v>
                </c:pt>
                <c:pt idx="1">
                  <c:v>35858.24989811227</c:v>
                </c:pt>
                <c:pt idx="2">
                  <c:v>34203.504240584916</c:v>
                </c:pt>
                <c:pt idx="3">
                  <c:v>30585.22629906148</c:v>
                </c:pt>
                <c:pt idx="4">
                  <c:v>25179.325283463295</c:v>
                </c:pt>
                <c:pt idx="5">
                  <c:v>18148.43926756387</c:v>
                </c:pt>
                <c:pt idx="6">
                  <c:v>9685.1646148622604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9-A981-4798-8422-71D39111FE31}"/>
            </c:ext>
          </c:extLst>
        </c:ser>
        <c:ser>
          <c:idx val="154"/>
          <c:order val="154"/>
          <c:tx>
            <c:strRef>
              <c:f>IRS!$B$178</c:f>
              <c:strCache>
                <c:ptCount val="1"/>
                <c:pt idx="0">
                  <c:v>Simulation 155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IRS!$F$178:$M$178</c:f>
              <c:numCache>
                <c:formatCode>0</c:formatCode>
                <c:ptCount val="8"/>
                <c:pt idx="0">
                  <c:v>36282.104051801653</c:v>
                </c:pt>
                <c:pt idx="1">
                  <c:v>36452.548930685181</c:v>
                </c:pt>
                <c:pt idx="2">
                  <c:v>34706.527733275288</c:v>
                </c:pt>
                <c:pt idx="3">
                  <c:v>30988.776435974534</c:v>
                </c:pt>
                <c:pt idx="4">
                  <c:v>25480.811966736517</c:v>
                </c:pt>
                <c:pt idx="5">
                  <c:v>18347.413288153173</c:v>
                </c:pt>
                <c:pt idx="6">
                  <c:v>9783.0872376005082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A-A981-4798-8422-71D39111FE31}"/>
            </c:ext>
          </c:extLst>
        </c:ser>
        <c:ser>
          <c:idx val="155"/>
          <c:order val="155"/>
          <c:tx>
            <c:strRef>
              <c:f>IRS!$B$179</c:f>
              <c:strCache>
                <c:ptCount val="1"/>
                <c:pt idx="0">
                  <c:v>Simulation 156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IRS!$F$179:$M$179</c:f>
              <c:numCache>
                <c:formatCode>0</c:formatCode>
                <c:ptCount val="8"/>
                <c:pt idx="0">
                  <c:v>40790.092303673286</c:v>
                </c:pt>
                <c:pt idx="1">
                  <c:v>40219.770384831572</c:v>
                </c:pt>
                <c:pt idx="2">
                  <c:v>37759.838538432101</c:v>
                </c:pt>
                <c:pt idx="3">
                  <c:v>33335.898813668784</c:v>
                </c:pt>
                <c:pt idx="4">
                  <c:v>27163.962957531101</c:v>
                </c:pt>
                <c:pt idx="5">
                  <c:v>19415.263217684245</c:v>
                </c:pt>
                <c:pt idx="6">
                  <c:v>10288.947845890452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B-A981-4798-8422-71D39111FE31}"/>
            </c:ext>
          </c:extLst>
        </c:ser>
        <c:ser>
          <c:idx val="156"/>
          <c:order val="156"/>
          <c:tx>
            <c:strRef>
              <c:f>IRS!$B$180</c:f>
              <c:strCache>
                <c:ptCount val="1"/>
                <c:pt idx="0">
                  <c:v>Simulation 157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IRS!$F$180:$M$180</c:f>
              <c:numCache>
                <c:formatCode>0</c:formatCode>
                <c:ptCount val="8"/>
                <c:pt idx="0">
                  <c:v>43096.733145146201</c:v>
                </c:pt>
                <c:pt idx="1">
                  <c:v>42168.109397951506</c:v>
                </c:pt>
                <c:pt idx="2">
                  <c:v>39354.438562466574</c:v>
                </c:pt>
                <c:pt idx="3">
                  <c:v>34572.836613955085</c:v>
                </c:pt>
                <c:pt idx="4">
                  <c:v>28058.425496945667</c:v>
                </c:pt>
                <c:pt idx="5">
                  <c:v>19987.142924299504</c:v>
                </c:pt>
                <c:pt idx="6">
                  <c:v>10561.803889115954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C-A981-4798-8422-71D39111FE31}"/>
            </c:ext>
          </c:extLst>
        </c:ser>
        <c:ser>
          <c:idx val="157"/>
          <c:order val="157"/>
          <c:tx>
            <c:strRef>
              <c:f>IRS!$B$181</c:f>
              <c:strCache>
                <c:ptCount val="1"/>
                <c:pt idx="0">
                  <c:v>Simulation 158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IRS!$F$181:$M$181</c:f>
              <c:numCache>
                <c:formatCode>0</c:formatCode>
                <c:ptCount val="8"/>
                <c:pt idx="0">
                  <c:v>42944.232880221352</c:v>
                </c:pt>
                <c:pt idx="1">
                  <c:v>42048.354091014116</c:v>
                </c:pt>
                <c:pt idx="2">
                  <c:v>39264.122228485983</c:v>
                </c:pt>
                <c:pt idx="3">
                  <c:v>34509.310257771038</c:v>
                </c:pt>
                <c:pt idx="4">
                  <c:v>28017.533407707957</c:v>
                </c:pt>
                <c:pt idx="5">
                  <c:v>19964.452603080099</c:v>
                </c:pt>
                <c:pt idx="6">
                  <c:v>10552.737171579021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D-A981-4798-8422-71D39111FE31}"/>
            </c:ext>
          </c:extLst>
        </c:ser>
        <c:ser>
          <c:idx val="158"/>
          <c:order val="158"/>
          <c:tx>
            <c:strRef>
              <c:f>IRS!$B$182</c:f>
              <c:strCache>
                <c:ptCount val="1"/>
                <c:pt idx="0">
                  <c:v>Simulation 159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IRS!$F$182:$M$182</c:f>
              <c:numCache>
                <c:formatCode>0</c:formatCode>
                <c:ptCount val="8"/>
                <c:pt idx="0">
                  <c:v>46105.788552244507</c:v>
                </c:pt>
                <c:pt idx="1">
                  <c:v>44762.275270115504</c:v>
                </c:pt>
                <c:pt idx="2">
                  <c:v>41515.913142888778</c:v>
                </c:pt>
                <c:pt idx="3">
                  <c:v>36276.929572528104</c:v>
                </c:pt>
                <c:pt idx="4">
                  <c:v>29308.578566928372</c:v>
                </c:pt>
                <c:pt idx="5">
                  <c:v>20796.735518618945</c:v>
                </c:pt>
                <c:pt idx="6">
                  <c:v>10952.499253771724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E-A981-4798-8422-71D39111FE31}"/>
            </c:ext>
          </c:extLst>
        </c:ser>
        <c:ser>
          <c:idx val="159"/>
          <c:order val="159"/>
          <c:tx>
            <c:strRef>
              <c:f>IRS!$B$183</c:f>
              <c:strCache>
                <c:ptCount val="1"/>
                <c:pt idx="0">
                  <c:v>Simulation 160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IRS!$F$183:$M$183</c:f>
              <c:numCache>
                <c:formatCode>0</c:formatCode>
                <c:ptCount val="8"/>
                <c:pt idx="0">
                  <c:v>47922.844765505026</c:v>
                </c:pt>
                <c:pt idx="1">
                  <c:v>46352.382224820736</c:v>
                </c:pt>
                <c:pt idx="2">
                  <c:v>42864.004733864327</c:v>
                </c:pt>
                <c:pt idx="3">
                  <c:v>37361.349174180788</c:v>
                </c:pt>
                <c:pt idx="4">
                  <c:v>30121.856923744126</c:v>
                </c:pt>
                <c:pt idx="5">
                  <c:v>21336.009245334961</c:v>
                </c:pt>
                <c:pt idx="6">
                  <c:v>11219.313834990147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F-A981-4798-8422-71D39111FE31}"/>
            </c:ext>
          </c:extLst>
        </c:ser>
        <c:ser>
          <c:idx val="160"/>
          <c:order val="160"/>
          <c:tx>
            <c:strRef>
              <c:f>IRS!$B$184</c:f>
              <c:strCache>
                <c:ptCount val="1"/>
                <c:pt idx="0">
                  <c:v>Simulation 161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IRS!$F$184:$M$184</c:f>
              <c:numCache>
                <c:formatCode>0</c:formatCode>
                <c:ptCount val="8"/>
                <c:pt idx="0">
                  <c:v>47564.200925302561</c:v>
                </c:pt>
                <c:pt idx="1">
                  <c:v>46062.235348805378</c:v>
                </c:pt>
                <c:pt idx="2">
                  <c:v>42638.43648314329</c:v>
                </c:pt>
                <c:pt idx="3">
                  <c:v>37197.260192165544</c:v>
                </c:pt>
                <c:pt idx="4">
                  <c:v>30012.021814132378</c:v>
                </c:pt>
                <c:pt idx="5">
                  <c:v>21272.028403485267</c:v>
                </c:pt>
                <c:pt idx="6">
                  <c:v>11192.040798005695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0-A981-4798-8422-71D39111FE31}"/>
            </c:ext>
          </c:extLst>
        </c:ser>
        <c:ser>
          <c:idx val="161"/>
          <c:order val="161"/>
          <c:tx>
            <c:strRef>
              <c:f>IRS!$B$185</c:f>
              <c:strCache>
                <c:ptCount val="1"/>
                <c:pt idx="0">
                  <c:v>Simulation 162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IRS!$F$185:$M$185</c:f>
              <c:numCache>
                <c:formatCode>0</c:formatCode>
                <c:ptCount val="8"/>
                <c:pt idx="0">
                  <c:v>44915.114539016831</c:v>
                </c:pt>
                <c:pt idx="1">
                  <c:v>43787.152501090728</c:v>
                </c:pt>
                <c:pt idx="2">
                  <c:v>40750.802082743954</c:v>
                </c:pt>
                <c:pt idx="3">
                  <c:v>35716.459658267529</c:v>
                </c:pt>
                <c:pt idx="4">
                  <c:v>28931.826499384799</c:v>
                </c:pt>
                <c:pt idx="5">
                  <c:v>20576.995234537189</c:v>
                </c:pt>
                <c:pt idx="6">
                  <c:v>10859.05156699707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1-A981-4798-8422-71D39111FE31}"/>
            </c:ext>
          </c:extLst>
        </c:ser>
        <c:ser>
          <c:idx val="162"/>
          <c:order val="162"/>
          <c:tx>
            <c:strRef>
              <c:f>IRS!$B$186</c:f>
              <c:strCache>
                <c:ptCount val="1"/>
                <c:pt idx="0">
                  <c:v>Simulation 163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IRS!$F$186:$M$186</c:f>
              <c:numCache>
                <c:formatCode>0</c:formatCode>
                <c:ptCount val="8"/>
                <c:pt idx="0">
                  <c:v>47837.880778695449</c:v>
                </c:pt>
                <c:pt idx="1">
                  <c:v>46221.938145912027</c:v>
                </c:pt>
                <c:pt idx="2">
                  <c:v>42714.519515425811</c:v>
                </c:pt>
                <c:pt idx="3">
                  <c:v>37214.702038003292</c:v>
                </c:pt>
                <c:pt idx="4">
                  <c:v>29996.16845145791</c:v>
                </c:pt>
                <c:pt idx="5">
                  <c:v>21244.690886427379</c:v>
                </c:pt>
                <c:pt idx="6">
                  <c:v>11171.251630067507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2-A981-4798-8422-71D39111FE31}"/>
            </c:ext>
          </c:extLst>
        </c:ser>
        <c:ser>
          <c:idx val="163"/>
          <c:order val="163"/>
          <c:tx>
            <c:strRef>
              <c:f>IRS!$B$187</c:f>
              <c:strCache>
                <c:ptCount val="1"/>
                <c:pt idx="0">
                  <c:v>Simulation 164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IRS!$F$187:$M$187</c:f>
              <c:numCache>
                <c:formatCode>0</c:formatCode>
                <c:ptCount val="8"/>
                <c:pt idx="0">
                  <c:v>47092.30715695543</c:v>
                </c:pt>
                <c:pt idx="1">
                  <c:v>45606.988724569179</c:v>
                </c:pt>
                <c:pt idx="2">
                  <c:v>42220.227732702275</c:v>
                </c:pt>
                <c:pt idx="3">
                  <c:v>36836.550324830954</c:v>
                </c:pt>
                <c:pt idx="4">
                  <c:v>29725.205314248316</c:v>
                </c:pt>
                <c:pt idx="5">
                  <c:v>21072.290866348649</c:v>
                </c:pt>
                <c:pt idx="6">
                  <c:v>11089.07689949236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3-A981-4798-8422-71D39111FE31}"/>
            </c:ext>
          </c:extLst>
        </c:ser>
        <c:ser>
          <c:idx val="164"/>
          <c:order val="164"/>
          <c:tx>
            <c:strRef>
              <c:f>IRS!$B$188</c:f>
              <c:strCache>
                <c:ptCount val="1"/>
                <c:pt idx="0">
                  <c:v>Simulation 165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IRS!$F$188:$M$188</c:f>
              <c:numCache>
                <c:formatCode>0</c:formatCode>
                <c:ptCount val="8"/>
                <c:pt idx="0">
                  <c:v>46665.165480063908</c:v>
                </c:pt>
                <c:pt idx="1">
                  <c:v>45237.098340126991</c:v>
                </c:pt>
                <c:pt idx="2">
                  <c:v>41906.782330563568</c:v>
                </c:pt>
                <c:pt idx="3">
                  <c:v>36582.429476770965</c:v>
                </c:pt>
                <c:pt idx="4">
                  <c:v>29531.892188112604</c:v>
                </c:pt>
                <c:pt idx="5">
                  <c:v>20941.658471348121</c:v>
                </c:pt>
                <c:pt idx="6">
                  <c:v>11022.991256980171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4-A981-4798-8422-71D39111FE31}"/>
            </c:ext>
          </c:extLst>
        </c:ser>
        <c:ser>
          <c:idx val="165"/>
          <c:order val="165"/>
          <c:tx>
            <c:strRef>
              <c:f>IRS!$B$189</c:f>
              <c:strCache>
                <c:ptCount val="1"/>
                <c:pt idx="0">
                  <c:v>Simulation 166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IRS!$F$189:$M$189</c:f>
              <c:numCache>
                <c:formatCode>0</c:formatCode>
                <c:ptCount val="8"/>
                <c:pt idx="0">
                  <c:v>46284.563840708179</c:v>
                </c:pt>
                <c:pt idx="1">
                  <c:v>44804.001866474289</c:v>
                </c:pt>
                <c:pt idx="2">
                  <c:v>41471.044884367628</c:v>
                </c:pt>
                <c:pt idx="3">
                  <c:v>36185.837137684131</c:v>
                </c:pt>
                <c:pt idx="4">
                  <c:v>29207.134747724947</c:v>
                </c:pt>
                <c:pt idx="5">
                  <c:v>20712.379424862575</c:v>
                </c:pt>
                <c:pt idx="6">
                  <c:v>10904.448223626481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5-A981-4798-8422-71D39111FE31}"/>
            </c:ext>
          </c:extLst>
        </c:ser>
        <c:ser>
          <c:idx val="166"/>
          <c:order val="166"/>
          <c:tx>
            <c:strRef>
              <c:f>IRS!$B$190</c:f>
              <c:strCache>
                <c:ptCount val="1"/>
                <c:pt idx="0">
                  <c:v>Simulation 167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IRS!$F$190:$M$190</c:f>
              <c:numCache>
                <c:formatCode>0</c:formatCode>
                <c:ptCount val="8"/>
                <c:pt idx="0">
                  <c:v>45538.103079769746</c:v>
                </c:pt>
                <c:pt idx="1">
                  <c:v>44151.431917642942</c:v>
                </c:pt>
                <c:pt idx="2">
                  <c:v>40919.762900023998</c:v>
                </c:pt>
                <c:pt idx="3">
                  <c:v>35745.049180461923</c:v>
                </c:pt>
                <c:pt idx="4">
                  <c:v>28879.284572856977</c:v>
                </c:pt>
                <c:pt idx="5">
                  <c:v>20497.222053195415</c:v>
                </c:pt>
                <c:pt idx="6">
                  <c:v>10799.280523180914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6-A981-4798-8422-71D39111FE31}"/>
            </c:ext>
          </c:extLst>
        </c:ser>
        <c:ser>
          <c:idx val="167"/>
          <c:order val="167"/>
          <c:tx>
            <c:strRef>
              <c:f>IRS!$B$191</c:f>
              <c:strCache>
                <c:ptCount val="1"/>
                <c:pt idx="0">
                  <c:v>Simulation 168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IRS!$F$191:$M$191</c:f>
              <c:numCache>
                <c:formatCode>0</c:formatCode>
                <c:ptCount val="8"/>
                <c:pt idx="0">
                  <c:v>43375.780866215086</c:v>
                </c:pt>
                <c:pt idx="1">
                  <c:v>42288.743369303316</c:v>
                </c:pt>
                <c:pt idx="2">
                  <c:v>39368.180550690435</c:v>
                </c:pt>
                <c:pt idx="3">
                  <c:v>34521.708750636957</c:v>
                </c:pt>
                <c:pt idx="4">
                  <c:v>27981.60630838748</c:v>
                </c:pt>
                <c:pt idx="5">
                  <c:v>19915.739400536415</c:v>
                </c:pt>
                <c:pt idx="6">
                  <c:v>10518.612542407856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7-A981-4798-8422-71D39111FE31}"/>
            </c:ext>
          </c:extLst>
        </c:ser>
        <c:ser>
          <c:idx val="168"/>
          <c:order val="168"/>
          <c:tx>
            <c:strRef>
              <c:f>IRS!$B$192</c:f>
              <c:strCache>
                <c:ptCount val="1"/>
                <c:pt idx="0">
                  <c:v>Simulation 169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IRS!$F$192:$M$192</c:f>
              <c:numCache>
                <c:formatCode>0</c:formatCode>
                <c:ptCount val="8"/>
                <c:pt idx="0">
                  <c:v>45121.340339809212</c:v>
                </c:pt>
                <c:pt idx="1">
                  <c:v>43803.904854523906</c:v>
                </c:pt>
                <c:pt idx="2">
                  <c:v>40640.319215058691</c:v>
                </c:pt>
                <c:pt idx="3">
                  <c:v>35533.49210652183</c:v>
                </c:pt>
                <c:pt idx="4">
                  <c:v>28730.990214844722</c:v>
                </c:pt>
                <c:pt idx="5">
                  <c:v>20406.021751014501</c:v>
                </c:pt>
                <c:pt idx="6">
                  <c:v>10757.781592906838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8-A981-4798-8422-71D39111FE31}"/>
            </c:ext>
          </c:extLst>
        </c:ser>
        <c:ser>
          <c:idx val="169"/>
          <c:order val="169"/>
          <c:tx>
            <c:strRef>
              <c:f>IRS!$B$193</c:f>
              <c:strCache>
                <c:ptCount val="1"/>
                <c:pt idx="0">
                  <c:v>Simulation 170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IRS!$F$193:$M$193</c:f>
              <c:numCache>
                <c:formatCode>0</c:formatCode>
                <c:ptCount val="8"/>
                <c:pt idx="0">
                  <c:v>47931.352959910648</c:v>
                </c:pt>
                <c:pt idx="1">
                  <c:v>46122.38532436813</c:v>
                </c:pt>
                <c:pt idx="2">
                  <c:v>42496.009858236212</c:v>
                </c:pt>
                <c:pt idx="3">
                  <c:v>36940.663446872939</c:v>
                </c:pt>
                <c:pt idx="4">
                  <c:v>29726.304802675375</c:v>
                </c:pt>
                <c:pt idx="5">
                  <c:v>21028.794234842549</c:v>
                </c:pt>
                <c:pt idx="6">
                  <c:v>11048.71611961678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9-A981-4798-8422-71D39111FE31}"/>
            </c:ext>
          </c:extLst>
        </c:ser>
        <c:ser>
          <c:idx val="170"/>
          <c:order val="170"/>
          <c:tx>
            <c:strRef>
              <c:f>IRS!$B$194</c:f>
              <c:strCache>
                <c:ptCount val="1"/>
                <c:pt idx="0">
                  <c:v>Simulation 171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IRS!$F$194:$M$194</c:f>
              <c:numCache>
                <c:formatCode>0</c:formatCode>
                <c:ptCount val="8"/>
                <c:pt idx="0">
                  <c:v>47651.231515566804</c:v>
                </c:pt>
                <c:pt idx="1">
                  <c:v>45911.268069655576</c:v>
                </c:pt>
                <c:pt idx="2">
                  <c:v>42341.349815958361</c:v>
                </c:pt>
                <c:pt idx="3">
                  <c:v>36833.57587577666</c:v>
                </c:pt>
                <c:pt idx="4">
                  <c:v>29657.104416995149</c:v>
                </c:pt>
                <c:pt idx="5">
                  <c:v>20989.211267997998</c:v>
                </c:pt>
                <c:pt idx="6">
                  <c:v>11031.79465515387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A-A981-4798-8422-71D39111FE31}"/>
            </c:ext>
          </c:extLst>
        </c:ser>
        <c:ser>
          <c:idx val="171"/>
          <c:order val="171"/>
          <c:tx>
            <c:strRef>
              <c:f>IRS!$B$195</c:f>
              <c:strCache>
                <c:ptCount val="1"/>
                <c:pt idx="0">
                  <c:v>Simulation 172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IRS!$F$195:$M$195</c:f>
              <c:numCache>
                <c:formatCode>0</c:formatCode>
                <c:ptCount val="8"/>
                <c:pt idx="0">
                  <c:v>48044.554956821652</c:v>
                </c:pt>
                <c:pt idx="1">
                  <c:v>46203.394379983423</c:v>
                </c:pt>
                <c:pt idx="2">
                  <c:v>42550.721090397994</c:v>
                </c:pt>
                <c:pt idx="3">
                  <c:v>36974.015259023668</c:v>
                </c:pt>
                <c:pt idx="4">
                  <c:v>29744.104766748838</c:v>
                </c:pt>
                <c:pt idx="5">
                  <c:v>21036.336770227706</c:v>
                </c:pt>
                <c:pt idx="6">
                  <c:v>11050.58822183659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B-A981-4798-8422-71D39111FE31}"/>
            </c:ext>
          </c:extLst>
        </c:ser>
        <c:ser>
          <c:idx val="172"/>
          <c:order val="172"/>
          <c:tx>
            <c:strRef>
              <c:f>IRS!$B$196</c:f>
              <c:strCache>
                <c:ptCount val="1"/>
                <c:pt idx="0">
                  <c:v>Simulation 173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IRS!$F$196:$M$196</c:f>
              <c:numCache>
                <c:formatCode>0</c:formatCode>
                <c:ptCount val="8"/>
                <c:pt idx="0">
                  <c:v>53270.692171887393</c:v>
                </c:pt>
                <c:pt idx="1">
                  <c:v>50578.989635231432</c:v>
                </c:pt>
                <c:pt idx="2">
                  <c:v>46110.091006763665</c:v>
                </c:pt>
                <c:pt idx="3">
                  <c:v>39722.493529708874</c:v>
                </c:pt>
                <c:pt idx="4">
                  <c:v>31726.907060310477</c:v>
                </c:pt>
                <c:pt idx="5">
                  <c:v>22303.61408333182</c:v>
                </c:pt>
                <c:pt idx="6">
                  <c:v>11656.147151838559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C-A981-4798-8422-71D39111FE31}"/>
            </c:ext>
          </c:extLst>
        </c:ser>
        <c:ser>
          <c:idx val="173"/>
          <c:order val="173"/>
          <c:tx>
            <c:strRef>
              <c:f>IRS!$B$197</c:f>
              <c:strCache>
                <c:ptCount val="1"/>
                <c:pt idx="0">
                  <c:v>Simulation 174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IRS!$F$197:$M$197</c:f>
              <c:numCache>
                <c:formatCode>0</c:formatCode>
                <c:ptCount val="8"/>
                <c:pt idx="0">
                  <c:v>51023.985836895823</c:v>
                </c:pt>
                <c:pt idx="1">
                  <c:v>48709.330831194282</c:v>
                </c:pt>
                <c:pt idx="2">
                  <c:v>44598.133507417617</c:v>
                </c:pt>
                <c:pt idx="3">
                  <c:v>38562.186918387932</c:v>
                </c:pt>
                <c:pt idx="4">
                  <c:v>30895.053413407295</c:v>
                </c:pt>
                <c:pt idx="5">
                  <c:v>21775.314112415086</c:v>
                </c:pt>
                <c:pt idx="6">
                  <c:v>11405.329414134994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D-A981-4798-8422-71D39111FE31}"/>
            </c:ext>
          </c:extLst>
        </c:ser>
        <c:ser>
          <c:idx val="174"/>
          <c:order val="174"/>
          <c:tx>
            <c:strRef>
              <c:f>IRS!$B$198</c:f>
              <c:strCache>
                <c:ptCount val="1"/>
                <c:pt idx="0">
                  <c:v>Simulation 175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IRS!$F$198:$M$198</c:f>
              <c:numCache>
                <c:formatCode>0</c:formatCode>
                <c:ptCount val="8"/>
                <c:pt idx="0">
                  <c:v>52529.403505956339</c:v>
                </c:pt>
                <c:pt idx="1">
                  <c:v>49942.390150951738</c:v>
                </c:pt>
                <c:pt idx="2">
                  <c:v>45579.270072938096</c:v>
                </c:pt>
                <c:pt idx="3">
                  <c:v>39302.319176750541</c:v>
                </c:pt>
                <c:pt idx="4">
                  <c:v>31416.536991674839</c:v>
                </c:pt>
                <c:pt idx="5">
                  <c:v>22100.794970268984</c:v>
                </c:pt>
                <c:pt idx="6">
                  <c:v>11557.213638581632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E-A981-4798-8422-71D39111FE31}"/>
            </c:ext>
          </c:extLst>
        </c:ser>
        <c:ser>
          <c:idx val="175"/>
          <c:order val="175"/>
          <c:tx>
            <c:strRef>
              <c:f>IRS!$B$199</c:f>
              <c:strCache>
                <c:ptCount val="1"/>
                <c:pt idx="0">
                  <c:v>Simulation 176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IRS!$F$199:$M$199</c:f>
              <c:numCache>
                <c:formatCode>0</c:formatCode>
                <c:ptCount val="8"/>
                <c:pt idx="0">
                  <c:v>56726.580673686702</c:v>
                </c:pt>
                <c:pt idx="1">
                  <c:v>53412.984606104867</c:v>
                </c:pt>
                <c:pt idx="2">
                  <c:v>48370.178892147123</c:v>
                </c:pt>
                <c:pt idx="3">
                  <c:v>41432.860192146305</c:v>
                </c:pt>
                <c:pt idx="4">
                  <c:v>32937.204542136082</c:v>
                </c:pt>
                <c:pt idx="5">
                  <c:v>23063.126782588359</c:v>
                </c:pt>
                <c:pt idx="6">
                  <c:v>12012.887484334458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F-A981-4798-8422-71D39111FE31}"/>
            </c:ext>
          </c:extLst>
        </c:ser>
        <c:ser>
          <c:idx val="176"/>
          <c:order val="176"/>
          <c:tx>
            <c:strRef>
              <c:f>IRS!$B$200</c:f>
              <c:strCache>
                <c:ptCount val="1"/>
                <c:pt idx="0">
                  <c:v>Simulation 177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IRS!$F$200:$M$200</c:f>
              <c:numCache>
                <c:formatCode>0</c:formatCode>
                <c:ptCount val="8"/>
                <c:pt idx="0">
                  <c:v>57778.516701641645</c:v>
                </c:pt>
                <c:pt idx="1">
                  <c:v>54223.189801910703</c:v>
                </c:pt>
                <c:pt idx="2">
                  <c:v>48977.049778800989</c:v>
                </c:pt>
                <c:pt idx="3">
                  <c:v>41862.798202305967</c:v>
                </c:pt>
                <c:pt idx="4">
                  <c:v>33221.924285560752</c:v>
                </c:pt>
                <c:pt idx="5">
                  <c:v>23230.398118778154</c:v>
                </c:pt>
                <c:pt idx="6">
                  <c:v>12086.523762544093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0-A981-4798-8422-71D39111FE31}"/>
            </c:ext>
          </c:extLst>
        </c:ser>
        <c:ser>
          <c:idx val="177"/>
          <c:order val="177"/>
          <c:tx>
            <c:strRef>
              <c:f>IRS!$B$201</c:f>
              <c:strCache>
                <c:ptCount val="1"/>
                <c:pt idx="0">
                  <c:v>Simulation 178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IRS!$F$201:$M$201</c:f>
              <c:numCache>
                <c:formatCode>0</c:formatCode>
                <c:ptCount val="8"/>
                <c:pt idx="0">
                  <c:v>60095.019902378044</c:v>
                </c:pt>
                <c:pt idx="1">
                  <c:v>56050.894547349097</c:v>
                </c:pt>
                <c:pt idx="2">
                  <c:v>50383.790905344838</c:v>
                </c:pt>
                <c:pt idx="3">
                  <c:v>42891.473038724529</c:v>
                </c:pt>
                <c:pt idx="4">
                  <c:v>33927.618711255644</c:v>
                </c:pt>
                <c:pt idx="5">
                  <c:v>23661.331329131161</c:v>
                </c:pt>
                <c:pt idx="6">
                  <c:v>12284.288705846504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1-A981-4798-8422-71D39111FE31}"/>
            </c:ext>
          </c:extLst>
        </c:ser>
        <c:ser>
          <c:idx val="178"/>
          <c:order val="178"/>
          <c:tx>
            <c:strRef>
              <c:f>IRS!$B$202</c:f>
              <c:strCache>
                <c:ptCount val="1"/>
                <c:pt idx="0">
                  <c:v>Simulation 179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IRS!$F$202:$M$202</c:f>
              <c:numCache>
                <c:formatCode>0</c:formatCode>
                <c:ptCount val="8"/>
                <c:pt idx="0">
                  <c:v>65828.290773786692</c:v>
                </c:pt>
                <c:pt idx="1">
                  <c:v>60811.821169800467</c:v>
                </c:pt>
                <c:pt idx="2">
                  <c:v>54222.603724990695</c:v>
                </c:pt>
                <c:pt idx="3">
                  <c:v>45823.242906286359</c:v>
                </c:pt>
                <c:pt idx="4">
                  <c:v>36017.561890293153</c:v>
                </c:pt>
                <c:pt idx="5">
                  <c:v>24980.126688240147</c:v>
                </c:pt>
                <c:pt idx="6">
                  <c:v>12905.990027478343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2-A981-4798-8422-71D39111FE31}"/>
            </c:ext>
          </c:extLst>
        </c:ser>
        <c:ser>
          <c:idx val="179"/>
          <c:order val="179"/>
          <c:tx>
            <c:strRef>
              <c:f>IRS!$B$203</c:f>
              <c:strCache>
                <c:ptCount val="1"/>
                <c:pt idx="0">
                  <c:v>Simulation 180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IRS!$F$203:$M$203</c:f>
              <c:numCache>
                <c:formatCode>0</c:formatCode>
                <c:ptCount val="8"/>
                <c:pt idx="0">
                  <c:v>65388.927181272542</c:v>
                </c:pt>
                <c:pt idx="1">
                  <c:v>60306.033337601089</c:v>
                </c:pt>
                <c:pt idx="2">
                  <c:v>53708.654851806168</c:v>
                </c:pt>
                <c:pt idx="3">
                  <c:v>45350.760967014394</c:v>
                </c:pt>
                <c:pt idx="4">
                  <c:v>35626.775644198096</c:v>
                </c:pt>
                <c:pt idx="5">
                  <c:v>24701.365329015032</c:v>
                </c:pt>
                <c:pt idx="6">
                  <c:v>12760.29423668916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3-A981-4798-8422-71D39111FE31}"/>
            </c:ext>
          </c:extLst>
        </c:ser>
        <c:ser>
          <c:idx val="180"/>
          <c:order val="180"/>
          <c:tx>
            <c:strRef>
              <c:f>IRS!$B$204</c:f>
              <c:strCache>
                <c:ptCount val="1"/>
                <c:pt idx="0">
                  <c:v>Simulation 181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IRS!$F$204:$M$204</c:f>
              <c:numCache>
                <c:formatCode>0</c:formatCode>
                <c:ptCount val="8"/>
                <c:pt idx="0">
                  <c:v>64130.495396992999</c:v>
                </c:pt>
                <c:pt idx="1">
                  <c:v>59293.287466432666</c:v>
                </c:pt>
                <c:pt idx="2">
                  <c:v>52917.055450155945</c:v>
                </c:pt>
                <c:pt idx="3">
                  <c:v>44765.836422125125</c:v>
                </c:pt>
                <c:pt idx="4">
                  <c:v>35223.641457665261</c:v>
                </c:pt>
                <c:pt idx="5">
                  <c:v>24455.638778229957</c:v>
                </c:pt>
                <c:pt idx="6">
                  <c:v>12648.507921922988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4-A981-4798-8422-71D39111FE31}"/>
            </c:ext>
          </c:extLst>
        </c:ser>
        <c:ser>
          <c:idx val="181"/>
          <c:order val="181"/>
          <c:tx>
            <c:strRef>
              <c:f>IRS!$B$205</c:f>
              <c:strCache>
                <c:ptCount val="1"/>
                <c:pt idx="0">
                  <c:v>Simulation 182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IRS!$F$205:$M$205</c:f>
              <c:numCache>
                <c:formatCode>0</c:formatCode>
                <c:ptCount val="8"/>
                <c:pt idx="0">
                  <c:v>67597.892090150621</c:v>
                </c:pt>
                <c:pt idx="1">
                  <c:v>62235.680337344704</c:v>
                </c:pt>
                <c:pt idx="2">
                  <c:v>55331.67494229725</c:v>
                </c:pt>
                <c:pt idx="3">
                  <c:v>46636.910326831668</c:v>
                </c:pt>
                <c:pt idx="4">
                  <c:v>36572.512515286988</c:v>
                </c:pt>
                <c:pt idx="5">
                  <c:v>25313.776384456331</c:v>
                </c:pt>
                <c:pt idx="6">
                  <c:v>13055.1968300632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5-A981-4798-8422-71D39111FE31}"/>
            </c:ext>
          </c:extLst>
        </c:ser>
        <c:ser>
          <c:idx val="182"/>
          <c:order val="182"/>
          <c:tx>
            <c:strRef>
              <c:f>IRS!$B$206</c:f>
              <c:strCache>
                <c:ptCount val="1"/>
                <c:pt idx="0">
                  <c:v>Simulation 183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IRS!$F$206:$M$206</c:f>
              <c:numCache>
                <c:formatCode>0</c:formatCode>
                <c:ptCount val="8"/>
                <c:pt idx="0">
                  <c:v>69090.678302946704</c:v>
                </c:pt>
                <c:pt idx="1">
                  <c:v>63365.34734599552</c:v>
                </c:pt>
                <c:pt idx="2">
                  <c:v>56161.978726686626</c:v>
                </c:pt>
                <c:pt idx="3">
                  <c:v>47211.602758809327</c:v>
                </c:pt>
                <c:pt idx="4">
                  <c:v>36943.29461744256</c:v>
                </c:pt>
                <c:pt idx="5">
                  <c:v>25525.336645407522</c:v>
                </c:pt>
                <c:pt idx="6">
                  <c:v>13145.342854843424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6-A981-4798-8422-71D39111FE31}"/>
            </c:ext>
          </c:extLst>
        </c:ser>
        <c:ser>
          <c:idx val="183"/>
          <c:order val="183"/>
          <c:tx>
            <c:strRef>
              <c:f>IRS!$B$207</c:f>
              <c:strCache>
                <c:ptCount val="1"/>
                <c:pt idx="0">
                  <c:v>Simulation 184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IRS!$F$207:$M$207</c:f>
              <c:numCache>
                <c:formatCode>0</c:formatCode>
                <c:ptCount val="8"/>
                <c:pt idx="0">
                  <c:v>72228.196533897659</c:v>
                </c:pt>
                <c:pt idx="1">
                  <c:v>65925.126068944955</c:v>
                </c:pt>
                <c:pt idx="2">
                  <c:v>58191.033119767431</c:v>
                </c:pt>
                <c:pt idx="3">
                  <c:v>48733.153255594887</c:v>
                </c:pt>
                <c:pt idx="4">
                  <c:v>38008.451593151156</c:v>
                </c:pt>
                <c:pt idx="5">
                  <c:v>26185.50174168919</c:v>
                </c:pt>
                <c:pt idx="6">
                  <c:v>13451.073142502071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7-A981-4798-8422-71D39111FE31}"/>
            </c:ext>
          </c:extLst>
        </c:ser>
        <c:ser>
          <c:idx val="184"/>
          <c:order val="184"/>
          <c:tx>
            <c:strRef>
              <c:f>IRS!$B$208</c:f>
              <c:strCache>
                <c:ptCount val="1"/>
                <c:pt idx="0">
                  <c:v>Simulation 185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IRS!$F$208:$M$208</c:f>
              <c:numCache>
                <c:formatCode>0</c:formatCode>
                <c:ptCount val="8"/>
                <c:pt idx="0">
                  <c:v>73504.050549361753</c:v>
                </c:pt>
                <c:pt idx="1">
                  <c:v>67108.759617414558</c:v>
                </c:pt>
                <c:pt idx="2">
                  <c:v>59243.798789035776</c:v>
                </c:pt>
                <c:pt idx="3">
                  <c:v>49614.94911507942</c:v>
                </c:pt>
                <c:pt idx="4">
                  <c:v>38692.509665503247</c:v>
                </c:pt>
                <c:pt idx="5">
                  <c:v>26652.161031030217</c:v>
                </c:pt>
                <c:pt idx="6">
                  <c:v>13687.55227269323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8-A981-4798-8422-71D39111FE31}"/>
            </c:ext>
          </c:extLst>
        </c:ser>
        <c:ser>
          <c:idx val="185"/>
          <c:order val="185"/>
          <c:tx>
            <c:strRef>
              <c:f>IRS!$B$209</c:f>
              <c:strCache>
                <c:ptCount val="1"/>
                <c:pt idx="0">
                  <c:v>Simulation 186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IRS!$F$209:$M$209</c:f>
              <c:numCache>
                <c:formatCode>0</c:formatCode>
                <c:ptCount val="8"/>
                <c:pt idx="0">
                  <c:v>73901.810256895071</c:v>
                </c:pt>
                <c:pt idx="1">
                  <c:v>67504.220583794726</c:v>
                </c:pt>
                <c:pt idx="2">
                  <c:v>59612.903376808033</c:v>
                </c:pt>
                <c:pt idx="3">
                  <c:v>49935.640294108591</c:v>
                </c:pt>
                <c:pt idx="4">
                  <c:v>38948.103148075665</c:v>
                </c:pt>
                <c:pt idx="5">
                  <c:v>26830.077603857164</c:v>
                </c:pt>
                <c:pt idx="6">
                  <c:v>13779.0821783349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9-A981-4798-8422-71D39111FE31}"/>
            </c:ext>
          </c:extLst>
        </c:ser>
        <c:ser>
          <c:idx val="186"/>
          <c:order val="186"/>
          <c:tx>
            <c:strRef>
              <c:f>IRS!$B$210</c:f>
              <c:strCache>
                <c:ptCount val="1"/>
                <c:pt idx="0">
                  <c:v>Simulation 187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IRS!$F$210:$M$210</c:f>
              <c:numCache>
                <c:formatCode>0</c:formatCode>
                <c:ptCount val="8"/>
                <c:pt idx="0">
                  <c:v>74312.105629617145</c:v>
                </c:pt>
                <c:pt idx="1">
                  <c:v>67817.660054117398</c:v>
                </c:pt>
                <c:pt idx="2">
                  <c:v>59845.685609061475</c:v>
                </c:pt>
                <c:pt idx="3">
                  <c:v>50098.638840072163</c:v>
                </c:pt>
                <c:pt idx="4">
                  <c:v>39054.690155926757</c:v>
                </c:pt>
                <c:pt idx="5">
                  <c:v>26891.85971503106</c:v>
                </c:pt>
                <c:pt idx="6">
                  <c:v>13805.898292001479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A-A981-4798-8422-71D39111FE31}"/>
            </c:ext>
          </c:extLst>
        </c:ser>
        <c:ser>
          <c:idx val="187"/>
          <c:order val="187"/>
          <c:tx>
            <c:strRef>
              <c:f>IRS!$B$211</c:f>
              <c:strCache>
                <c:ptCount val="1"/>
                <c:pt idx="0">
                  <c:v>Simulation 188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IRS!$F$211:$M$211</c:f>
              <c:numCache>
                <c:formatCode>0</c:formatCode>
                <c:ptCount val="8"/>
                <c:pt idx="0">
                  <c:v>72143.512118980434</c:v>
                </c:pt>
                <c:pt idx="1">
                  <c:v>65839.498210946287</c:v>
                </c:pt>
                <c:pt idx="2">
                  <c:v>58124.204354496695</c:v>
                </c:pt>
                <c:pt idx="3">
                  <c:v>48695.105881404648</c:v>
                </c:pt>
                <c:pt idx="4">
                  <c:v>37998.529640690453</c:v>
                </c:pt>
                <c:pt idx="5">
                  <c:v>26194.970622897024</c:v>
                </c:pt>
                <c:pt idx="6">
                  <c:v>13465.15221955075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B-A981-4798-8422-71D39111FE31}"/>
            </c:ext>
          </c:extLst>
        </c:ser>
        <c:ser>
          <c:idx val="188"/>
          <c:order val="188"/>
          <c:tx>
            <c:strRef>
              <c:f>IRS!$B$212</c:f>
              <c:strCache>
                <c:ptCount val="1"/>
                <c:pt idx="0">
                  <c:v>Simulation 189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IRS!$F$212:$M$212</c:f>
              <c:numCache>
                <c:formatCode>0</c:formatCode>
                <c:ptCount val="8"/>
                <c:pt idx="0">
                  <c:v>72765.91885470241</c:v>
                </c:pt>
                <c:pt idx="1">
                  <c:v>66301.740078121642</c:v>
                </c:pt>
                <c:pt idx="2">
                  <c:v>58459.153327590509</c:v>
                </c:pt>
                <c:pt idx="3">
                  <c:v>48924.784140362513</c:v>
                </c:pt>
                <c:pt idx="4">
                  <c:v>38146.556788406568</c:v>
                </c:pt>
                <c:pt idx="5">
                  <c:v>26280.258068745676</c:v>
                </c:pt>
                <c:pt idx="6">
                  <c:v>13502.340806162958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C-A981-4798-8422-71D39111FE31}"/>
            </c:ext>
          </c:extLst>
        </c:ser>
        <c:ser>
          <c:idx val="189"/>
          <c:order val="189"/>
          <c:tx>
            <c:strRef>
              <c:f>IRS!$B$213</c:f>
              <c:strCache>
                <c:ptCount val="1"/>
                <c:pt idx="0">
                  <c:v>Simulation 190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IRS!$F$213:$M$213</c:f>
              <c:numCache>
                <c:formatCode>0</c:formatCode>
                <c:ptCount val="8"/>
                <c:pt idx="0">
                  <c:v>70576.815723047854</c:v>
                </c:pt>
                <c:pt idx="1">
                  <c:v>64621.771400011101</c:v>
                </c:pt>
                <c:pt idx="2">
                  <c:v>57204.983636689052</c:v>
                </c:pt>
                <c:pt idx="3">
                  <c:v>48041.22740842864</c:v>
                </c:pt>
                <c:pt idx="4">
                  <c:v>37565.29963367086</c:v>
                </c:pt>
                <c:pt idx="5">
                  <c:v>25941.53146264411</c:v>
                </c:pt>
                <c:pt idx="6">
                  <c:v>13354.710306434084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D-A981-4798-8422-71D39111FE31}"/>
            </c:ext>
          </c:extLst>
        </c:ser>
        <c:ser>
          <c:idx val="190"/>
          <c:order val="190"/>
          <c:tx>
            <c:strRef>
              <c:f>IRS!$B$214</c:f>
              <c:strCache>
                <c:ptCount val="1"/>
                <c:pt idx="0">
                  <c:v>Simulation 191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IRS!$F$214:$M$214</c:f>
              <c:numCache>
                <c:formatCode>0</c:formatCode>
                <c:ptCount val="8"/>
                <c:pt idx="0">
                  <c:v>73202.05953560998</c:v>
                </c:pt>
                <c:pt idx="1">
                  <c:v>66761.742872416507</c:v>
                </c:pt>
                <c:pt idx="2">
                  <c:v>58898.386567481051</c:v>
                </c:pt>
                <c:pt idx="3">
                  <c:v>49307.545459846413</c:v>
                </c:pt>
                <c:pt idx="4">
                  <c:v>38448.463201549661</c:v>
                </c:pt>
                <c:pt idx="5">
                  <c:v>26486.312718369903</c:v>
                </c:pt>
                <c:pt idx="6">
                  <c:v>13605.56002323268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E-A981-4798-8422-71D39111FE31}"/>
            </c:ext>
          </c:extLst>
        </c:ser>
        <c:ser>
          <c:idx val="191"/>
          <c:order val="191"/>
          <c:tx>
            <c:strRef>
              <c:f>IRS!$B$215</c:f>
              <c:strCache>
                <c:ptCount val="1"/>
                <c:pt idx="0">
                  <c:v>Simulation 192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IRS!$F$215:$M$215</c:f>
              <c:numCache>
                <c:formatCode>0</c:formatCode>
                <c:ptCount val="8"/>
                <c:pt idx="0">
                  <c:v>75802.258829755854</c:v>
                </c:pt>
                <c:pt idx="1">
                  <c:v>68923.319355508793</c:v>
                </c:pt>
                <c:pt idx="2">
                  <c:v>60643.662756527658</c:v>
                </c:pt>
                <c:pt idx="3">
                  <c:v>50641.249422791268</c:v>
                </c:pt>
                <c:pt idx="4">
                  <c:v>39399.87720900205</c:v>
                </c:pt>
                <c:pt idx="5">
                  <c:v>27087.161904471297</c:v>
                </c:pt>
                <c:pt idx="6">
                  <c:v>13889.070723852301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F-A981-4798-8422-71D39111FE31}"/>
            </c:ext>
          </c:extLst>
        </c:ser>
        <c:ser>
          <c:idx val="192"/>
          <c:order val="192"/>
          <c:tx>
            <c:strRef>
              <c:f>IRS!$B$216</c:f>
              <c:strCache>
                <c:ptCount val="1"/>
                <c:pt idx="0">
                  <c:v>Simulation 193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IRS!$F$216:$M$216</c:f>
              <c:numCache>
                <c:formatCode>0</c:formatCode>
                <c:ptCount val="8"/>
                <c:pt idx="0">
                  <c:v>73364.980377825166</c:v>
                </c:pt>
                <c:pt idx="1">
                  <c:v>66957.455244451587</c:v>
                </c:pt>
                <c:pt idx="2">
                  <c:v>59095.336005031524</c:v>
                </c:pt>
                <c:pt idx="3">
                  <c:v>49482.515454580818</c:v>
                </c:pt>
                <c:pt idx="4">
                  <c:v>38586.276985798046</c:v>
                </c:pt>
                <c:pt idx="5">
                  <c:v>26578.908588015758</c:v>
                </c:pt>
                <c:pt idx="6">
                  <c:v>13650.700814889922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0-A981-4798-8422-71D39111FE31}"/>
            </c:ext>
          </c:extLst>
        </c:ser>
        <c:ser>
          <c:idx val="193"/>
          <c:order val="193"/>
          <c:tx>
            <c:strRef>
              <c:f>IRS!$B$217</c:f>
              <c:strCache>
                <c:ptCount val="1"/>
                <c:pt idx="0">
                  <c:v>Simulation 194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IRS!$F$217:$M$217</c:f>
              <c:numCache>
                <c:formatCode>0</c:formatCode>
                <c:ptCount val="8"/>
                <c:pt idx="0">
                  <c:v>70732.664818733028</c:v>
                </c:pt>
                <c:pt idx="1">
                  <c:v>64846.879869959856</c:v>
                </c:pt>
                <c:pt idx="2">
                  <c:v>57449.220489669882</c:v>
                </c:pt>
                <c:pt idx="3">
                  <c:v>48267.863232545351</c:v>
                </c:pt>
                <c:pt idx="4">
                  <c:v>37748.901035029521</c:v>
                </c:pt>
                <c:pt idx="5">
                  <c:v>26067.422063985716</c:v>
                </c:pt>
                <c:pt idx="6">
                  <c:v>13417.068363915971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1-A981-4798-8422-71D39111FE31}"/>
            </c:ext>
          </c:extLst>
        </c:ser>
        <c:ser>
          <c:idx val="194"/>
          <c:order val="194"/>
          <c:tx>
            <c:strRef>
              <c:f>IRS!$B$218</c:f>
              <c:strCache>
                <c:ptCount val="1"/>
                <c:pt idx="0">
                  <c:v>Simulation 195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IRS!$F$218:$M$218</c:f>
              <c:numCache>
                <c:formatCode>0</c:formatCode>
                <c:ptCount val="8"/>
                <c:pt idx="0">
                  <c:v>69352.802737175691</c:v>
                </c:pt>
                <c:pt idx="1">
                  <c:v>63651.758811897918</c:v>
                </c:pt>
                <c:pt idx="2">
                  <c:v>56449.625278550746</c:v>
                </c:pt>
                <c:pt idx="3">
                  <c:v>47478.764787821303</c:v>
                </c:pt>
                <c:pt idx="4">
                  <c:v>37169.882255712371</c:v>
                </c:pt>
                <c:pt idx="5">
                  <c:v>25692.766185730237</c:v>
                </c:pt>
                <c:pt idx="6">
                  <c:v>13236.594224343375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2-A981-4798-8422-71D39111FE31}"/>
            </c:ext>
          </c:extLst>
        </c:ser>
        <c:ser>
          <c:idx val="195"/>
          <c:order val="195"/>
          <c:tx>
            <c:strRef>
              <c:f>IRS!$B$219</c:f>
              <c:strCache>
                <c:ptCount val="1"/>
                <c:pt idx="0">
                  <c:v>Simulation 196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IRS!$F$219:$M$219</c:f>
              <c:numCache>
                <c:formatCode>0</c:formatCode>
                <c:ptCount val="8"/>
                <c:pt idx="0">
                  <c:v>73352.733091308197</c:v>
                </c:pt>
                <c:pt idx="1">
                  <c:v>67068.576197184972</c:v>
                </c:pt>
                <c:pt idx="2">
                  <c:v>59279.27657850532</c:v>
                </c:pt>
                <c:pt idx="3">
                  <c:v>49696.963398223525</c:v>
                </c:pt>
                <c:pt idx="4">
                  <c:v>38791.224249135317</c:v>
                </c:pt>
                <c:pt idx="5">
                  <c:v>26740.739265722521</c:v>
                </c:pt>
                <c:pt idx="6">
                  <c:v>13742.146861858857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3-A981-4798-8422-71D39111FE31}"/>
            </c:ext>
          </c:extLst>
        </c:ser>
        <c:ser>
          <c:idx val="196"/>
          <c:order val="196"/>
          <c:tx>
            <c:strRef>
              <c:f>IRS!$B$220</c:f>
              <c:strCache>
                <c:ptCount val="1"/>
                <c:pt idx="0">
                  <c:v>Simulation 197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IRS!$F$220:$M$220</c:f>
              <c:numCache>
                <c:formatCode>0</c:formatCode>
                <c:ptCount val="8"/>
                <c:pt idx="0">
                  <c:v>72003.297625379055</c:v>
                </c:pt>
                <c:pt idx="1">
                  <c:v>65955.361990060206</c:v>
                </c:pt>
                <c:pt idx="2">
                  <c:v>58383.20997260532</c:v>
                </c:pt>
                <c:pt idx="3">
                  <c:v>49011.254257221815</c:v>
                </c:pt>
                <c:pt idx="4">
                  <c:v>38299.372430915399</c:v>
                </c:pt>
                <c:pt idx="5">
                  <c:v>26427.240365415506</c:v>
                </c:pt>
                <c:pt idx="6">
                  <c:v>13592.349401130408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4-A981-4798-8422-71D39111FE31}"/>
            </c:ext>
          </c:extLst>
        </c:ser>
        <c:ser>
          <c:idx val="197"/>
          <c:order val="197"/>
          <c:tx>
            <c:strRef>
              <c:f>IRS!$B$221</c:f>
              <c:strCache>
                <c:ptCount val="1"/>
                <c:pt idx="0">
                  <c:v>Simulation 198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IRS!$F$221:$M$221</c:f>
              <c:numCache>
                <c:formatCode>0</c:formatCode>
                <c:ptCount val="8"/>
                <c:pt idx="0">
                  <c:v>70718.636937246541</c:v>
                </c:pt>
                <c:pt idx="1">
                  <c:v>64931.875169883351</c:v>
                </c:pt>
                <c:pt idx="2">
                  <c:v>57590.618129957395</c:v>
                </c:pt>
                <c:pt idx="3">
                  <c:v>48431.242232495191</c:v>
                </c:pt>
                <c:pt idx="4">
                  <c:v>37903.253428761702</c:v>
                </c:pt>
                <c:pt idx="5">
                  <c:v>26187.827254467353</c:v>
                </c:pt>
                <c:pt idx="6">
                  <c:v>13484.275899261924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5-A981-4798-8422-71D39111FE31}"/>
            </c:ext>
          </c:extLst>
        </c:ser>
        <c:ser>
          <c:idx val="198"/>
          <c:order val="198"/>
          <c:tx>
            <c:strRef>
              <c:f>IRS!$B$222</c:f>
              <c:strCache>
                <c:ptCount val="1"/>
                <c:pt idx="0">
                  <c:v>Simulation 199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IRS!$F$222:$M$222</c:f>
              <c:numCache>
                <c:formatCode>0</c:formatCode>
                <c:ptCount val="8"/>
                <c:pt idx="0">
                  <c:v>69630.767083958199</c:v>
                </c:pt>
                <c:pt idx="1">
                  <c:v>63961.131546590404</c:v>
                </c:pt>
                <c:pt idx="2">
                  <c:v>56754.317099570209</c:v>
                </c:pt>
                <c:pt idx="3">
                  <c:v>47750.215266506479</c:v>
                </c:pt>
                <c:pt idx="4">
                  <c:v>37387.661710034859</c:v>
                </c:pt>
                <c:pt idx="5">
                  <c:v>25843.554376279622</c:v>
                </c:pt>
                <c:pt idx="6">
                  <c:v>13313.116398525117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6-A981-4798-8422-71D39111FE31}"/>
            </c:ext>
          </c:extLst>
        </c:ser>
        <c:ser>
          <c:idx val="199"/>
          <c:order val="199"/>
          <c:tx>
            <c:strRef>
              <c:f>IRS!$B$223</c:f>
              <c:strCache>
                <c:ptCount val="1"/>
                <c:pt idx="0">
                  <c:v>Simulation 200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IRS!$F$223:$M$223</c:f>
              <c:numCache>
                <c:formatCode>0</c:formatCode>
                <c:ptCount val="8"/>
                <c:pt idx="0">
                  <c:v>70428.544565147371</c:v>
                </c:pt>
                <c:pt idx="1">
                  <c:v>64616.436748263644</c:v>
                </c:pt>
                <c:pt idx="2">
                  <c:v>57281.686351803233</c:v>
                </c:pt>
                <c:pt idx="3">
                  <c:v>48155.524093520944</c:v>
                </c:pt>
                <c:pt idx="4">
                  <c:v>37680.910239561519</c:v>
                </c:pt>
                <c:pt idx="5">
                  <c:v>26032.852215692918</c:v>
                </c:pt>
                <c:pt idx="6">
                  <c:v>13405.044149390294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7-A981-4798-8422-71D39111FE31}"/>
            </c:ext>
          </c:extLst>
        </c:ser>
        <c:ser>
          <c:idx val="200"/>
          <c:order val="200"/>
          <c:tx>
            <c:strRef>
              <c:f>IRS!$B$224</c:f>
              <c:strCache>
                <c:ptCount val="1"/>
                <c:pt idx="0">
                  <c:v>Simulation 201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IRS!$F$23:$M$23</c:f>
              <c:strCache>
                <c:ptCount val="8"/>
                <c:pt idx="0">
                  <c:v>T3</c:v>
                </c:pt>
                <c:pt idx="1">
                  <c:v>T4</c:v>
                </c:pt>
                <c:pt idx="2">
                  <c:v>T5</c:v>
                </c:pt>
                <c:pt idx="3">
                  <c:v>T6</c:v>
                </c:pt>
                <c:pt idx="4">
                  <c:v>T7</c:v>
                </c:pt>
                <c:pt idx="5">
                  <c:v>T8</c:v>
                </c:pt>
                <c:pt idx="6">
                  <c:v>T9</c:v>
                </c:pt>
                <c:pt idx="7">
                  <c:v>T10</c:v>
                </c:pt>
              </c:strCache>
            </c:strRef>
          </c:cat>
          <c:val>
            <c:numRef>
              <c:f>IRS!$F$224:$M$224</c:f>
              <c:numCache>
                <c:formatCode>0</c:formatCode>
                <c:ptCount val="8"/>
                <c:pt idx="0">
                  <c:v>70457.981007307317</c:v>
                </c:pt>
                <c:pt idx="1">
                  <c:v>64669.88339630398</c:v>
                </c:pt>
                <c:pt idx="2">
                  <c:v>57344.598641759541</c:v>
                </c:pt>
                <c:pt idx="3">
                  <c:v>48216.973649389736</c:v>
                </c:pt>
                <c:pt idx="4">
                  <c:v>37732.686000268266</c:v>
                </c:pt>
                <c:pt idx="5">
                  <c:v>26069.614325402075</c:v>
                </c:pt>
                <c:pt idx="6">
                  <c:v>13423.884352298246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8-A981-4798-8422-71D39111F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0905520"/>
        <c:axId val="860904864"/>
      </c:lineChart>
      <c:catAx>
        <c:axId val="86090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904864"/>
        <c:crosses val="autoZero"/>
        <c:auto val="1"/>
        <c:lblAlgn val="ctr"/>
        <c:lblOffset val="100"/>
        <c:noMultiLvlLbl val="0"/>
      </c:catAx>
      <c:valAx>
        <c:axId val="86090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90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Simulated</a:t>
            </a:r>
            <a:r>
              <a:rPr lang="en-GB" baseline="0"/>
              <a:t> Exp. Exposure for T4 onwards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IRS!$B$24</c:f>
              <c:strCache>
                <c:ptCount val="1"/>
                <c:pt idx="0">
                  <c:v>Simulation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IRS!$G$24:$M$24</c:f>
              <c:numCache>
                <c:formatCode>0</c:formatCode>
                <c:ptCount val="7"/>
                <c:pt idx="0">
                  <c:v>0</c:v>
                </c:pt>
                <c:pt idx="1">
                  <c:v>2302.91695762566</c:v>
                </c:pt>
                <c:pt idx="2">
                  <c:v>4971.3672242155808</c:v>
                </c:pt>
                <c:pt idx="3">
                  <c:v>5988.9511858465812</c:v>
                </c:pt>
                <c:pt idx="4">
                  <c:v>5416.2700067541946</c:v>
                </c:pt>
                <c:pt idx="5">
                  <c:v>3369.3937072993895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C2-440D-9924-4B5B8AB7198A}"/>
            </c:ext>
          </c:extLst>
        </c:ser>
        <c:ser>
          <c:idx val="1"/>
          <c:order val="1"/>
          <c:tx>
            <c:strRef>
              <c:f>IRS!$B$25</c:f>
              <c:strCache>
                <c:ptCount val="1"/>
                <c:pt idx="0">
                  <c:v>Simulation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IRS!$G$25:$M$25</c:f>
              <c:numCache>
                <c:formatCode>0</c:formatCode>
                <c:ptCount val="7"/>
                <c:pt idx="0">
                  <c:v>0</c:v>
                </c:pt>
                <c:pt idx="1">
                  <c:v>3253.9320492499487</c:v>
                </c:pt>
                <c:pt idx="2">
                  <c:v>5715.2382859755862</c:v>
                </c:pt>
                <c:pt idx="3">
                  <c:v>6528.9189817282022</c:v>
                </c:pt>
                <c:pt idx="4">
                  <c:v>5761.4275923326659</c:v>
                </c:pt>
                <c:pt idx="5">
                  <c:v>3533.4499384399574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C2-440D-9924-4B5B8AB7198A}"/>
            </c:ext>
          </c:extLst>
        </c:ser>
        <c:ser>
          <c:idx val="2"/>
          <c:order val="2"/>
          <c:tx>
            <c:strRef>
              <c:f>IRS!$B$26</c:f>
              <c:strCache>
                <c:ptCount val="1"/>
                <c:pt idx="0">
                  <c:v>Simulation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IRS!$G$26:$M$26</c:f>
              <c:numCache>
                <c:formatCode>0</c:formatCode>
                <c:ptCount val="7"/>
                <c:pt idx="0">
                  <c:v>0</c:v>
                </c:pt>
                <c:pt idx="1">
                  <c:v>1884.0156879095266</c:v>
                </c:pt>
                <c:pt idx="2">
                  <c:v>4654.2742572015068</c:v>
                </c:pt>
                <c:pt idx="3">
                  <c:v>5764.1357141605349</c:v>
                </c:pt>
                <c:pt idx="4">
                  <c:v>5274.8563264760542</c:v>
                </c:pt>
                <c:pt idx="5">
                  <c:v>3302.8536555887135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C2-440D-9924-4B5B8AB7198A}"/>
            </c:ext>
          </c:extLst>
        </c:ser>
        <c:ser>
          <c:idx val="3"/>
          <c:order val="3"/>
          <c:tx>
            <c:strRef>
              <c:f>IRS!$B$27</c:f>
              <c:strCache>
                <c:ptCount val="1"/>
                <c:pt idx="0">
                  <c:v>Simulation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IRS!$G$27:$M$27</c:f>
              <c:numCache>
                <c:formatCode>0</c:formatCode>
                <c:ptCount val="7"/>
                <c:pt idx="0">
                  <c:v>0</c:v>
                </c:pt>
                <c:pt idx="1">
                  <c:v>147.33303133841082</c:v>
                </c:pt>
                <c:pt idx="2">
                  <c:v>3295.5655784355963</c:v>
                </c:pt>
                <c:pt idx="3">
                  <c:v>4772.7419670448126</c:v>
                </c:pt>
                <c:pt idx="4">
                  <c:v>4635.1187148928493</c:v>
                </c:pt>
                <c:pt idx="5">
                  <c:v>2994.7458756436999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C2-440D-9924-4B5B8AB7198A}"/>
            </c:ext>
          </c:extLst>
        </c:ser>
        <c:ser>
          <c:idx val="4"/>
          <c:order val="4"/>
          <c:tx>
            <c:strRef>
              <c:f>IRS!$B$28</c:f>
              <c:strCache>
                <c:ptCount val="1"/>
                <c:pt idx="0">
                  <c:v>Simulation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IRS!$G$28:$M$28</c:f>
              <c:numCache>
                <c:formatCode>0</c:formatCode>
                <c:ptCount val="7"/>
                <c:pt idx="0">
                  <c:v>0</c:v>
                </c:pt>
                <c:pt idx="1">
                  <c:v>906.55333721781108</c:v>
                </c:pt>
                <c:pt idx="2">
                  <c:v>3913.1483497674999</c:v>
                </c:pt>
                <c:pt idx="3">
                  <c:v>5239.5449729205775</c:v>
                </c:pt>
                <c:pt idx="4">
                  <c:v>4946.2832103544379</c:v>
                </c:pt>
                <c:pt idx="5">
                  <c:v>3149.2212259816833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C2-440D-9924-4B5B8AB7198A}"/>
            </c:ext>
          </c:extLst>
        </c:ser>
        <c:ser>
          <c:idx val="5"/>
          <c:order val="5"/>
          <c:tx>
            <c:strRef>
              <c:f>IRS!$B$29</c:f>
              <c:strCache>
                <c:ptCount val="1"/>
                <c:pt idx="0">
                  <c:v>Simulation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IRS!$G$29:$M$29</c:f>
              <c:numCache>
                <c:formatCode>0</c:formatCode>
                <c:ptCount val="7"/>
                <c:pt idx="0">
                  <c:v>0</c:v>
                </c:pt>
                <c:pt idx="1">
                  <c:v>2608.4782672190536</c:v>
                </c:pt>
                <c:pt idx="2">
                  <c:v>5217.3257719843705</c:v>
                </c:pt>
                <c:pt idx="3">
                  <c:v>6173.9735398737485</c:v>
                </c:pt>
                <c:pt idx="4">
                  <c:v>5539.9949781065425</c:v>
                </c:pt>
                <c:pt idx="5">
                  <c:v>3431.5712562021054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C2-440D-9924-4B5B8AB7198A}"/>
            </c:ext>
          </c:extLst>
        </c:ser>
        <c:ser>
          <c:idx val="6"/>
          <c:order val="6"/>
          <c:tx>
            <c:strRef>
              <c:f>IRS!$B$30</c:f>
              <c:strCache>
                <c:ptCount val="1"/>
                <c:pt idx="0">
                  <c:v>Simulation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IRS!$G$30:$M$30</c:f>
              <c:numCache>
                <c:formatCode>0</c:formatCode>
                <c:ptCount val="7"/>
                <c:pt idx="0">
                  <c:v>559.38986658909516</c:v>
                </c:pt>
                <c:pt idx="1">
                  <c:v>4458.6002182146185</c:v>
                </c:pt>
                <c:pt idx="2">
                  <c:v>6684.8269614576766</c:v>
                </c:pt>
                <c:pt idx="3">
                  <c:v>7256.5090391019185</c:v>
                </c:pt>
                <c:pt idx="4">
                  <c:v>6244.6058338204766</c:v>
                </c:pt>
                <c:pt idx="5">
                  <c:v>3773.2339175459119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C2-440D-9924-4B5B8AB7198A}"/>
            </c:ext>
          </c:extLst>
        </c:ser>
        <c:ser>
          <c:idx val="7"/>
          <c:order val="7"/>
          <c:tx>
            <c:strRef>
              <c:f>IRS!$B$31</c:f>
              <c:strCache>
                <c:ptCount val="1"/>
                <c:pt idx="0">
                  <c:v>Simulation 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IRS!$G$31:$M$31</c:f>
              <c:numCache>
                <c:formatCode>0</c:formatCode>
                <c:ptCount val="7"/>
                <c:pt idx="0">
                  <c:v>0</c:v>
                </c:pt>
                <c:pt idx="1">
                  <c:v>3786.0276424359522</c:v>
                </c:pt>
                <c:pt idx="2">
                  <c:v>6133.6654343051287</c:v>
                </c:pt>
                <c:pt idx="3">
                  <c:v>6833.7323256458094</c:v>
                </c:pt>
                <c:pt idx="4">
                  <c:v>5957.103189581645</c:v>
                </c:pt>
                <c:pt idx="5">
                  <c:v>3627.0997543115268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C2-440D-9924-4B5B8AB7198A}"/>
            </c:ext>
          </c:extLst>
        </c:ser>
        <c:ser>
          <c:idx val="8"/>
          <c:order val="8"/>
          <c:tx>
            <c:strRef>
              <c:f>IRS!$B$32</c:f>
              <c:strCache>
                <c:ptCount val="1"/>
                <c:pt idx="0">
                  <c:v>Simulation 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IRS!$G$32:$M$32</c:f>
              <c:numCache>
                <c:formatCode>0</c:formatCode>
                <c:ptCount val="7"/>
                <c:pt idx="0">
                  <c:v>0</c:v>
                </c:pt>
                <c:pt idx="1">
                  <c:v>3832.5683962937155</c:v>
                </c:pt>
                <c:pt idx="2">
                  <c:v>6128.0849842611387</c:v>
                </c:pt>
                <c:pt idx="3">
                  <c:v>6799.0020440434891</c:v>
                </c:pt>
                <c:pt idx="4">
                  <c:v>5914.9728967546744</c:v>
                </c:pt>
                <c:pt idx="5">
                  <c:v>3597.372432540752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C2-440D-9924-4B5B8AB7198A}"/>
            </c:ext>
          </c:extLst>
        </c:ser>
        <c:ser>
          <c:idx val="9"/>
          <c:order val="9"/>
          <c:tx>
            <c:strRef>
              <c:f>IRS!$B$33</c:f>
              <c:strCache>
                <c:ptCount val="1"/>
                <c:pt idx="0">
                  <c:v>Simulation 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IRS!$G$33:$M$33</c:f>
              <c:numCache>
                <c:formatCode>0</c:formatCode>
                <c:ptCount val="7"/>
                <c:pt idx="0">
                  <c:v>2919.6910609422966</c:v>
                </c:pt>
                <c:pt idx="1">
                  <c:v>6286.5517206428867</c:v>
                </c:pt>
                <c:pt idx="2">
                  <c:v>8033.0005470806827</c:v>
                </c:pt>
                <c:pt idx="3">
                  <c:v>8180.8248567911251</c:v>
                </c:pt>
                <c:pt idx="4">
                  <c:v>6803.3046586319433</c:v>
                </c:pt>
                <c:pt idx="5">
                  <c:v>4024.5173897570862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C2-440D-9924-4B5B8AB7198A}"/>
            </c:ext>
          </c:extLst>
        </c:ser>
        <c:ser>
          <c:idx val="10"/>
          <c:order val="10"/>
          <c:tx>
            <c:strRef>
              <c:f>IRS!$B$34</c:f>
              <c:strCache>
                <c:ptCount val="1"/>
                <c:pt idx="0">
                  <c:v>Simulation 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IRS!$G$34:$M$34</c:f>
              <c:numCache>
                <c:formatCode>0</c:formatCode>
                <c:ptCount val="7"/>
                <c:pt idx="0">
                  <c:v>3096.3327711642105</c:v>
                </c:pt>
                <c:pt idx="1">
                  <c:v>6497.0115767863972</c:v>
                </c:pt>
                <c:pt idx="2">
                  <c:v>8246.853475775597</c:v>
                </c:pt>
                <c:pt idx="3">
                  <c:v>8371.2562921527897</c:v>
                </c:pt>
                <c:pt idx="4">
                  <c:v>6947.5859081160443</c:v>
                </c:pt>
                <c:pt idx="5">
                  <c:v>4103.9956940445682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C2-440D-9924-4B5B8AB7198A}"/>
            </c:ext>
          </c:extLst>
        </c:ser>
        <c:ser>
          <c:idx val="11"/>
          <c:order val="11"/>
          <c:tx>
            <c:strRef>
              <c:f>IRS!$B$35</c:f>
              <c:strCache>
                <c:ptCount val="1"/>
                <c:pt idx="0">
                  <c:v>Simulation 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IRS!$G$35:$M$35</c:f>
              <c:numCache>
                <c:formatCode>0</c:formatCode>
                <c:ptCount val="7"/>
                <c:pt idx="0">
                  <c:v>2875.0890054166834</c:v>
                </c:pt>
                <c:pt idx="1">
                  <c:v>6332.1072133942253</c:v>
                </c:pt>
                <c:pt idx="2">
                  <c:v>8128.0123942221526</c:v>
                </c:pt>
                <c:pt idx="3">
                  <c:v>8290.168546077708</c:v>
                </c:pt>
                <c:pt idx="4">
                  <c:v>6897.8958998873932</c:v>
                </c:pt>
                <c:pt idx="5">
                  <c:v>4080.9216975041627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C2-440D-9924-4B5B8AB7198A}"/>
            </c:ext>
          </c:extLst>
        </c:ser>
        <c:ser>
          <c:idx val="12"/>
          <c:order val="12"/>
          <c:tx>
            <c:strRef>
              <c:f>IRS!$B$36</c:f>
              <c:strCache>
                <c:ptCount val="1"/>
                <c:pt idx="0">
                  <c:v>Simulation 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IRS!$G$36:$M$36</c:f>
              <c:numCache>
                <c:formatCode>0</c:formatCode>
                <c:ptCount val="7"/>
                <c:pt idx="0">
                  <c:v>0</c:v>
                </c:pt>
                <c:pt idx="1">
                  <c:v>3660.6373173758279</c:v>
                </c:pt>
                <c:pt idx="2">
                  <c:v>6079.1681688559111</c:v>
                </c:pt>
                <c:pt idx="3">
                  <c:v>6821.0185285441949</c:v>
                </c:pt>
                <c:pt idx="4">
                  <c:v>5963.92192098139</c:v>
                </c:pt>
                <c:pt idx="5">
                  <c:v>3636.6983636153977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C2-440D-9924-4B5B8AB7198A}"/>
            </c:ext>
          </c:extLst>
        </c:ser>
        <c:ser>
          <c:idx val="13"/>
          <c:order val="13"/>
          <c:tx>
            <c:strRef>
              <c:f>IRS!$B$37</c:f>
              <c:strCache>
                <c:ptCount val="1"/>
                <c:pt idx="0">
                  <c:v>Simulation 14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IRS!$G$37:$M$37</c:f>
              <c:numCache>
                <c:formatCode>0</c:formatCode>
                <c:ptCount val="7"/>
                <c:pt idx="0">
                  <c:v>3459.4828276127791</c:v>
                </c:pt>
                <c:pt idx="1">
                  <c:v>6848.7616090073661</c:v>
                </c:pt>
                <c:pt idx="2">
                  <c:v>8560.2328385600995</c:v>
                </c:pt>
                <c:pt idx="3">
                  <c:v>8624.8579564472384</c:v>
                </c:pt>
                <c:pt idx="4">
                  <c:v>7125.8571026065019</c:v>
                </c:pt>
                <c:pt idx="5">
                  <c:v>4196.3481419270656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C2-440D-9924-4B5B8AB7198A}"/>
            </c:ext>
          </c:extLst>
        </c:ser>
        <c:ser>
          <c:idx val="14"/>
          <c:order val="14"/>
          <c:tx>
            <c:strRef>
              <c:f>IRS!$B$38</c:f>
              <c:strCache>
                <c:ptCount val="1"/>
                <c:pt idx="0">
                  <c:v>Simulation 15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IRS!$G$38:$M$38</c:f>
              <c:numCache>
                <c:formatCode>0</c:formatCode>
                <c:ptCount val="7"/>
                <c:pt idx="0">
                  <c:v>2191.6475228744139</c:v>
                </c:pt>
                <c:pt idx="1">
                  <c:v>5772.6148699154883</c:v>
                </c:pt>
                <c:pt idx="2">
                  <c:v>7691.4324417966063</c:v>
                </c:pt>
                <c:pt idx="3">
                  <c:v>7972.8925148304561</c:v>
                </c:pt>
                <c:pt idx="4">
                  <c:v>6694.4572204447668</c:v>
                </c:pt>
                <c:pt idx="5">
                  <c:v>3983.855496609327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C2-440D-9924-4B5B8AB7198A}"/>
            </c:ext>
          </c:extLst>
        </c:ser>
        <c:ser>
          <c:idx val="15"/>
          <c:order val="15"/>
          <c:tx>
            <c:strRef>
              <c:f>IRS!$B$39</c:f>
              <c:strCache>
                <c:ptCount val="1"/>
                <c:pt idx="0">
                  <c:v>Simulation 16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IRS!$G$39:$M$39</c:f>
              <c:numCache>
                <c:formatCode>0</c:formatCode>
                <c:ptCount val="7"/>
                <c:pt idx="0">
                  <c:v>5321.0443779610941</c:v>
                </c:pt>
                <c:pt idx="1">
                  <c:v>8219.6272604710302</c:v>
                </c:pt>
                <c:pt idx="2">
                  <c:v>9524.1035898194932</c:v>
                </c:pt>
                <c:pt idx="3">
                  <c:v>9256.9188773193036</c:v>
                </c:pt>
                <c:pt idx="4">
                  <c:v>7492.7439024232244</c:v>
                </c:pt>
                <c:pt idx="5">
                  <c:v>4355.6054821886546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C2-440D-9924-4B5B8AB7198A}"/>
            </c:ext>
          </c:extLst>
        </c:ser>
        <c:ser>
          <c:idx val="16"/>
          <c:order val="16"/>
          <c:tx>
            <c:strRef>
              <c:f>IRS!$B$40</c:f>
              <c:strCache>
                <c:ptCount val="1"/>
                <c:pt idx="0">
                  <c:v>Simulation 17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IRS!$G$40:$M$40</c:f>
              <c:numCache>
                <c:formatCode>0</c:formatCode>
                <c:ptCount val="7"/>
                <c:pt idx="0">
                  <c:v>6796.2571656666696</c:v>
                </c:pt>
                <c:pt idx="1">
                  <c:v>9416.6779667363407</c:v>
                </c:pt>
                <c:pt idx="2">
                  <c:v>10454.462438924407</c:v>
                </c:pt>
                <c:pt idx="3">
                  <c:v>9933.2049494802122</c:v>
                </c:pt>
                <c:pt idx="4">
                  <c:v>7928.7878913814056</c:v>
                </c:pt>
                <c:pt idx="5">
                  <c:v>4566.0639086411538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C2-440D-9924-4B5B8AB7198A}"/>
            </c:ext>
          </c:extLst>
        </c:ser>
        <c:ser>
          <c:idx val="17"/>
          <c:order val="17"/>
          <c:tx>
            <c:strRef>
              <c:f>IRS!$B$41</c:f>
              <c:strCache>
                <c:ptCount val="1"/>
                <c:pt idx="0">
                  <c:v>Simulation 18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IRS!$G$41:$M$41</c:f>
              <c:numCache>
                <c:formatCode>0</c:formatCode>
                <c:ptCount val="7"/>
                <c:pt idx="0">
                  <c:v>7570.7612905898695</c:v>
                </c:pt>
                <c:pt idx="1">
                  <c:v>10016.837049732674</c:v>
                </c:pt>
                <c:pt idx="2">
                  <c:v>10897.842403924336</c:v>
                </c:pt>
                <c:pt idx="3">
                  <c:v>10238.110203087894</c:v>
                </c:pt>
                <c:pt idx="4">
                  <c:v>8113.9224258206141</c:v>
                </c:pt>
                <c:pt idx="5">
                  <c:v>4649.8473931908266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C2-440D-9924-4B5B8AB7198A}"/>
            </c:ext>
          </c:extLst>
        </c:ser>
        <c:ser>
          <c:idx val="18"/>
          <c:order val="18"/>
          <c:tx>
            <c:strRef>
              <c:f>IRS!$B$42</c:f>
              <c:strCache>
                <c:ptCount val="1"/>
                <c:pt idx="0">
                  <c:v>Simulation 19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IRS!$G$42:$M$42</c:f>
              <c:numCache>
                <c:formatCode>0</c:formatCode>
                <c:ptCount val="7"/>
                <c:pt idx="0">
                  <c:v>8075.4235763923825</c:v>
                </c:pt>
                <c:pt idx="1">
                  <c:v>10418.204404645086</c:v>
                </c:pt>
                <c:pt idx="2">
                  <c:v>11201.324719015018</c:v>
                </c:pt>
                <c:pt idx="3">
                  <c:v>10451.138928101758</c:v>
                </c:pt>
                <c:pt idx="4">
                  <c:v>8245.6309338203737</c:v>
                </c:pt>
                <c:pt idx="5">
                  <c:v>4710.4005410718846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C2-440D-9924-4B5B8AB7198A}"/>
            </c:ext>
          </c:extLst>
        </c:ser>
        <c:ser>
          <c:idx val="19"/>
          <c:order val="19"/>
          <c:tx>
            <c:strRef>
              <c:f>IRS!$B$43</c:f>
              <c:strCache>
                <c:ptCount val="1"/>
                <c:pt idx="0">
                  <c:v>Simulation 20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IRS!$G$43:$M$43</c:f>
              <c:numCache>
                <c:formatCode>0</c:formatCode>
                <c:ptCount val="7"/>
                <c:pt idx="0">
                  <c:v>7571.2425738150851</c:v>
                </c:pt>
                <c:pt idx="1">
                  <c:v>10005.655876512345</c:v>
                </c:pt>
                <c:pt idx="2">
                  <c:v>10878.656573221924</c:v>
                </c:pt>
                <c:pt idx="3">
                  <c:v>10215.539335450128</c:v>
                </c:pt>
                <c:pt idx="4">
                  <c:v>8093.4135304883921</c:v>
                </c:pt>
                <c:pt idx="5">
                  <c:v>4636.9840308510493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AC2-440D-9924-4B5B8AB7198A}"/>
            </c:ext>
          </c:extLst>
        </c:ser>
        <c:ser>
          <c:idx val="20"/>
          <c:order val="20"/>
          <c:tx>
            <c:strRef>
              <c:f>IRS!$B$44</c:f>
              <c:strCache>
                <c:ptCount val="1"/>
                <c:pt idx="0">
                  <c:v>Simulation 21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IRS!$G$44:$M$44</c:f>
              <c:numCache>
                <c:formatCode>0</c:formatCode>
                <c:ptCount val="7"/>
                <c:pt idx="0">
                  <c:v>7218.181694479641</c:v>
                </c:pt>
                <c:pt idx="1">
                  <c:v>9708.3666423088507</c:v>
                </c:pt>
                <c:pt idx="2">
                  <c:v>10641.025447602895</c:v>
                </c:pt>
                <c:pt idx="3">
                  <c:v>10039.283078501339</c:v>
                </c:pt>
                <c:pt idx="4">
                  <c:v>7978.3681331242515</c:v>
                </c:pt>
                <c:pt idx="5">
                  <c:v>4581.206838879194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AC2-440D-9924-4B5B8AB7198A}"/>
            </c:ext>
          </c:extLst>
        </c:ser>
        <c:ser>
          <c:idx val="21"/>
          <c:order val="21"/>
          <c:tx>
            <c:strRef>
              <c:f>IRS!$B$45</c:f>
              <c:strCache>
                <c:ptCount val="1"/>
                <c:pt idx="0">
                  <c:v>Simulation 22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IRS!$G$45:$M$45</c:f>
              <c:numCache>
                <c:formatCode>0</c:formatCode>
                <c:ptCount val="7"/>
                <c:pt idx="0">
                  <c:v>9850.093964439824</c:v>
                </c:pt>
                <c:pt idx="1">
                  <c:v>11852.33948421694</c:v>
                </c:pt>
                <c:pt idx="2">
                  <c:v>12307.615533714477</c:v>
                </c:pt>
                <c:pt idx="3">
                  <c:v>11246.756079676979</c:v>
                </c:pt>
                <c:pt idx="4">
                  <c:v>8751.7878467608389</c:v>
                </c:pt>
                <c:pt idx="5">
                  <c:v>4950.9052930447269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AC2-440D-9924-4B5B8AB7198A}"/>
            </c:ext>
          </c:extLst>
        </c:ser>
        <c:ser>
          <c:idx val="22"/>
          <c:order val="22"/>
          <c:tx>
            <c:strRef>
              <c:f>IRS!$B$46</c:f>
              <c:strCache>
                <c:ptCount val="1"/>
                <c:pt idx="0">
                  <c:v>Simulation 23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IRS!$G$46:$M$46</c:f>
              <c:numCache>
                <c:formatCode>0</c:formatCode>
                <c:ptCount val="7"/>
                <c:pt idx="0">
                  <c:v>9701.7861156279469</c:v>
                </c:pt>
                <c:pt idx="1">
                  <c:v>11670.269662630948</c:v>
                </c:pt>
                <c:pt idx="2">
                  <c:v>12118.930655469369</c:v>
                </c:pt>
                <c:pt idx="3">
                  <c:v>11076.067979617408</c:v>
                </c:pt>
                <c:pt idx="4">
                  <c:v>8620.8288222887149</c:v>
                </c:pt>
                <c:pt idx="5">
                  <c:v>4878.0462218594066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AC2-440D-9924-4B5B8AB7198A}"/>
            </c:ext>
          </c:extLst>
        </c:ser>
        <c:ser>
          <c:idx val="23"/>
          <c:order val="23"/>
          <c:tx>
            <c:strRef>
              <c:f>IRS!$B$47</c:f>
              <c:strCache>
                <c:ptCount val="1"/>
                <c:pt idx="0">
                  <c:v>Simulation 24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IRS!$G$47:$M$47</c:f>
              <c:numCache>
                <c:formatCode>0</c:formatCode>
                <c:ptCount val="7"/>
                <c:pt idx="0">
                  <c:v>9238.6436481060809</c:v>
                </c:pt>
                <c:pt idx="1">
                  <c:v>11198.569814956589</c:v>
                </c:pt>
                <c:pt idx="2">
                  <c:v>11684.554272087877</c:v>
                </c:pt>
                <c:pt idx="3">
                  <c:v>10715.961739614377</c:v>
                </c:pt>
                <c:pt idx="4">
                  <c:v>8363.305359369695</c:v>
                </c:pt>
                <c:pt idx="5">
                  <c:v>4743.1087770924942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AC2-440D-9924-4B5B8AB7198A}"/>
            </c:ext>
          </c:extLst>
        </c:ser>
        <c:ser>
          <c:idx val="24"/>
          <c:order val="24"/>
          <c:tx>
            <c:strRef>
              <c:f>IRS!$B$48</c:f>
              <c:strCache>
                <c:ptCount val="1"/>
                <c:pt idx="0">
                  <c:v>Simulation 25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IRS!$G$48:$M$48</c:f>
              <c:numCache>
                <c:formatCode>0</c:formatCode>
                <c:ptCount val="7"/>
                <c:pt idx="0">
                  <c:v>13564.509077599816</c:v>
                </c:pt>
                <c:pt idx="1">
                  <c:v>14650.096953305272</c:v>
                </c:pt>
                <c:pt idx="2">
                  <c:v>14320.972481133087</c:v>
                </c:pt>
                <c:pt idx="3">
                  <c:v>12598.768474596216</c:v>
                </c:pt>
                <c:pt idx="4">
                  <c:v>9555.5476579864408</c:v>
                </c:pt>
                <c:pt idx="5">
                  <c:v>5308.0798469892015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AC2-440D-9924-4B5B8AB7198A}"/>
            </c:ext>
          </c:extLst>
        </c:ser>
        <c:ser>
          <c:idx val="25"/>
          <c:order val="25"/>
          <c:tx>
            <c:strRef>
              <c:f>IRS!$B$49</c:f>
              <c:strCache>
                <c:ptCount val="1"/>
                <c:pt idx="0">
                  <c:v>Simulation 26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IRS!$G$49:$M$49</c:f>
              <c:numCache>
                <c:formatCode>0</c:formatCode>
                <c:ptCount val="7"/>
                <c:pt idx="0">
                  <c:v>11726.170018624158</c:v>
                </c:pt>
                <c:pt idx="1">
                  <c:v>13132.495924444243</c:v>
                </c:pt>
                <c:pt idx="2">
                  <c:v>13128.029941009958</c:v>
                </c:pt>
                <c:pt idx="3">
                  <c:v>11726.4084906481</c:v>
                </c:pt>
                <c:pt idx="4">
                  <c:v>8992.6616566020348</c:v>
                </c:pt>
                <c:pt idx="5">
                  <c:v>5037.5615763825454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AC2-440D-9924-4B5B8AB7198A}"/>
            </c:ext>
          </c:extLst>
        </c:ser>
        <c:ser>
          <c:idx val="26"/>
          <c:order val="26"/>
          <c:tx>
            <c:strRef>
              <c:f>IRS!$B$50</c:f>
              <c:strCache>
                <c:ptCount val="1"/>
                <c:pt idx="0">
                  <c:v>Simulation 27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IRS!$G$50:$M$50</c:f>
              <c:numCache>
                <c:formatCode>0</c:formatCode>
                <c:ptCount val="7"/>
                <c:pt idx="0">
                  <c:v>12310.628338456932</c:v>
                </c:pt>
                <c:pt idx="1">
                  <c:v>13651.997283224599</c:v>
                </c:pt>
                <c:pt idx="2">
                  <c:v>13561.654196599375</c:v>
                </c:pt>
                <c:pt idx="3">
                  <c:v>12059.598165631869</c:v>
                </c:pt>
                <c:pt idx="4">
                  <c:v>9216.8143869313935</c:v>
                </c:pt>
                <c:pt idx="5">
                  <c:v>5149.2210560028934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AC2-440D-9924-4B5B8AB7198A}"/>
            </c:ext>
          </c:extLst>
        </c:ser>
        <c:ser>
          <c:idx val="27"/>
          <c:order val="27"/>
          <c:tx>
            <c:strRef>
              <c:f>IRS!$B$51</c:f>
              <c:strCache>
                <c:ptCount val="1"/>
                <c:pt idx="0">
                  <c:v>Simulation 28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IRS!$G$51:$M$51</c:f>
              <c:numCache>
                <c:formatCode>0</c:formatCode>
                <c:ptCount val="7"/>
                <c:pt idx="0">
                  <c:v>12837.017144597385</c:v>
                </c:pt>
                <c:pt idx="1">
                  <c:v>14069.673691539461</c:v>
                </c:pt>
                <c:pt idx="2">
                  <c:v>13876.338686452193</c:v>
                </c:pt>
                <c:pt idx="3">
                  <c:v>12279.428648686076</c:v>
                </c:pt>
                <c:pt idx="4">
                  <c:v>9351.8840161791595</c:v>
                </c:pt>
                <c:pt idx="5">
                  <c:v>5210.8324331458025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AC2-440D-9924-4B5B8AB7198A}"/>
            </c:ext>
          </c:extLst>
        </c:ser>
        <c:ser>
          <c:idx val="28"/>
          <c:order val="28"/>
          <c:tx>
            <c:strRef>
              <c:f>IRS!$B$52</c:f>
              <c:strCache>
                <c:ptCount val="1"/>
                <c:pt idx="0">
                  <c:v>Simulation 29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IRS!$G$52:$M$52</c:f>
              <c:numCache>
                <c:formatCode>0</c:formatCode>
                <c:ptCount val="7"/>
                <c:pt idx="0">
                  <c:v>9222.5879384264117</c:v>
                </c:pt>
                <c:pt idx="1">
                  <c:v>11249.131875735678</c:v>
                </c:pt>
                <c:pt idx="2">
                  <c:v>11768.392763864162</c:v>
                </c:pt>
                <c:pt idx="3">
                  <c:v>10805.788870262879</c:v>
                </c:pt>
                <c:pt idx="4">
                  <c:v>8437.9836525268729</c:v>
                </c:pt>
                <c:pt idx="5">
                  <c:v>4786.484747048723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AC2-440D-9924-4B5B8AB7198A}"/>
            </c:ext>
          </c:extLst>
        </c:ser>
        <c:ser>
          <c:idx val="29"/>
          <c:order val="29"/>
          <c:tx>
            <c:strRef>
              <c:f>IRS!$B$53</c:f>
              <c:strCache>
                <c:ptCount val="1"/>
                <c:pt idx="0">
                  <c:v>Simulation 30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IRS!$G$53:$M$53</c:f>
              <c:numCache>
                <c:formatCode>0</c:formatCode>
                <c:ptCount val="7"/>
                <c:pt idx="0">
                  <c:v>10225.27500353327</c:v>
                </c:pt>
                <c:pt idx="1">
                  <c:v>12134.323983634167</c:v>
                </c:pt>
                <c:pt idx="2">
                  <c:v>12504.763567076636</c:v>
                </c:pt>
                <c:pt idx="3">
                  <c:v>11371.124159202196</c:v>
                </c:pt>
                <c:pt idx="4">
                  <c:v>8818.6844308949003</c:v>
                </c:pt>
                <c:pt idx="5">
                  <c:v>4976.5740021061911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AC2-440D-9924-4B5B8AB7198A}"/>
            </c:ext>
          </c:extLst>
        </c:ser>
        <c:ser>
          <c:idx val="30"/>
          <c:order val="30"/>
          <c:tx>
            <c:strRef>
              <c:f>IRS!$B$54</c:f>
              <c:strCache>
                <c:ptCount val="1"/>
                <c:pt idx="0">
                  <c:v>Simulation 31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IRS!$G$54:$M$54</c:f>
              <c:numCache>
                <c:formatCode>0</c:formatCode>
                <c:ptCount val="7"/>
                <c:pt idx="0">
                  <c:v>9757.591367746114</c:v>
                </c:pt>
                <c:pt idx="1">
                  <c:v>11803.887510787054</c:v>
                </c:pt>
                <c:pt idx="2">
                  <c:v>12287.190721311506</c:v>
                </c:pt>
                <c:pt idx="3">
                  <c:v>11242.068865572477</c:v>
                </c:pt>
                <c:pt idx="4">
                  <c:v>8754.5231173409011</c:v>
                </c:pt>
                <c:pt idx="5">
                  <c:v>4954.8785140830696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AC2-440D-9924-4B5B8AB7198A}"/>
            </c:ext>
          </c:extLst>
        </c:ser>
        <c:ser>
          <c:idx val="31"/>
          <c:order val="31"/>
          <c:tx>
            <c:strRef>
              <c:f>IRS!$B$55</c:f>
              <c:strCache>
                <c:ptCount val="1"/>
                <c:pt idx="0">
                  <c:v>Simulation 32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IRS!$G$55:$M$55</c:f>
              <c:numCache>
                <c:formatCode>0</c:formatCode>
                <c:ptCount val="7"/>
                <c:pt idx="0">
                  <c:v>11460.966072437226</c:v>
                </c:pt>
                <c:pt idx="1">
                  <c:v>13230.002315423168</c:v>
                </c:pt>
                <c:pt idx="2">
                  <c:v>13429.515963524864</c:v>
                </c:pt>
                <c:pt idx="3">
                  <c:v>12096.845717966578</c:v>
                </c:pt>
                <c:pt idx="4">
                  <c:v>9321.086436867492</c:v>
                </c:pt>
                <c:pt idx="5">
                  <c:v>5235.5675928709834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AC2-440D-9924-4B5B8AB7198A}"/>
            </c:ext>
          </c:extLst>
        </c:ser>
        <c:ser>
          <c:idx val="32"/>
          <c:order val="32"/>
          <c:tx>
            <c:strRef>
              <c:f>IRS!$B$56</c:f>
              <c:strCache>
                <c:ptCount val="1"/>
                <c:pt idx="0">
                  <c:v>Simulation 33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IRS!$G$56:$M$56</c:f>
              <c:numCache>
                <c:formatCode>0</c:formatCode>
                <c:ptCount val="7"/>
                <c:pt idx="0">
                  <c:v>10687.006223570792</c:v>
                </c:pt>
                <c:pt idx="1">
                  <c:v>12631.552434513533</c:v>
                </c:pt>
                <c:pt idx="2">
                  <c:v>12989.607273556441</c:v>
                </c:pt>
                <c:pt idx="3">
                  <c:v>11796.788147923724</c:v>
                </c:pt>
                <c:pt idx="4">
                  <c:v>9141.1661032503744</c:v>
                </c:pt>
                <c:pt idx="5">
                  <c:v>5155.614172317155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AC2-440D-9924-4B5B8AB7198A}"/>
            </c:ext>
          </c:extLst>
        </c:ser>
        <c:ser>
          <c:idx val="33"/>
          <c:order val="33"/>
          <c:tx>
            <c:strRef>
              <c:f>IRS!$B$57</c:f>
              <c:strCache>
                <c:ptCount val="1"/>
                <c:pt idx="0">
                  <c:v>Simulation 34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IRS!$G$57:$M$57</c:f>
              <c:numCache>
                <c:formatCode>0</c:formatCode>
                <c:ptCount val="7"/>
                <c:pt idx="0">
                  <c:v>7738.1491557346253</c:v>
                </c:pt>
                <c:pt idx="1">
                  <c:v>10276.866361103666</c:v>
                </c:pt>
                <c:pt idx="2">
                  <c:v>11188.551592378102</c:v>
                </c:pt>
                <c:pt idx="3">
                  <c:v>10508.086207162689</c:v>
                </c:pt>
                <c:pt idx="4">
                  <c:v>8323.2408548588319</c:v>
                </c:pt>
                <c:pt idx="5">
                  <c:v>4767.032927434273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AC2-440D-9924-4B5B8AB7198A}"/>
            </c:ext>
          </c:extLst>
        </c:ser>
        <c:ser>
          <c:idx val="34"/>
          <c:order val="34"/>
          <c:tx>
            <c:strRef>
              <c:f>IRS!$B$58</c:f>
              <c:strCache>
                <c:ptCount val="1"/>
                <c:pt idx="0">
                  <c:v>Simulation 35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IRS!$G$58:$M$58</c:f>
              <c:numCache>
                <c:formatCode>0</c:formatCode>
                <c:ptCount val="7"/>
                <c:pt idx="0">
                  <c:v>6543.217154276268</c:v>
                </c:pt>
                <c:pt idx="1">
                  <c:v>9277.7846110792416</c:v>
                </c:pt>
                <c:pt idx="2">
                  <c:v>10394.651157039665</c:v>
                </c:pt>
                <c:pt idx="3">
                  <c:v>9922.1726618114444</c:v>
                </c:pt>
                <c:pt idx="4">
                  <c:v>7942.2542690217761</c:v>
                </c:pt>
                <c:pt idx="5">
                  <c:v>4582.760958130857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AC2-440D-9924-4B5B8AB7198A}"/>
            </c:ext>
          </c:extLst>
        </c:ser>
        <c:ser>
          <c:idx val="35"/>
          <c:order val="35"/>
          <c:tx>
            <c:strRef>
              <c:f>IRS!$B$59</c:f>
              <c:strCache>
                <c:ptCount val="1"/>
                <c:pt idx="0">
                  <c:v>Simulation 36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IRS!$G$59:$M$59</c:f>
              <c:numCache>
                <c:formatCode>0</c:formatCode>
                <c:ptCount val="7"/>
                <c:pt idx="0">
                  <c:v>6844.5599526647202</c:v>
                </c:pt>
                <c:pt idx="1">
                  <c:v>9470.2265857574639</c:v>
                </c:pt>
                <c:pt idx="2">
                  <c:v>10510.490702212102</c:v>
                </c:pt>
                <c:pt idx="3">
                  <c:v>9986.660028693881</c:v>
                </c:pt>
                <c:pt idx="4">
                  <c:v>7974.1536275973122</c:v>
                </c:pt>
                <c:pt idx="5">
                  <c:v>4594.8918224437211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AC2-440D-9924-4B5B8AB7198A}"/>
            </c:ext>
          </c:extLst>
        </c:ser>
        <c:ser>
          <c:idx val="36"/>
          <c:order val="36"/>
          <c:tx>
            <c:strRef>
              <c:f>IRS!$B$60</c:f>
              <c:strCache>
                <c:ptCount val="1"/>
                <c:pt idx="0">
                  <c:v>Simulation 37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IRS!$G$60:$M$60</c:f>
              <c:numCache>
                <c:formatCode>0</c:formatCode>
                <c:ptCount val="7"/>
                <c:pt idx="0">
                  <c:v>5043.7487116749189</c:v>
                </c:pt>
                <c:pt idx="1">
                  <c:v>8021.8209905079511</c:v>
                </c:pt>
                <c:pt idx="2">
                  <c:v>9398.3072914359036</c:v>
                </c:pt>
                <c:pt idx="3">
                  <c:v>9190.3905630286499</c:v>
                </c:pt>
                <c:pt idx="4">
                  <c:v>7470.123199557338</c:v>
                </c:pt>
                <c:pt idx="5">
                  <c:v>4356.8422814773885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AC2-440D-9924-4B5B8AB7198A}"/>
            </c:ext>
          </c:extLst>
        </c:ser>
        <c:ser>
          <c:idx val="37"/>
          <c:order val="37"/>
          <c:tx>
            <c:strRef>
              <c:f>IRS!$B$61</c:f>
              <c:strCache>
                <c:ptCount val="1"/>
                <c:pt idx="0">
                  <c:v>Simulation 38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IRS!$G$61:$M$61</c:f>
              <c:numCache>
                <c:formatCode>0</c:formatCode>
                <c:ptCount val="7"/>
                <c:pt idx="0">
                  <c:v>4740.7323194289202</c:v>
                </c:pt>
                <c:pt idx="1">
                  <c:v>7811.6385664149966</c:v>
                </c:pt>
                <c:pt idx="2">
                  <c:v>9264.1870065886214</c:v>
                </c:pt>
                <c:pt idx="3">
                  <c:v>9115.0424695674101</c:v>
                </c:pt>
                <c:pt idx="4">
                  <c:v>7436.323018510474</c:v>
                </c:pt>
                <c:pt idx="5">
                  <c:v>4347.8503404630228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AC2-440D-9924-4B5B8AB7198A}"/>
            </c:ext>
          </c:extLst>
        </c:ser>
        <c:ser>
          <c:idx val="38"/>
          <c:order val="38"/>
          <c:tx>
            <c:strRef>
              <c:f>IRS!$B$62</c:f>
              <c:strCache>
                <c:ptCount val="1"/>
                <c:pt idx="0">
                  <c:v>Simulation 39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IRS!$G$62:$M$62</c:f>
              <c:numCache>
                <c:formatCode>0</c:formatCode>
                <c:ptCount val="7"/>
                <c:pt idx="0">
                  <c:v>6836.5391648443747</c:v>
                </c:pt>
                <c:pt idx="1">
                  <c:v>9507.1578910117423</c:v>
                </c:pt>
                <c:pt idx="2">
                  <c:v>10574.250482767437</c:v>
                </c:pt>
                <c:pt idx="3">
                  <c:v>10059.275065204292</c:v>
                </c:pt>
                <c:pt idx="4">
                  <c:v>8038.4458843076318</c:v>
                </c:pt>
                <c:pt idx="5">
                  <c:v>4634.5890401274828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AC2-440D-9924-4B5B8AB7198A}"/>
            </c:ext>
          </c:extLst>
        </c:ser>
        <c:ser>
          <c:idx val="39"/>
          <c:order val="39"/>
          <c:tx>
            <c:strRef>
              <c:f>IRS!$B$63</c:f>
              <c:strCache>
                <c:ptCount val="1"/>
                <c:pt idx="0">
                  <c:v>Simulation 40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IRS!$G$63:$M$63</c:f>
              <c:numCache>
                <c:formatCode>0</c:formatCode>
                <c:ptCount val="7"/>
                <c:pt idx="0">
                  <c:v>8020.1498349429148</c:v>
                </c:pt>
                <c:pt idx="1">
                  <c:v>10510.716498429687</c:v>
                </c:pt>
                <c:pt idx="2">
                  <c:v>11389.676437760287</c:v>
                </c:pt>
                <c:pt idx="3">
                  <c:v>10678.960874063303</c:v>
                </c:pt>
                <c:pt idx="4">
                  <c:v>8455.9185799729166</c:v>
                </c:pt>
                <c:pt idx="5">
                  <c:v>4844.8855333400079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AC2-440D-9924-4B5B8AB7198A}"/>
            </c:ext>
          </c:extLst>
        </c:ser>
        <c:ser>
          <c:idx val="40"/>
          <c:order val="40"/>
          <c:tx>
            <c:strRef>
              <c:f>IRS!$B$64</c:f>
              <c:strCache>
                <c:ptCount val="1"/>
                <c:pt idx="0">
                  <c:v>Simulation 41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IRS!$G$64:$M$64</c:f>
              <c:numCache>
                <c:formatCode>0</c:formatCode>
                <c:ptCount val="7"/>
                <c:pt idx="0">
                  <c:v>8977.8630897980474</c:v>
                </c:pt>
                <c:pt idx="1">
                  <c:v>11258.738145114521</c:v>
                </c:pt>
                <c:pt idx="2">
                  <c:v>11949.592761742502</c:v>
                </c:pt>
                <c:pt idx="3">
                  <c:v>11071.322754278928</c:v>
                </c:pt>
                <c:pt idx="4">
                  <c:v>8700.1137798717955</c:v>
                </c:pt>
                <c:pt idx="5">
                  <c:v>4958.8398188326591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AC2-440D-9924-4B5B8AB7198A}"/>
            </c:ext>
          </c:extLst>
        </c:ser>
        <c:ser>
          <c:idx val="41"/>
          <c:order val="41"/>
          <c:tx>
            <c:strRef>
              <c:f>IRS!$B$65</c:f>
              <c:strCache>
                <c:ptCount val="1"/>
                <c:pt idx="0">
                  <c:v>Simulation 42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IRS!$G$65:$M$65</c:f>
              <c:numCache>
                <c:formatCode>0</c:formatCode>
                <c:ptCount val="7"/>
                <c:pt idx="0">
                  <c:v>8627.7753521423656</c:v>
                </c:pt>
                <c:pt idx="1">
                  <c:v>11002.174053293114</c:v>
                </c:pt>
                <c:pt idx="2">
                  <c:v>11771.194574651083</c:v>
                </c:pt>
                <c:pt idx="3">
                  <c:v>10956.575168003419</c:v>
                </c:pt>
                <c:pt idx="4">
                  <c:v>8635.559561447868</c:v>
                </c:pt>
                <c:pt idx="5">
                  <c:v>4932.1354611462457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AC2-440D-9924-4B5B8AB7198A}"/>
            </c:ext>
          </c:extLst>
        </c:ser>
        <c:ser>
          <c:idx val="42"/>
          <c:order val="42"/>
          <c:tx>
            <c:strRef>
              <c:f>IRS!$B$66</c:f>
              <c:strCache>
                <c:ptCount val="1"/>
                <c:pt idx="0">
                  <c:v>Simulation 43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IRS!$G$66:$M$66</c:f>
              <c:numCache>
                <c:formatCode>0</c:formatCode>
                <c:ptCount val="7"/>
                <c:pt idx="0">
                  <c:v>7859.8197319239553</c:v>
                </c:pt>
                <c:pt idx="1">
                  <c:v>10375.646682025377</c:v>
                </c:pt>
                <c:pt idx="2">
                  <c:v>11277.898275440188</c:v>
                </c:pt>
                <c:pt idx="3">
                  <c:v>10590.894768412476</c:v>
                </c:pt>
                <c:pt idx="4">
                  <c:v>8393.8796685315338</c:v>
                </c:pt>
                <c:pt idx="5">
                  <c:v>4812.1269674819205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AC2-440D-9924-4B5B8AB7198A}"/>
            </c:ext>
          </c:extLst>
        </c:ser>
        <c:ser>
          <c:idx val="43"/>
          <c:order val="43"/>
          <c:tx>
            <c:strRef>
              <c:f>IRS!$B$67</c:f>
              <c:strCache>
                <c:ptCount val="1"/>
                <c:pt idx="0">
                  <c:v>Simulation 44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IRS!$G$67:$M$67</c:f>
              <c:numCache>
                <c:formatCode>0</c:formatCode>
                <c:ptCount val="7"/>
                <c:pt idx="0">
                  <c:v>7950.1974239011815</c:v>
                </c:pt>
                <c:pt idx="1">
                  <c:v>10433.561290087982</c:v>
                </c:pt>
                <c:pt idx="2">
                  <c:v>11308.993614368064</c:v>
                </c:pt>
                <c:pt idx="3">
                  <c:v>10602.175795617932</c:v>
                </c:pt>
                <c:pt idx="4">
                  <c:v>8393.2576924238801</c:v>
                </c:pt>
                <c:pt idx="5">
                  <c:v>4807.8128160813603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AC2-440D-9924-4B5B8AB7198A}"/>
            </c:ext>
          </c:extLst>
        </c:ser>
        <c:ser>
          <c:idx val="44"/>
          <c:order val="44"/>
          <c:tx>
            <c:strRef>
              <c:f>IRS!$B$68</c:f>
              <c:strCache>
                <c:ptCount val="1"/>
                <c:pt idx="0">
                  <c:v>Simulation 45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IRS!$G$68:$M$68</c:f>
              <c:numCache>
                <c:formatCode>0</c:formatCode>
                <c:ptCount val="7"/>
                <c:pt idx="0">
                  <c:v>2148.3266381188869</c:v>
                </c:pt>
                <c:pt idx="1">
                  <c:v>5750.344711567247</c:v>
                </c:pt>
                <c:pt idx="2">
                  <c:v>7691.8263969709724</c:v>
                </c:pt>
                <c:pt idx="3">
                  <c:v>7991.5229866199188</c:v>
                </c:pt>
                <c:pt idx="4">
                  <c:v>6723.6966798544254</c:v>
                </c:pt>
                <c:pt idx="5">
                  <c:v>4009.4304867497281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AC2-440D-9924-4B5B8AB7198A}"/>
            </c:ext>
          </c:extLst>
        </c:ser>
        <c:ser>
          <c:idx val="45"/>
          <c:order val="45"/>
          <c:tx>
            <c:strRef>
              <c:f>IRS!$B$69</c:f>
              <c:strCache>
                <c:ptCount val="1"/>
                <c:pt idx="0">
                  <c:v>Simulation 46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IRS!$G$69:$M$69</c:f>
              <c:numCache>
                <c:formatCode>0</c:formatCode>
                <c:ptCount val="7"/>
                <c:pt idx="0">
                  <c:v>4499.6465029062056</c:v>
                </c:pt>
                <c:pt idx="1">
                  <c:v>7578.7490939905556</c:v>
                </c:pt>
                <c:pt idx="2">
                  <c:v>9049.1681207016081</c:v>
                </c:pt>
                <c:pt idx="3">
                  <c:v>8930.9868241706063</c:v>
                </c:pt>
                <c:pt idx="4">
                  <c:v>7298.6488733110837</c:v>
                </c:pt>
                <c:pt idx="5">
                  <c:v>4272.032745224632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AC2-440D-9924-4B5B8AB7198A}"/>
            </c:ext>
          </c:extLst>
        </c:ser>
        <c:ser>
          <c:idx val="46"/>
          <c:order val="46"/>
          <c:tx>
            <c:strRef>
              <c:f>IRS!$B$70</c:f>
              <c:strCache>
                <c:ptCount val="1"/>
                <c:pt idx="0">
                  <c:v>Simulation 47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IRS!$G$70:$M$70</c:f>
              <c:numCache>
                <c:formatCode>0</c:formatCode>
                <c:ptCount val="7"/>
                <c:pt idx="0">
                  <c:v>5672.1776825870611</c:v>
                </c:pt>
                <c:pt idx="1">
                  <c:v>8540.9870711585208</c:v>
                </c:pt>
                <c:pt idx="2">
                  <c:v>9805.3886533591794</c:v>
                </c:pt>
                <c:pt idx="3">
                  <c:v>9486.7644814673404</c:v>
                </c:pt>
                <c:pt idx="4">
                  <c:v>7660.8745467495373</c:v>
                </c:pt>
                <c:pt idx="5">
                  <c:v>4448.6972063238418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AC2-440D-9924-4B5B8AB7198A}"/>
            </c:ext>
          </c:extLst>
        </c:ser>
        <c:ser>
          <c:idx val="47"/>
          <c:order val="47"/>
          <c:tx>
            <c:strRef>
              <c:f>IRS!$B$71</c:f>
              <c:strCache>
                <c:ptCount val="1"/>
                <c:pt idx="0">
                  <c:v>Simulation 48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IRS!$G$71:$M$71</c:f>
              <c:numCache>
                <c:formatCode>0</c:formatCode>
                <c:ptCount val="7"/>
                <c:pt idx="0">
                  <c:v>6134.3460138881019</c:v>
                </c:pt>
                <c:pt idx="1">
                  <c:v>8925.7223453243987</c:v>
                </c:pt>
                <c:pt idx="2">
                  <c:v>10108.141501321563</c:v>
                </c:pt>
                <c:pt idx="3">
                  <c:v>9706.9769768936494</c:v>
                </c:pt>
                <c:pt idx="4">
                  <c:v>7801.4453158221568</c:v>
                </c:pt>
                <c:pt idx="5">
                  <c:v>4515.2144974044922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AC2-440D-9924-4B5B8AB7198A}"/>
            </c:ext>
          </c:extLst>
        </c:ser>
        <c:ser>
          <c:idx val="48"/>
          <c:order val="48"/>
          <c:tx>
            <c:strRef>
              <c:f>IRS!$B$72</c:f>
              <c:strCache>
                <c:ptCount val="1"/>
                <c:pt idx="0">
                  <c:v>Simulation 49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IRS!$G$72:$M$72</c:f>
              <c:numCache>
                <c:formatCode>0</c:formatCode>
                <c:ptCount val="7"/>
                <c:pt idx="0">
                  <c:v>5033.6947362102674</c:v>
                </c:pt>
                <c:pt idx="1">
                  <c:v>8074.7052661183088</c:v>
                </c:pt>
                <c:pt idx="2">
                  <c:v>9479.3537069312442</c:v>
                </c:pt>
                <c:pt idx="3">
                  <c:v>9273.419595933301</c:v>
                </c:pt>
                <c:pt idx="4">
                  <c:v>7536.9431340145184</c:v>
                </c:pt>
                <c:pt idx="5">
                  <c:v>4394.7375514418409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AC2-440D-9924-4B5B8AB7198A}"/>
            </c:ext>
          </c:extLst>
        </c:ser>
        <c:ser>
          <c:idx val="49"/>
          <c:order val="49"/>
          <c:tx>
            <c:strRef>
              <c:f>IRS!$B$73</c:f>
              <c:strCache>
                <c:ptCount val="1"/>
                <c:pt idx="0">
                  <c:v>Simulation 50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IRS!$G$73:$M$73</c:f>
              <c:numCache>
                <c:formatCode>0</c:formatCode>
                <c:ptCount val="7"/>
                <c:pt idx="0">
                  <c:v>1574.6862898413879</c:v>
                </c:pt>
                <c:pt idx="1">
                  <c:v>5304.6324031894274</c:v>
                </c:pt>
                <c:pt idx="2">
                  <c:v>7360.2122706526989</c:v>
                </c:pt>
                <c:pt idx="3">
                  <c:v>7760.9502783497283</c:v>
                </c:pt>
                <c:pt idx="4">
                  <c:v>6581.9330887173128</c:v>
                </c:pt>
                <c:pt idx="5">
                  <c:v>3944.5050986622368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AC2-440D-9924-4B5B8AB7198A}"/>
            </c:ext>
          </c:extLst>
        </c:ser>
        <c:ser>
          <c:idx val="50"/>
          <c:order val="50"/>
          <c:tx>
            <c:strRef>
              <c:f>IRS!$B$74</c:f>
              <c:strCache>
                <c:ptCount val="1"/>
                <c:pt idx="0">
                  <c:v>Simulation 51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IRS!$G$74:$M$74</c:f>
              <c:numCache>
                <c:formatCode>0</c:formatCode>
                <c:ptCount val="7"/>
                <c:pt idx="0">
                  <c:v>0</c:v>
                </c:pt>
                <c:pt idx="1">
                  <c:v>2856.7749530590672</c:v>
                </c:pt>
                <c:pt idx="2">
                  <c:v>5428.2223952409477</c:v>
                </c:pt>
                <c:pt idx="3">
                  <c:v>6339.8515761540166</c:v>
                </c:pt>
                <c:pt idx="4">
                  <c:v>5658.0517054001048</c:v>
                </c:pt>
                <c:pt idx="5">
                  <c:v>3496.4605405136635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AC2-440D-9924-4B5B8AB7198A}"/>
            </c:ext>
          </c:extLst>
        </c:ser>
        <c:ser>
          <c:idx val="51"/>
          <c:order val="51"/>
          <c:tx>
            <c:strRef>
              <c:f>IRS!$B$75</c:f>
              <c:strCache>
                <c:ptCount val="1"/>
                <c:pt idx="0">
                  <c:v>Simulation 52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IRS!$G$75:$M$75</c:f>
              <c:numCache>
                <c:formatCode>0</c:formatCode>
                <c:ptCount val="7"/>
                <c:pt idx="0">
                  <c:v>0</c:v>
                </c:pt>
                <c:pt idx="1">
                  <c:v>3679.839756028312</c:v>
                </c:pt>
                <c:pt idx="2">
                  <c:v>6127.5575065151716</c:v>
                </c:pt>
                <c:pt idx="3">
                  <c:v>6901.8176046672088</c:v>
                </c:pt>
                <c:pt idx="4">
                  <c:v>6061.5368885555617</c:v>
                </c:pt>
                <c:pt idx="5">
                  <c:v>3714.1684119573652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AC2-440D-9924-4B5B8AB7198A}"/>
            </c:ext>
          </c:extLst>
        </c:ser>
        <c:ser>
          <c:idx val="52"/>
          <c:order val="52"/>
          <c:tx>
            <c:strRef>
              <c:f>IRS!$B$76</c:f>
              <c:strCache>
                <c:ptCount val="1"/>
                <c:pt idx="0">
                  <c:v>Simulation 53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IRS!$G$76:$M$76</c:f>
              <c:numCache>
                <c:formatCode>0</c:formatCode>
                <c:ptCount val="7"/>
                <c:pt idx="0">
                  <c:v>988.7318339663484</c:v>
                </c:pt>
                <c:pt idx="1">
                  <c:v>4799.8070021224521</c:v>
                </c:pt>
                <c:pt idx="2">
                  <c:v>6969.397393274071</c:v>
                </c:pt>
                <c:pt idx="3">
                  <c:v>7495.824760629127</c:v>
                </c:pt>
                <c:pt idx="4">
                  <c:v>6434.7743055639385</c:v>
                </c:pt>
                <c:pt idx="5">
                  <c:v>3890.4455726406072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AC2-440D-9924-4B5B8AB7198A}"/>
            </c:ext>
          </c:extLst>
        </c:ser>
        <c:ser>
          <c:idx val="53"/>
          <c:order val="53"/>
          <c:tx>
            <c:strRef>
              <c:f>IRS!$B$77</c:f>
              <c:strCache>
                <c:ptCount val="1"/>
                <c:pt idx="0">
                  <c:v>Simulation 54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IRS!$G$77:$M$77</c:f>
              <c:numCache>
                <c:formatCode>0</c:formatCode>
                <c:ptCount val="7"/>
                <c:pt idx="0">
                  <c:v>1914.8267957927633</c:v>
                </c:pt>
                <c:pt idx="1">
                  <c:v>5564.8169476772082</c:v>
                </c:pt>
                <c:pt idx="2">
                  <c:v>7573.2304746997252</c:v>
                </c:pt>
                <c:pt idx="3">
                  <c:v>7940.6363265894679</c:v>
                </c:pt>
                <c:pt idx="4">
                  <c:v>6724.8263077652773</c:v>
                </c:pt>
                <c:pt idx="5">
                  <c:v>4031.7552584331706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AC2-440D-9924-4B5B8AB7198A}"/>
            </c:ext>
          </c:extLst>
        </c:ser>
        <c:ser>
          <c:idx val="54"/>
          <c:order val="54"/>
          <c:tx>
            <c:strRef>
              <c:f>IRS!$B$78</c:f>
              <c:strCache>
                <c:ptCount val="1"/>
                <c:pt idx="0">
                  <c:v>Simulation 55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IRS!$G$78:$M$78</c:f>
              <c:numCache>
                <c:formatCode>0</c:formatCode>
                <c:ptCount val="7"/>
                <c:pt idx="0">
                  <c:v>1737.0593071485896</c:v>
                </c:pt>
                <c:pt idx="1">
                  <c:v>5509.4229083540995</c:v>
                </c:pt>
                <c:pt idx="2">
                  <c:v>7593.9406311408566</c:v>
                </c:pt>
                <c:pt idx="3">
                  <c:v>7998.1396285353221</c:v>
                </c:pt>
                <c:pt idx="4">
                  <c:v>6786.7699407841319</c:v>
                </c:pt>
                <c:pt idx="5">
                  <c:v>4072.4522139261117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AC2-440D-9924-4B5B8AB7198A}"/>
            </c:ext>
          </c:extLst>
        </c:ser>
        <c:ser>
          <c:idx val="55"/>
          <c:order val="55"/>
          <c:tx>
            <c:strRef>
              <c:f>IRS!$B$79</c:f>
              <c:strCache>
                <c:ptCount val="1"/>
                <c:pt idx="0">
                  <c:v>Simulation 56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IRS!$G$79:$M$79</c:f>
              <c:numCache>
                <c:formatCode>0</c:formatCode>
                <c:ptCount val="7"/>
                <c:pt idx="0">
                  <c:v>0</c:v>
                </c:pt>
                <c:pt idx="1">
                  <c:v>3489.1683148293646</c:v>
                </c:pt>
                <c:pt idx="2">
                  <c:v>6054.6107259639548</c:v>
                </c:pt>
                <c:pt idx="3">
                  <c:v>6903.3395397256691</c:v>
                </c:pt>
                <c:pt idx="4">
                  <c:v>6097.6119437700381</c:v>
                </c:pt>
                <c:pt idx="5">
                  <c:v>3748.4360226596737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AC2-440D-9924-4B5B8AB7198A}"/>
            </c:ext>
          </c:extLst>
        </c:ser>
        <c:ser>
          <c:idx val="56"/>
          <c:order val="56"/>
          <c:tx>
            <c:strRef>
              <c:f>IRS!$B$80</c:f>
              <c:strCache>
                <c:ptCount val="1"/>
                <c:pt idx="0">
                  <c:v>Simulation 57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IRS!$G$80:$M$80</c:f>
              <c:numCache>
                <c:formatCode>0</c:formatCode>
                <c:ptCount val="7"/>
                <c:pt idx="0">
                  <c:v>0</c:v>
                </c:pt>
                <c:pt idx="1">
                  <c:v>2730.9625420287252</c:v>
                </c:pt>
                <c:pt idx="2">
                  <c:v>5457.1776693505672</c:v>
                </c:pt>
                <c:pt idx="3">
                  <c:v>6466.0824844927565</c:v>
                </c:pt>
                <c:pt idx="4">
                  <c:v>5815.6929935660992</c:v>
                </c:pt>
                <c:pt idx="5">
                  <c:v>3613.2850427845133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AC2-440D-9924-4B5B8AB7198A}"/>
            </c:ext>
          </c:extLst>
        </c:ser>
        <c:ser>
          <c:idx val="57"/>
          <c:order val="57"/>
          <c:tx>
            <c:strRef>
              <c:f>IRS!$B$81</c:f>
              <c:strCache>
                <c:ptCount val="1"/>
                <c:pt idx="0">
                  <c:v>Simulation 58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IRS!$G$81:$M$81</c:f>
              <c:numCache>
                <c:formatCode>0</c:formatCode>
                <c:ptCount val="7"/>
                <c:pt idx="0">
                  <c:v>0</c:v>
                </c:pt>
                <c:pt idx="1">
                  <c:v>2925.0881608994478</c:v>
                </c:pt>
                <c:pt idx="2">
                  <c:v>5565.9543091587002</c:v>
                </c:pt>
                <c:pt idx="3">
                  <c:v>6515.5603031045812</c:v>
                </c:pt>
                <c:pt idx="4">
                  <c:v>5829.3231370210506</c:v>
                </c:pt>
                <c:pt idx="5">
                  <c:v>3611.5041502300483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AC2-440D-9924-4B5B8AB7198A}"/>
            </c:ext>
          </c:extLst>
        </c:ser>
        <c:ser>
          <c:idx val="58"/>
          <c:order val="58"/>
          <c:tx>
            <c:strRef>
              <c:f>IRS!$B$82</c:f>
              <c:strCache>
                <c:ptCount val="1"/>
                <c:pt idx="0">
                  <c:v>Simulation 59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IRS!$G$82:$M$82</c:f>
              <c:numCache>
                <c:formatCode>0</c:formatCode>
                <c:ptCount val="7"/>
                <c:pt idx="0">
                  <c:v>331.00823523986492</c:v>
                </c:pt>
                <c:pt idx="1">
                  <c:v>4328.8754373091924</c:v>
                </c:pt>
                <c:pt idx="2">
                  <c:v>6655.1253286456276</c:v>
                </c:pt>
                <c:pt idx="3">
                  <c:v>7307.0900786624097</c:v>
                </c:pt>
                <c:pt idx="4">
                  <c:v>6340.2031071374631</c:v>
                </c:pt>
                <c:pt idx="5">
                  <c:v>3858.6088022984054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AC2-440D-9924-4B5B8AB7198A}"/>
            </c:ext>
          </c:extLst>
        </c:ser>
        <c:ser>
          <c:idx val="59"/>
          <c:order val="59"/>
          <c:tx>
            <c:strRef>
              <c:f>IRS!$B$83</c:f>
              <c:strCache>
                <c:ptCount val="1"/>
                <c:pt idx="0">
                  <c:v>Simulation 60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IRS!$G$83:$M$83</c:f>
              <c:numCache>
                <c:formatCode>0</c:formatCode>
                <c:ptCount val="7"/>
                <c:pt idx="0">
                  <c:v>851.91001103238386</c:v>
                </c:pt>
                <c:pt idx="1">
                  <c:v>4748.0842142932579</c:v>
                </c:pt>
                <c:pt idx="2">
                  <c:v>6978.0647064272389</c:v>
                </c:pt>
                <c:pt idx="3">
                  <c:v>7539.7008797858989</c:v>
                </c:pt>
                <c:pt idx="4">
                  <c:v>6488.8162472829063</c:v>
                </c:pt>
                <c:pt idx="5">
                  <c:v>3929.6981317682753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AC2-440D-9924-4B5B8AB7198A}"/>
            </c:ext>
          </c:extLst>
        </c:ser>
        <c:ser>
          <c:idx val="60"/>
          <c:order val="60"/>
          <c:tx>
            <c:strRef>
              <c:f>IRS!$B$84</c:f>
              <c:strCache>
                <c:ptCount val="1"/>
                <c:pt idx="0">
                  <c:v>Simulation 61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IRS!$G$84:$M$84</c:f>
              <c:numCache>
                <c:formatCode>0</c:formatCode>
                <c:ptCount val="7"/>
                <c:pt idx="0">
                  <c:v>481.63443107533067</c:v>
                </c:pt>
                <c:pt idx="1">
                  <c:v>4391.9674421427599</c:v>
                </c:pt>
                <c:pt idx="2">
                  <c:v>6662.757207088398</c:v>
                </c:pt>
                <c:pt idx="3">
                  <c:v>7285.9875542499231</c:v>
                </c:pt>
                <c:pt idx="4">
                  <c:v>6311.7593073682219</c:v>
                </c:pt>
                <c:pt idx="5">
                  <c:v>3838.8793234798613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6AC2-440D-9924-4B5B8AB7198A}"/>
            </c:ext>
          </c:extLst>
        </c:ser>
        <c:ser>
          <c:idx val="61"/>
          <c:order val="61"/>
          <c:tx>
            <c:strRef>
              <c:f>IRS!$B$85</c:f>
              <c:strCache>
                <c:ptCount val="1"/>
                <c:pt idx="0">
                  <c:v>Simulation 62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IRS!$G$85:$M$85</c:f>
              <c:numCache>
                <c:formatCode>0</c:formatCode>
                <c:ptCount val="7"/>
                <c:pt idx="0">
                  <c:v>1531.2561018130241</c:v>
                </c:pt>
                <c:pt idx="1">
                  <c:v>5274.5346453271704</c:v>
                </c:pt>
                <c:pt idx="2">
                  <c:v>7373.4102684936934</c:v>
                </c:pt>
                <c:pt idx="3">
                  <c:v>7820.9904622466102</c:v>
                </c:pt>
                <c:pt idx="4">
                  <c:v>6668.7664343816832</c:v>
                </c:pt>
                <c:pt idx="5">
                  <c:v>4017.0290424963887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6AC2-440D-9924-4B5B8AB7198A}"/>
            </c:ext>
          </c:extLst>
        </c:ser>
        <c:ser>
          <c:idx val="62"/>
          <c:order val="62"/>
          <c:tx>
            <c:strRef>
              <c:f>IRS!$B$86</c:f>
              <c:strCache>
                <c:ptCount val="1"/>
                <c:pt idx="0">
                  <c:v>Simulation 63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IRS!$G$86:$M$86</c:f>
              <c:numCache>
                <c:formatCode>0</c:formatCode>
                <c:ptCount val="7"/>
                <c:pt idx="0">
                  <c:v>0</c:v>
                </c:pt>
                <c:pt idx="1">
                  <c:v>3153.2758694916647</c:v>
                </c:pt>
                <c:pt idx="2">
                  <c:v>5713.2240751298032</c:v>
                </c:pt>
                <c:pt idx="3">
                  <c:v>6609.4468268630844</c:v>
                </c:pt>
                <c:pt idx="4">
                  <c:v>5887.0243915781302</c:v>
                </c:pt>
                <c:pt idx="5">
                  <c:v>3640.6479285170963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6AC2-440D-9924-4B5B8AB7198A}"/>
            </c:ext>
          </c:extLst>
        </c:ser>
        <c:ser>
          <c:idx val="63"/>
          <c:order val="63"/>
          <c:tx>
            <c:strRef>
              <c:f>IRS!$B$87</c:f>
              <c:strCache>
                <c:ptCount val="1"/>
                <c:pt idx="0">
                  <c:v>Simulation 64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IRS!$G$87:$M$87</c:f>
              <c:numCache>
                <c:formatCode>0</c:formatCode>
                <c:ptCount val="7"/>
                <c:pt idx="0">
                  <c:v>0</c:v>
                </c:pt>
                <c:pt idx="1">
                  <c:v>3004.8705745301172</c:v>
                </c:pt>
                <c:pt idx="2">
                  <c:v>5632.8232419793458</c:v>
                </c:pt>
                <c:pt idx="3">
                  <c:v>6575.9909531654666</c:v>
                </c:pt>
                <c:pt idx="4">
                  <c:v>5881.2668517897455</c:v>
                </c:pt>
                <c:pt idx="5">
                  <c:v>3645.3260204684266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6AC2-440D-9924-4B5B8AB7198A}"/>
            </c:ext>
          </c:extLst>
        </c:ser>
        <c:ser>
          <c:idx val="64"/>
          <c:order val="64"/>
          <c:tx>
            <c:strRef>
              <c:f>IRS!$B$88</c:f>
              <c:strCache>
                <c:ptCount val="1"/>
                <c:pt idx="0">
                  <c:v>Simulation 65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IRS!$G$88:$M$88</c:f>
              <c:numCache>
                <c:formatCode>0</c:formatCode>
                <c:ptCount val="7"/>
                <c:pt idx="0">
                  <c:v>0</c:v>
                </c:pt>
                <c:pt idx="1">
                  <c:v>2774.1074022118792</c:v>
                </c:pt>
                <c:pt idx="2">
                  <c:v>5485.7630209877952</c:v>
                </c:pt>
                <c:pt idx="3">
                  <c:v>6491.1040164394299</c:v>
                </c:pt>
                <c:pt idx="4">
                  <c:v>5839.8113281866154</c:v>
                </c:pt>
                <c:pt idx="5">
                  <c:v>3631.2848136030871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6AC2-440D-9924-4B5B8AB7198A}"/>
            </c:ext>
          </c:extLst>
        </c:ser>
        <c:ser>
          <c:idx val="65"/>
          <c:order val="65"/>
          <c:tx>
            <c:strRef>
              <c:f>IRS!$B$89</c:f>
              <c:strCache>
                <c:ptCount val="1"/>
                <c:pt idx="0">
                  <c:v>Simulation 66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IRS!$G$89:$M$89</c:f>
              <c:numCache>
                <c:formatCode>0</c:formatCode>
                <c:ptCount val="7"/>
                <c:pt idx="0">
                  <c:v>0</c:v>
                </c:pt>
                <c:pt idx="1">
                  <c:v>3451.134539910438</c:v>
                </c:pt>
                <c:pt idx="2">
                  <c:v>6052.9572499761689</c:v>
                </c:pt>
                <c:pt idx="3">
                  <c:v>6931.0221320676465</c:v>
                </c:pt>
                <c:pt idx="4">
                  <c:v>6139.7991401736163</c:v>
                </c:pt>
                <c:pt idx="5">
                  <c:v>3783.2306543443342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6AC2-440D-9924-4B5B8AB7198A}"/>
            </c:ext>
          </c:extLst>
        </c:ser>
        <c:ser>
          <c:idx val="66"/>
          <c:order val="66"/>
          <c:tx>
            <c:strRef>
              <c:f>IRS!$B$90</c:f>
              <c:strCache>
                <c:ptCount val="1"/>
                <c:pt idx="0">
                  <c:v>Simulation 67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IRS!$G$90:$M$90</c:f>
              <c:numCache>
                <c:formatCode>0</c:formatCode>
                <c:ptCount val="7"/>
                <c:pt idx="0">
                  <c:v>0</c:v>
                </c:pt>
                <c:pt idx="1">
                  <c:v>1055.9776074390511</c:v>
                </c:pt>
                <c:pt idx="2">
                  <c:v>4179.4035451184473</c:v>
                </c:pt>
                <c:pt idx="3">
                  <c:v>5561.0327278984769</c:v>
                </c:pt>
                <c:pt idx="4">
                  <c:v>5251.9612720265868</c:v>
                </c:pt>
                <c:pt idx="5">
                  <c:v>3352.9705844649261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6AC2-440D-9924-4B5B8AB7198A}"/>
            </c:ext>
          </c:extLst>
        </c:ser>
        <c:ser>
          <c:idx val="67"/>
          <c:order val="67"/>
          <c:tx>
            <c:strRef>
              <c:f>IRS!$B$91</c:f>
              <c:strCache>
                <c:ptCount val="1"/>
                <c:pt idx="0">
                  <c:v>Simulation 68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IRS!$G$91:$M$91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3246.5461963919452</c:v>
                </c:pt>
                <c:pt idx="3">
                  <c:v>4905.5655340070734</c:v>
                </c:pt>
                <c:pt idx="4">
                  <c:v>4844.1862634133231</c:v>
                </c:pt>
                <c:pt idx="5">
                  <c:v>3163.4346340081556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6AC2-440D-9924-4B5B8AB7198A}"/>
            </c:ext>
          </c:extLst>
        </c:ser>
        <c:ser>
          <c:idx val="68"/>
          <c:order val="68"/>
          <c:tx>
            <c:strRef>
              <c:f>IRS!$B$92</c:f>
              <c:strCache>
                <c:ptCount val="1"/>
                <c:pt idx="0">
                  <c:v>Simulation 69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IRS!$G$92:$M$92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3216.8812639185858</c:v>
                </c:pt>
                <c:pt idx="3">
                  <c:v>4881.7286029419502</c:v>
                </c:pt>
                <c:pt idx="4">
                  <c:v>4827.8267073274237</c:v>
                </c:pt>
                <c:pt idx="5">
                  <c:v>3155.3018346005742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6AC2-440D-9924-4B5B8AB7198A}"/>
            </c:ext>
          </c:extLst>
        </c:ser>
        <c:ser>
          <c:idx val="69"/>
          <c:order val="69"/>
          <c:tx>
            <c:strRef>
              <c:f>IRS!$B$93</c:f>
              <c:strCache>
                <c:ptCount val="1"/>
                <c:pt idx="0">
                  <c:v>Simulation 70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IRS!$G$93:$M$93</c:f>
              <c:numCache>
                <c:formatCode>0</c:formatCode>
                <c:ptCount val="7"/>
                <c:pt idx="0">
                  <c:v>0</c:v>
                </c:pt>
                <c:pt idx="1">
                  <c:v>1932.7199891166802</c:v>
                </c:pt>
                <c:pt idx="2">
                  <c:v>4885.1431234858246</c:v>
                </c:pt>
                <c:pt idx="3">
                  <c:v>6089.1598710832113</c:v>
                </c:pt>
                <c:pt idx="4">
                  <c:v>5600.6987522894669</c:v>
                </c:pt>
                <c:pt idx="5">
                  <c:v>3524.5666292600977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6AC2-440D-9924-4B5B8AB7198A}"/>
            </c:ext>
          </c:extLst>
        </c:ser>
        <c:ser>
          <c:idx val="70"/>
          <c:order val="70"/>
          <c:tx>
            <c:strRef>
              <c:f>IRS!$B$94</c:f>
              <c:strCache>
                <c:ptCount val="1"/>
                <c:pt idx="0">
                  <c:v>Simulation 71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IRS!$G$94:$M$94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3034.0941909588619</c:v>
                </c:pt>
                <c:pt idx="3">
                  <c:v>4788.8112581755086</c:v>
                </c:pt>
                <c:pt idx="4">
                  <c:v>4791.6635972616778</c:v>
                </c:pt>
                <c:pt idx="5">
                  <c:v>3148.3483011806529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6AC2-440D-9924-4B5B8AB7198A}"/>
            </c:ext>
          </c:extLst>
        </c:ser>
        <c:ser>
          <c:idx val="71"/>
          <c:order val="71"/>
          <c:tx>
            <c:strRef>
              <c:f>IRS!$B$95</c:f>
              <c:strCache>
                <c:ptCount val="1"/>
                <c:pt idx="0">
                  <c:v>Simulation 72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IRS!$G$95:$M$95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2465.4613107649407</c:v>
                </c:pt>
                <c:pt idx="3">
                  <c:v>4336.0589086792343</c:v>
                </c:pt>
                <c:pt idx="4">
                  <c:v>4478.3054704526494</c:v>
                </c:pt>
                <c:pt idx="5">
                  <c:v>2988.6867399475086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6AC2-440D-9924-4B5B8AB7198A}"/>
            </c:ext>
          </c:extLst>
        </c:ser>
        <c:ser>
          <c:idx val="72"/>
          <c:order val="72"/>
          <c:tx>
            <c:strRef>
              <c:f>IRS!$B$96</c:f>
              <c:strCache>
                <c:ptCount val="1"/>
                <c:pt idx="0">
                  <c:v>Simulation 73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IRS!$G$96:$M$96</c:f>
              <c:numCache>
                <c:formatCode>0</c:formatCode>
                <c:ptCount val="7"/>
                <c:pt idx="0">
                  <c:v>0</c:v>
                </c:pt>
                <c:pt idx="1">
                  <c:v>634.3771516165616</c:v>
                </c:pt>
                <c:pt idx="2">
                  <c:v>3916.3931515510658</c:v>
                </c:pt>
                <c:pt idx="3">
                  <c:v>5414.5660805686111</c:v>
                </c:pt>
                <c:pt idx="4">
                  <c:v>5185.1338275025328</c:v>
                </c:pt>
                <c:pt idx="5">
                  <c:v>3333.5084458347214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6AC2-440D-9924-4B5B8AB7198A}"/>
            </c:ext>
          </c:extLst>
        </c:ser>
        <c:ser>
          <c:idx val="73"/>
          <c:order val="73"/>
          <c:tx>
            <c:strRef>
              <c:f>IRS!$B$97</c:f>
              <c:strCache>
                <c:ptCount val="1"/>
                <c:pt idx="0">
                  <c:v>Simulation 74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IRS!$G$97:$M$97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1124.2207394735583</c:v>
                </c:pt>
                <c:pt idx="3">
                  <c:v>3386.8818010031337</c:v>
                </c:pt>
                <c:pt idx="4">
                  <c:v>3882.4523468663051</c:v>
                </c:pt>
                <c:pt idx="5">
                  <c:v>2708.7014621832109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6AC2-440D-9924-4B5B8AB7198A}"/>
            </c:ext>
          </c:extLst>
        </c:ser>
        <c:ser>
          <c:idx val="74"/>
          <c:order val="74"/>
          <c:tx>
            <c:strRef>
              <c:f>IRS!$B$98</c:f>
              <c:strCache>
                <c:ptCount val="1"/>
                <c:pt idx="0">
                  <c:v>Simulation 75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IRS!$G$98:$M$98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1199.2959105789021</c:v>
                </c:pt>
                <c:pt idx="3">
                  <c:v>3451.1975959310184</c:v>
                </c:pt>
                <c:pt idx="4">
                  <c:v>3928.4281812017134</c:v>
                </c:pt>
                <c:pt idx="5">
                  <c:v>2732.2631408898669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6AC2-440D-9924-4B5B8AB7198A}"/>
            </c:ext>
          </c:extLst>
        </c:ser>
        <c:ser>
          <c:idx val="75"/>
          <c:order val="75"/>
          <c:tx>
            <c:strRef>
              <c:f>IRS!$B$99</c:f>
              <c:strCache>
                <c:ptCount val="1"/>
                <c:pt idx="0">
                  <c:v>Simulation 76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IRS!$G$99:$M$99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1679.3116739916745</c:v>
                </c:pt>
                <c:pt idx="3">
                  <c:v>3828.2809990210962</c:v>
                </c:pt>
                <c:pt idx="4">
                  <c:v>4189.2238341640477</c:v>
                </c:pt>
                <c:pt idx="5">
                  <c:v>2866.3644178138325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6AC2-440D-9924-4B5B8AB7198A}"/>
            </c:ext>
          </c:extLst>
        </c:ser>
        <c:ser>
          <c:idx val="76"/>
          <c:order val="76"/>
          <c:tx>
            <c:strRef>
              <c:f>IRS!$B$100</c:f>
              <c:strCache>
                <c:ptCount val="1"/>
                <c:pt idx="0">
                  <c:v>Simulation 77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IRS!$G$100:$M$100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2458.9875378953857</c:v>
                </c:pt>
                <c:pt idx="3">
                  <c:v>4394.1791294831764</c:v>
                </c:pt>
                <c:pt idx="4">
                  <c:v>4551.6583912415772</c:v>
                </c:pt>
                <c:pt idx="5">
                  <c:v>3039.2651142674272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6AC2-440D-9924-4B5B8AB7198A}"/>
            </c:ext>
          </c:extLst>
        </c:ser>
        <c:ser>
          <c:idx val="77"/>
          <c:order val="77"/>
          <c:tx>
            <c:strRef>
              <c:f>IRS!$B$101</c:f>
              <c:strCache>
                <c:ptCount val="1"/>
                <c:pt idx="0">
                  <c:v>Simulation 78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IRS!$G$101:$M$101</c:f>
              <c:numCache>
                <c:formatCode>0</c:formatCode>
                <c:ptCount val="7"/>
                <c:pt idx="0">
                  <c:v>0</c:v>
                </c:pt>
                <c:pt idx="1">
                  <c:v>195.99639829539865</c:v>
                </c:pt>
                <c:pt idx="2">
                  <c:v>3614.2669444933772</c:v>
                </c:pt>
                <c:pt idx="3">
                  <c:v>5219.4436586867578</c:v>
                </c:pt>
                <c:pt idx="4">
                  <c:v>5073.1550897406596</c:v>
                </c:pt>
                <c:pt idx="5">
                  <c:v>3285.304877581872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6AC2-440D-9924-4B5B8AB7198A}"/>
            </c:ext>
          </c:extLst>
        </c:ser>
        <c:ser>
          <c:idx val="78"/>
          <c:order val="78"/>
          <c:tx>
            <c:strRef>
              <c:f>IRS!$B$102</c:f>
              <c:strCache>
                <c:ptCount val="1"/>
                <c:pt idx="0">
                  <c:v>Simulation 79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IRS!$G$102:$M$102</c:f>
              <c:numCache>
                <c:formatCode>0</c:formatCode>
                <c:ptCount val="7"/>
                <c:pt idx="0">
                  <c:v>0</c:v>
                </c:pt>
                <c:pt idx="1">
                  <c:v>241.37227718672011</c:v>
                </c:pt>
                <c:pt idx="2">
                  <c:v>3693.0793802293956</c:v>
                </c:pt>
                <c:pt idx="3">
                  <c:v>5305.3755199681136</c:v>
                </c:pt>
                <c:pt idx="4">
                  <c:v>5145.0983740904212</c:v>
                </c:pt>
                <c:pt idx="5">
                  <c:v>3327.0846395120593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6AC2-440D-9924-4B5B8AB7198A}"/>
            </c:ext>
          </c:extLst>
        </c:ser>
        <c:ser>
          <c:idx val="79"/>
          <c:order val="79"/>
          <c:tx>
            <c:strRef>
              <c:f>IRS!$B$103</c:f>
              <c:strCache>
                <c:ptCount val="1"/>
                <c:pt idx="0">
                  <c:v>Simulation 80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IRS!$G$103:$M$103</c:f>
              <c:numCache>
                <c:formatCode>0</c:formatCode>
                <c:ptCount val="7"/>
                <c:pt idx="0">
                  <c:v>0</c:v>
                </c:pt>
                <c:pt idx="1">
                  <c:v>538.2822033238208</c:v>
                </c:pt>
                <c:pt idx="2">
                  <c:v>3925.8766992288156</c:v>
                </c:pt>
                <c:pt idx="3">
                  <c:v>5471.6118278698868</c:v>
                </c:pt>
                <c:pt idx="4">
                  <c:v>5247.6871738744248</c:v>
                </c:pt>
                <c:pt idx="5">
                  <c:v>3373.211851582239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6AC2-440D-9924-4B5B8AB7198A}"/>
            </c:ext>
          </c:extLst>
        </c:ser>
        <c:ser>
          <c:idx val="80"/>
          <c:order val="80"/>
          <c:tx>
            <c:strRef>
              <c:f>IRS!$B$104</c:f>
              <c:strCache>
                <c:ptCount val="1"/>
                <c:pt idx="0">
                  <c:v>Simulation 81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IRS!$G$104:$M$104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2690.1855474174195</c:v>
                </c:pt>
                <c:pt idx="3">
                  <c:v>4568.6591609438983</c:v>
                </c:pt>
                <c:pt idx="4">
                  <c:v>4663.3852512184085</c:v>
                </c:pt>
                <c:pt idx="5">
                  <c:v>3090.6776562930954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6AC2-440D-9924-4B5B8AB7198A}"/>
            </c:ext>
          </c:extLst>
        </c:ser>
        <c:ser>
          <c:idx val="81"/>
          <c:order val="81"/>
          <c:tx>
            <c:strRef>
              <c:f>IRS!$B$105</c:f>
              <c:strCache>
                <c:ptCount val="1"/>
                <c:pt idx="0">
                  <c:v>Simulation 82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IRS!$G$105:$M$105</c:f>
              <c:numCache>
                <c:formatCode>0</c:formatCode>
                <c:ptCount val="7"/>
                <c:pt idx="0">
                  <c:v>0</c:v>
                </c:pt>
                <c:pt idx="1">
                  <c:v>2575.4816895449567</c:v>
                </c:pt>
                <c:pt idx="2">
                  <c:v>5519.9004072715215</c:v>
                </c:pt>
                <c:pt idx="3">
                  <c:v>6636.6740892155394</c:v>
                </c:pt>
                <c:pt idx="4">
                  <c:v>6002.0287763254855</c:v>
                </c:pt>
                <c:pt idx="5">
                  <c:v>3738.350041461581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6AC2-440D-9924-4B5B8AB7198A}"/>
            </c:ext>
          </c:extLst>
        </c:ser>
        <c:ser>
          <c:idx val="82"/>
          <c:order val="82"/>
          <c:tx>
            <c:strRef>
              <c:f>IRS!$B$106</c:f>
              <c:strCache>
                <c:ptCount val="1"/>
                <c:pt idx="0">
                  <c:v>Simulation 83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IRS!$G$106:$M$106</c:f>
              <c:numCache>
                <c:formatCode>0</c:formatCode>
                <c:ptCount val="7"/>
                <c:pt idx="0">
                  <c:v>0</c:v>
                </c:pt>
                <c:pt idx="1">
                  <c:v>1296.5131445301367</c:v>
                </c:pt>
                <c:pt idx="2">
                  <c:v>4526.806177624836</c:v>
                </c:pt>
                <c:pt idx="3">
                  <c:v>5916.6066697135229</c:v>
                </c:pt>
                <c:pt idx="4">
                  <c:v>5539.7710928773022</c:v>
                </c:pt>
                <c:pt idx="5">
                  <c:v>3516.6433865596973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6AC2-440D-9924-4B5B8AB7198A}"/>
            </c:ext>
          </c:extLst>
        </c:ser>
        <c:ser>
          <c:idx val="83"/>
          <c:order val="83"/>
          <c:tx>
            <c:strRef>
              <c:f>IRS!$B$107</c:f>
              <c:strCache>
                <c:ptCount val="1"/>
                <c:pt idx="0">
                  <c:v>Simulation 84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IRS!$G$107:$M$107</c:f>
              <c:numCache>
                <c:formatCode>0</c:formatCode>
                <c:ptCount val="7"/>
                <c:pt idx="0">
                  <c:v>0</c:v>
                </c:pt>
                <c:pt idx="1">
                  <c:v>1696.2702735478579</c:v>
                </c:pt>
                <c:pt idx="2">
                  <c:v>4833.0260781956968</c:v>
                </c:pt>
                <c:pt idx="3">
                  <c:v>6137.4502226746754</c:v>
                </c:pt>
                <c:pt idx="4">
                  <c:v>5681.980162853426</c:v>
                </c:pt>
                <c:pt idx="5">
                  <c:v>3585.6235511427949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6AC2-440D-9924-4B5B8AB7198A}"/>
            </c:ext>
          </c:extLst>
        </c:ser>
        <c:ser>
          <c:idx val="84"/>
          <c:order val="84"/>
          <c:tx>
            <c:strRef>
              <c:f>IRS!$B$108</c:f>
              <c:strCache>
                <c:ptCount val="1"/>
                <c:pt idx="0">
                  <c:v>Simulation 85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IRS!$G$108:$M$108</c:f>
              <c:numCache>
                <c:formatCode>0</c:formatCode>
                <c:ptCount val="7"/>
                <c:pt idx="0">
                  <c:v>0</c:v>
                </c:pt>
                <c:pt idx="1">
                  <c:v>3327.5498477490305</c:v>
                </c:pt>
                <c:pt idx="2">
                  <c:v>6081.4633095493664</c:v>
                </c:pt>
                <c:pt idx="3">
                  <c:v>7031.4697120126839</c:v>
                </c:pt>
                <c:pt idx="4">
                  <c:v>6250.0948987742177</c:v>
                </c:pt>
                <c:pt idx="5">
                  <c:v>3855.9800534246433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6AC2-440D-9924-4B5B8AB7198A}"/>
            </c:ext>
          </c:extLst>
        </c:ser>
        <c:ser>
          <c:idx val="85"/>
          <c:order val="85"/>
          <c:tx>
            <c:strRef>
              <c:f>IRS!$B$109</c:f>
              <c:strCache>
                <c:ptCount val="1"/>
                <c:pt idx="0">
                  <c:v>Simulation 86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IRS!$G$109:$M$109</c:f>
              <c:numCache>
                <c:formatCode>0</c:formatCode>
                <c:ptCount val="7"/>
                <c:pt idx="0">
                  <c:v>0</c:v>
                </c:pt>
                <c:pt idx="1">
                  <c:v>3046.7281457181466</c:v>
                </c:pt>
                <c:pt idx="2">
                  <c:v>5858.5937635473656</c:v>
                </c:pt>
                <c:pt idx="3">
                  <c:v>6864.1750221847069</c:v>
                </c:pt>
                <c:pt idx="4">
                  <c:v>6137.7492677284899</c:v>
                </c:pt>
                <c:pt idx="5">
                  <c:v>3799.1626054967046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6AC2-440D-9924-4B5B8AB7198A}"/>
            </c:ext>
          </c:extLst>
        </c:ser>
        <c:ser>
          <c:idx val="86"/>
          <c:order val="86"/>
          <c:tx>
            <c:strRef>
              <c:f>IRS!$B$110</c:f>
              <c:strCache>
                <c:ptCount val="1"/>
                <c:pt idx="0">
                  <c:v>Simulation 87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IRS!$G$110:$M$110</c:f>
              <c:numCache>
                <c:formatCode>0</c:formatCode>
                <c:ptCount val="7"/>
                <c:pt idx="0">
                  <c:v>0</c:v>
                </c:pt>
                <c:pt idx="1">
                  <c:v>4014.8748964090241</c:v>
                </c:pt>
                <c:pt idx="2">
                  <c:v>6616.2422900746124</c:v>
                </c:pt>
                <c:pt idx="3">
                  <c:v>7417.3166562426777</c:v>
                </c:pt>
                <c:pt idx="4">
                  <c:v>6495.070842927571</c:v>
                </c:pt>
                <c:pt idx="5">
                  <c:v>3971.541788779527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6AC2-440D-9924-4B5B8AB7198A}"/>
            </c:ext>
          </c:extLst>
        </c:ser>
        <c:ser>
          <c:idx val="87"/>
          <c:order val="87"/>
          <c:tx>
            <c:strRef>
              <c:f>IRS!$B$111</c:f>
              <c:strCache>
                <c:ptCount val="1"/>
                <c:pt idx="0">
                  <c:v>Simulation 88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IRS!$G$111:$M$111</c:f>
              <c:numCache>
                <c:formatCode>0</c:formatCode>
                <c:ptCount val="7"/>
                <c:pt idx="0">
                  <c:v>732.83097950987622</c:v>
                </c:pt>
                <c:pt idx="1">
                  <c:v>4861.9423959815576</c:v>
                </c:pt>
                <c:pt idx="2">
                  <c:v>7218.6974260571442</c:v>
                </c:pt>
                <c:pt idx="3">
                  <c:v>7818.2951963881824</c:v>
                </c:pt>
                <c:pt idx="4">
                  <c:v>6732.1899312742989</c:v>
                </c:pt>
                <c:pt idx="5">
                  <c:v>4076.8157699808876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6AC2-440D-9924-4B5B8AB7198A}"/>
            </c:ext>
          </c:extLst>
        </c:ser>
        <c:ser>
          <c:idx val="88"/>
          <c:order val="88"/>
          <c:tx>
            <c:strRef>
              <c:f>IRS!$B$112</c:f>
              <c:strCache>
                <c:ptCount val="1"/>
                <c:pt idx="0">
                  <c:v>Simulation 89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IRS!$G$112:$M$112</c:f>
              <c:numCache>
                <c:formatCode>0</c:formatCode>
                <c:ptCount val="7"/>
                <c:pt idx="0">
                  <c:v>4892.9600283858717</c:v>
                </c:pt>
                <c:pt idx="1">
                  <c:v>8217.2470910953562</c:v>
                </c:pt>
                <c:pt idx="2">
                  <c:v>9808.2026501861492</c:v>
                </c:pt>
                <c:pt idx="3">
                  <c:v>9685.9069878757236</c:v>
                </c:pt>
                <c:pt idx="4">
                  <c:v>7925.8425500801377</c:v>
                </c:pt>
                <c:pt idx="5">
                  <c:v>4647.3463884797966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6AC2-440D-9924-4B5B8AB7198A}"/>
            </c:ext>
          </c:extLst>
        </c:ser>
        <c:ser>
          <c:idx val="89"/>
          <c:order val="89"/>
          <c:tx>
            <c:strRef>
              <c:f>IRS!$B$113</c:f>
              <c:strCache>
                <c:ptCount val="1"/>
                <c:pt idx="0">
                  <c:v>Simulation 90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IRS!$G$113:$M$113</c:f>
              <c:numCache>
                <c:formatCode>0</c:formatCode>
                <c:ptCount val="7"/>
                <c:pt idx="0">
                  <c:v>3752.0309489121028</c:v>
                </c:pt>
                <c:pt idx="1">
                  <c:v>7333.3427624776523</c:v>
                </c:pt>
                <c:pt idx="2">
                  <c:v>9153.4177520690773</c:v>
                </c:pt>
                <c:pt idx="3">
                  <c:v>9232.9770321952237</c:v>
                </c:pt>
                <c:pt idx="4">
                  <c:v>7648.4497639894671</c:v>
                </c:pt>
                <c:pt idx="5">
                  <c:v>4520.4142762647662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6AC2-440D-9924-4B5B8AB7198A}"/>
            </c:ext>
          </c:extLst>
        </c:ser>
        <c:ser>
          <c:idx val="90"/>
          <c:order val="90"/>
          <c:tx>
            <c:strRef>
              <c:f>IRS!$B$114</c:f>
              <c:strCache>
                <c:ptCount val="1"/>
                <c:pt idx="0">
                  <c:v>Simulation 91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IRS!$G$114:$M$114</c:f>
              <c:numCache>
                <c:formatCode>0</c:formatCode>
                <c:ptCount val="7"/>
                <c:pt idx="0">
                  <c:v>2610.3303273595156</c:v>
                </c:pt>
                <c:pt idx="1">
                  <c:v>6398.3406014590555</c:v>
                </c:pt>
                <c:pt idx="2">
                  <c:v>8418.5620062067283</c:v>
                </c:pt>
                <c:pt idx="3">
                  <c:v>8691.9280512565692</c:v>
                </c:pt>
                <c:pt idx="4">
                  <c:v>7294.7646871011721</c:v>
                </c:pt>
                <c:pt idx="5">
                  <c:v>4347.2666256865114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6AC2-440D-9924-4B5B8AB7198A}"/>
            </c:ext>
          </c:extLst>
        </c:ser>
        <c:ser>
          <c:idx val="91"/>
          <c:order val="91"/>
          <c:tx>
            <c:strRef>
              <c:f>IRS!$B$115</c:f>
              <c:strCache>
                <c:ptCount val="1"/>
                <c:pt idx="0">
                  <c:v>Simulation 92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IRS!$G$115:$M$115</c:f>
              <c:numCache>
                <c:formatCode>0</c:formatCode>
                <c:ptCount val="7"/>
                <c:pt idx="0">
                  <c:v>1175.4033533357897</c:v>
                </c:pt>
                <c:pt idx="1">
                  <c:v>5251.3816560974155</c:v>
                </c:pt>
                <c:pt idx="2">
                  <c:v>7539.9623701561886</c:v>
                </c:pt>
                <c:pt idx="3">
                  <c:v>8062.087437348262</c:v>
                </c:pt>
                <c:pt idx="4">
                  <c:v>6894.1487462391387</c:v>
                </c:pt>
                <c:pt idx="5">
                  <c:v>4156.4956503610874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6AC2-440D-9924-4B5B8AB7198A}"/>
            </c:ext>
          </c:extLst>
        </c:ser>
        <c:ser>
          <c:idx val="92"/>
          <c:order val="92"/>
          <c:tx>
            <c:strRef>
              <c:f>IRS!$B$116</c:f>
              <c:strCache>
                <c:ptCount val="1"/>
                <c:pt idx="0">
                  <c:v>Simulation 93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IRS!$G$116:$M$116</c:f>
              <c:numCache>
                <c:formatCode>0</c:formatCode>
                <c:ptCount val="7"/>
                <c:pt idx="0">
                  <c:v>0</c:v>
                </c:pt>
                <c:pt idx="1">
                  <c:v>4029.5264012852367</c:v>
                </c:pt>
                <c:pt idx="2">
                  <c:v>6566.7505033514899</c:v>
                </c:pt>
                <c:pt idx="3">
                  <c:v>7338.5760322124343</c:v>
                </c:pt>
                <c:pt idx="4">
                  <c:v>6418.16744397809</c:v>
                </c:pt>
                <c:pt idx="5">
                  <c:v>3922.679136894114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6AC2-440D-9924-4B5B8AB7198A}"/>
            </c:ext>
          </c:extLst>
        </c:ser>
        <c:ser>
          <c:idx val="93"/>
          <c:order val="93"/>
          <c:tx>
            <c:strRef>
              <c:f>IRS!$B$117</c:f>
              <c:strCache>
                <c:ptCount val="1"/>
                <c:pt idx="0">
                  <c:v>Simulation 94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IRS!$G$117:$M$117</c:f>
              <c:numCache>
                <c:formatCode>0</c:formatCode>
                <c:ptCount val="7"/>
                <c:pt idx="0">
                  <c:v>720.91011641351133</c:v>
                </c:pt>
                <c:pt idx="1">
                  <c:v>4889.9266928306224</c:v>
                </c:pt>
                <c:pt idx="2">
                  <c:v>7266.7928657378798</c:v>
                </c:pt>
                <c:pt idx="3">
                  <c:v>7870.6623970172805</c:v>
                </c:pt>
                <c:pt idx="4">
                  <c:v>6776.3374135291924</c:v>
                </c:pt>
                <c:pt idx="5">
                  <c:v>4102.8144039035487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6AC2-440D-9924-4B5B8AB7198A}"/>
            </c:ext>
          </c:extLst>
        </c:ser>
        <c:ser>
          <c:idx val="94"/>
          <c:order val="94"/>
          <c:tx>
            <c:strRef>
              <c:f>IRS!$B$118</c:f>
              <c:strCache>
                <c:ptCount val="1"/>
                <c:pt idx="0">
                  <c:v>Simulation 95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IRS!$G$118:$M$118</c:f>
              <c:numCache>
                <c:formatCode>0</c:formatCode>
                <c:ptCount val="7"/>
                <c:pt idx="0">
                  <c:v>0</c:v>
                </c:pt>
                <c:pt idx="1">
                  <c:v>3586.5891179450209</c:v>
                </c:pt>
                <c:pt idx="2">
                  <c:v>6234.7440910161004</c:v>
                </c:pt>
                <c:pt idx="3">
                  <c:v>7109.2526133414249</c:v>
                </c:pt>
                <c:pt idx="4">
                  <c:v>6280.0177646252941</c:v>
                </c:pt>
                <c:pt idx="5">
                  <c:v>3861.5733067048081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6AC2-440D-9924-4B5B8AB7198A}"/>
            </c:ext>
          </c:extLst>
        </c:ser>
        <c:ser>
          <c:idx val="95"/>
          <c:order val="95"/>
          <c:tx>
            <c:strRef>
              <c:f>IRS!$B$119</c:f>
              <c:strCache>
                <c:ptCount val="1"/>
                <c:pt idx="0">
                  <c:v>Simulation 96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IRS!$G$119:$M$119</c:f>
              <c:numCache>
                <c:formatCode>0</c:formatCode>
                <c:ptCount val="7"/>
                <c:pt idx="0">
                  <c:v>1542.3836743058096</c:v>
                </c:pt>
                <c:pt idx="1">
                  <c:v>5514.6391176859506</c:v>
                </c:pt>
                <c:pt idx="2">
                  <c:v>7718.0860192442669</c:v>
                </c:pt>
                <c:pt idx="3">
                  <c:v>8172.968648463625</c:v>
                </c:pt>
                <c:pt idx="4">
                  <c:v>6954.3221480265784</c:v>
                </c:pt>
                <c:pt idx="5">
                  <c:v>4180.4863681855077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6AC2-440D-9924-4B5B8AB7198A}"/>
            </c:ext>
          </c:extLst>
        </c:ser>
        <c:ser>
          <c:idx val="96"/>
          <c:order val="96"/>
          <c:tx>
            <c:strRef>
              <c:f>IRS!$B$120</c:f>
              <c:strCache>
                <c:ptCount val="1"/>
                <c:pt idx="0">
                  <c:v>Simulation 97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IRS!$G$120:$M$120</c:f>
              <c:numCache>
                <c:formatCode>0</c:formatCode>
                <c:ptCount val="7"/>
                <c:pt idx="0">
                  <c:v>3388.8254677399445</c:v>
                </c:pt>
                <c:pt idx="1">
                  <c:v>7016.769482287531</c:v>
                </c:pt>
                <c:pt idx="2">
                  <c:v>8884.1244940211927</c:v>
                </c:pt>
                <c:pt idx="3">
                  <c:v>9016.5915148488239</c:v>
                </c:pt>
                <c:pt idx="4">
                  <c:v>7493.8615564359534</c:v>
                </c:pt>
                <c:pt idx="5">
                  <c:v>4437.9373950663321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6AC2-440D-9924-4B5B8AB7198A}"/>
            </c:ext>
          </c:extLst>
        </c:ser>
        <c:ser>
          <c:idx val="97"/>
          <c:order val="97"/>
          <c:tx>
            <c:strRef>
              <c:f>IRS!$B$121</c:f>
              <c:strCache>
                <c:ptCount val="1"/>
                <c:pt idx="0">
                  <c:v>Simulation 98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IRS!$G$121:$M$121</c:f>
              <c:numCache>
                <c:formatCode>0</c:formatCode>
                <c:ptCount val="7"/>
                <c:pt idx="0">
                  <c:v>7489.5864882249743</c:v>
                </c:pt>
                <c:pt idx="1">
                  <c:v>10363.007439994182</c:v>
                </c:pt>
                <c:pt idx="2">
                  <c:v>11493.285178059181</c:v>
                </c:pt>
                <c:pt idx="3">
                  <c:v>10915.248512553175</c:v>
                </c:pt>
                <c:pt idx="4">
                  <c:v>8716.6522547820205</c:v>
                </c:pt>
                <c:pt idx="5">
                  <c:v>5026.1423385553117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6AC2-440D-9924-4B5B8AB7198A}"/>
            </c:ext>
          </c:extLst>
        </c:ser>
        <c:ser>
          <c:idx val="98"/>
          <c:order val="98"/>
          <c:tx>
            <c:strRef>
              <c:f>IRS!$B$122</c:f>
              <c:strCache>
                <c:ptCount val="1"/>
                <c:pt idx="0">
                  <c:v>Simulation 99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IRS!$G$122:$M$122</c:f>
              <c:numCache>
                <c:formatCode>0</c:formatCode>
                <c:ptCount val="7"/>
                <c:pt idx="0">
                  <c:v>8559.9769750285359</c:v>
                </c:pt>
                <c:pt idx="1">
                  <c:v>11199.462814042772</c:v>
                </c:pt>
                <c:pt idx="2">
                  <c:v>12117.618869035079</c:v>
                </c:pt>
                <c:pt idx="3">
                  <c:v>11350.010360763779</c:v>
                </c:pt>
                <c:pt idx="4">
                  <c:v>8984.5492484429487</c:v>
                </c:pt>
                <c:pt idx="5">
                  <c:v>5149.4356630835136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6AC2-440D-9924-4B5B8AB7198A}"/>
            </c:ext>
          </c:extLst>
        </c:ser>
        <c:ser>
          <c:idx val="99"/>
          <c:order val="99"/>
          <c:tx>
            <c:strRef>
              <c:f>IRS!$B$123</c:f>
              <c:strCache>
                <c:ptCount val="1"/>
                <c:pt idx="0">
                  <c:v>Simulation 100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IRS!$G$123:$M$123</c:f>
              <c:numCache>
                <c:formatCode>0</c:formatCode>
                <c:ptCount val="7"/>
                <c:pt idx="0">
                  <c:v>7936.7168123921765</c:v>
                </c:pt>
                <c:pt idx="1">
                  <c:v>10662.532936761709</c:v>
                </c:pt>
                <c:pt idx="2">
                  <c:v>11676.063962622688</c:v>
                </c:pt>
                <c:pt idx="3">
                  <c:v>11011.586129384683</c:v>
                </c:pt>
                <c:pt idx="4">
                  <c:v>8755.3790716618569</c:v>
                </c:pt>
                <c:pt idx="5">
                  <c:v>5033.7463647306477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6AC2-440D-9924-4B5B8AB7198A}"/>
            </c:ext>
          </c:extLst>
        </c:ser>
        <c:ser>
          <c:idx val="100"/>
          <c:order val="100"/>
          <c:tx>
            <c:strRef>
              <c:f>IRS!$B$124</c:f>
              <c:strCache>
                <c:ptCount val="1"/>
                <c:pt idx="0">
                  <c:v>Simulation 101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IRS!$G$124:$M$124</c:f>
              <c:numCache>
                <c:formatCode>0</c:formatCode>
                <c:ptCount val="7"/>
                <c:pt idx="0">
                  <c:v>7493.3923377009087</c:v>
                </c:pt>
                <c:pt idx="1">
                  <c:v>10269.024042713445</c:v>
                </c:pt>
                <c:pt idx="2">
                  <c:v>11347.449198233337</c:v>
                </c:pt>
                <c:pt idx="3">
                  <c:v>10758.714336432446</c:v>
                </c:pt>
                <c:pt idx="4">
                  <c:v>8585.0032043049687</c:v>
                </c:pt>
                <c:pt idx="5">
                  <c:v>4948.7916582744347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6AC2-440D-9924-4B5B8AB7198A}"/>
            </c:ext>
          </c:extLst>
        </c:ser>
        <c:ser>
          <c:idx val="101"/>
          <c:order val="101"/>
          <c:tx>
            <c:strRef>
              <c:f>IRS!$B$125</c:f>
              <c:strCache>
                <c:ptCount val="1"/>
                <c:pt idx="0">
                  <c:v>Simulation 102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IRS!$G$125:$M$125</c:f>
              <c:numCache>
                <c:formatCode>0</c:formatCode>
                <c:ptCount val="7"/>
                <c:pt idx="0">
                  <c:v>8164.4549204334198</c:v>
                </c:pt>
                <c:pt idx="1">
                  <c:v>10942.434638025314</c:v>
                </c:pt>
                <c:pt idx="2">
                  <c:v>11983.791659900999</c:v>
                </c:pt>
                <c:pt idx="3">
                  <c:v>11312.856988440171</c:v>
                </c:pt>
                <c:pt idx="4">
                  <c:v>9007.3673599545418</c:v>
                </c:pt>
                <c:pt idx="5">
                  <c:v>5186.8665918380639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6AC2-440D-9924-4B5B8AB7198A}"/>
            </c:ext>
          </c:extLst>
        </c:ser>
        <c:ser>
          <c:idx val="102"/>
          <c:order val="102"/>
          <c:tx>
            <c:strRef>
              <c:f>IRS!$B$126</c:f>
              <c:strCache>
                <c:ptCount val="1"/>
                <c:pt idx="0">
                  <c:v>Simulation 103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IRS!$G$126:$M$126</c:f>
              <c:numCache>
                <c:formatCode>0</c:formatCode>
                <c:ptCount val="7"/>
                <c:pt idx="0">
                  <c:v>8657.4349383780573</c:v>
                </c:pt>
                <c:pt idx="1">
                  <c:v>11301.075464840123</c:v>
                </c:pt>
                <c:pt idx="2">
                  <c:v>12232.927868487937</c:v>
                </c:pt>
                <c:pt idx="3">
                  <c:v>11474.420068810279</c:v>
                </c:pt>
                <c:pt idx="4">
                  <c:v>9100.2571612097454</c:v>
                </c:pt>
                <c:pt idx="5">
                  <c:v>5226.8981627053008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6AC2-440D-9924-4B5B8AB7198A}"/>
            </c:ext>
          </c:extLst>
        </c:ser>
        <c:ser>
          <c:idx val="103"/>
          <c:order val="103"/>
          <c:tx>
            <c:strRef>
              <c:f>IRS!$B$127</c:f>
              <c:strCache>
                <c:ptCount val="1"/>
                <c:pt idx="0">
                  <c:v>Simulation 104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IRS!$G$127:$M$127</c:f>
              <c:numCache>
                <c:formatCode>0</c:formatCode>
                <c:ptCount val="7"/>
                <c:pt idx="0">
                  <c:v>9636.4436229703533</c:v>
                </c:pt>
                <c:pt idx="1">
                  <c:v>12064.739379046659</c:v>
                </c:pt>
                <c:pt idx="2">
                  <c:v>12802.280848485225</c:v>
                </c:pt>
                <c:pt idx="3">
                  <c:v>11870.715107844622</c:v>
                </c:pt>
                <c:pt idx="4">
                  <c:v>9344.5103551742723</c:v>
                </c:pt>
                <c:pt idx="5">
                  <c:v>5339.4169566911869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6AC2-440D-9924-4B5B8AB7198A}"/>
            </c:ext>
          </c:extLst>
        </c:ser>
        <c:ser>
          <c:idx val="104"/>
          <c:order val="104"/>
          <c:tx>
            <c:strRef>
              <c:f>IRS!$B$128</c:f>
              <c:strCache>
                <c:ptCount val="1"/>
                <c:pt idx="0">
                  <c:v>Simulation 105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IRS!$G$128:$M$128</c:f>
              <c:numCache>
                <c:formatCode>0</c:formatCode>
                <c:ptCount val="7"/>
                <c:pt idx="0">
                  <c:v>9977.7894343247499</c:v>
                </c:pt>
                <c:pt idx="1">
                  <c:v>12285.162586107013</c:v>
                </c:pt>
                <c:pt idx="2">
                  <c:v>12934.110861585094</c:v>
                </c:pt>
                <c:pt idx="3">
                  <c:v>11941.17919669894</c:v>
                </c:pt>
                <c:pt idx="4">
                  <c:v>9375.7626071120649</c:v>
                </c:pt>
                <c:pt idx="5">
                  <c:v>5348.7000763356691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6AC2-440D-9924-4B5B8AB7198A}"/>
            </c:ext>
          </c:extLst>
        </c:ser>
        <c:ser>
          <c:idx val="105"/>
          <c:order val="105"/>
          <c:tx>
            <c:strRef>
              <c:f>IRS!$B$129</c:f>
              <c:strCache>
                <c:ptCount val="1"/>
                <c:pt idx="0">
                  <c:v>Simulation 106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IRS!$G$129:$M$129</c:f>
              <c:numCache>
                <c:formatCode>0</c:formatCode>
                <c:ptCount val="7"/>
                <c:pt idx="0">
                  <c:v>6899.9341219275593</c:v>
                </c:pt>
                <c:pt idx="1">
                  <c:v>9799.4377503335236</c:v>
                </c:pt>
                <c:pt idx="2">
                  <c:v>11010.714421545345</c:v>
                </c:pt>
                <c:pt idx="3">
                  <c:v>10548.805061676227</c:v>
                </c:pt>
                <c:pt idx="4">
                  <c:v>8481.687296967737</c:v>
                </c:pt>
                <c:pt idx="5">
                  <c:v>4919.0211175393279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6AC2-440D-9924-4B5B8AB7198A}"/>
            </c:ext>
          </c:extLst>
        </c:ser>
        <c:ser>
          <c:idx val="106"/>
          <c:order val="106"/>
          <c:tx>
            <c:strRef>
              <c:f>IRS!$B$130</c:f>
              <c:strCache>
                <c:ptCount val="1"/>
                <c:pt idx="0">
                  <c:v>Simulation 107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IRS!$G$130:$M$130</c:f>
              <c:numCache>
                <c:formatCode>0</c:formatCode>
                <c:ptCount val="7"/>
                <c:pt idx="0">
                  <c:v>7378.2555234552819</c:v>
                </c:pt>
                <c:pt idx="1">
                  <c:v>10245.970849150719</c:v>
                </c:pt>
                <c:pt idx="2">
                  <c:v>11402.014301031726</c:v>
                </c:pt>
                <c:pt idx="3">
                  <c:v>10864.509129751479</c:v>
                </c:pt>
                <c:pt idx="4">
                  <c:v>8704.7162176158381</c:v>
                </c:pt>
                <c:pt idx="5">
                  <c:v>5035.676490507436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6AC2-440D-9924-4B5B8AB7198A}"/>
            </c:ext>
          </c:extLst>
        </c:ser>
        <c:ser>
          <c:idx val="107"/>
          <c:order val="107"/>
          <c:tx>
            <c:strRef>
              <c:f>IRS!$B$131</c:f>
              <c:strCache>
                <c:ptCount val="1"/>
                <c:pt idx="0">
                  <c:v>Simulation 108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IRS!$G$131:$M$131</c:f>
              <c:numCache>
                <c:formatCode>0</c:formatCode>
                <c:ptCount val="7"/>
                <c:pt idx="0">
                  <c:v>3446.2223455646699</c:v>
                </c:pt>
                <c:pt idx="1">
                  <c:v>7071.3952323246058</c:v>
                </c:pt>
                <c:pt idx="2">
                  <c:v>8951.4775745005245</c:v>
                </c:pt>
                <c:pt idx="3">
                  <c:v>9098.3067839675605</c:v>
                </c:pt>
                <c:pt idx="4">
                  <c:v>7577.7027923897394</c:v>
                </c:pt>
                <c:pt idx="5">
                  <c:v>4498.3947426349987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6AC2-440D-9924-4B5B8AB7198A}"/>
            </c:ext>
          </c:extLst>
        </c:ser>
        <c:ser>
          <c:idx val="108"/>
          <c:order val="108"/>
          <c:tx>
            <c:strRef>
              <c:f>IRS!$B$132</c:f>
              <c:strCache>
                <c:ptCount val="1"/>
                <c:pt idx="0">
                  <c:v>Simulation 109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IRS!$G$132:$M$132</c:f>
              <c:numCache>
                <c:formatCode>0</c:formatCode>
                <c:ptCount val="7"/>
                <c:pt idx="0">
                  <c:v>1544.1173117385561</c:v>
                </c:pt>
                <c:pt idx="1">
                  <c:v>5492.8081595092299</c:v>
                </c:pt>
                <c:pt idx="2">
                  <c:v>7703.9320066621231</c:v>
                </c:pt>
                <c:pt idx="3">
                  <c:v>8181.2045480970992</c:v>
                </c:pt>
                <c:pt idx="4">
                  <c:v>6982.9178121878622</c:v>
                </c:pt>
                <c:pt idx="5">
                  <c:v>4211.1507597417449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6AC2-440D-9924-4B5B8AB7198A}"/>
            </c:ext>
          </c:extLst>
        </c:ser>
        <c:ser>
          <c:idx val="109"/>
          <c:order val="109"/>
          <c:tx>
            <c:strRef>
              <c:f>IRS!$B$133</c:f>
              <c:strCache>
                <c:ptCount val="1"/>
                <c:pt idx="0">
                  <c:v>Simulation 110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IRS!$G$133:$M$133</c:f>
              <c:numCache>
                <c:formatCode>0</c:formatCode>
                <c:ptCount val="7"/>
                <c:pt idx="0">
                  <c:v>3190.6222388488454</c:v>
                </c:pt>
                <c:pt idx="1">
                  <c:v>6818.7777453551607</c:v>
                </c:pt>
                <c:pt idx="2">
                  <c:v>8723.7335136240326</c:v>
                </c:pt>
                <c:pt idx="3">
                  <c:v>8912.7940258424969</c:v>
                </c:pt>
                <c:pt idx="4">
                  <c:v>7447.1765582065818</c:v>
                </c:pt>
                <c:pt idx="5">
                  <c:v>4431.0971632659339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6AC2-440D-9924-4B5B8AB7198A}"/>
            </c:ext>
          </c:extLst>
        </c:ser>
        <c:ser>
          <c:idx val="110"/>
          <c:order val="110"/>
          <c:tx>
            <c:strRef>
              <c:f>IRS!$B$134</c:f>
              <c:strCache>
                <c:ptCount val="1"/>
                <c:pt idx="0">
                  <c:v>Simulation 111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IRS!$G$134:$M$134</c:f>
              <c:numCache>
                <c:formatCode>0</c:formatCode>
                <c:ptCount val="7"/>
                <c:pt idx="0">
                  <c:v>8960.0436803340381</c:v>
                </c:pt>
                <c:pt idx="1">
                  <c:v>11525.481745018737</c:v>
                </c:pt>
                <c:pt idx="2">
                  <c:v>12393.588221376487</c:v>
                </c:pt>
                <c:pt idx="3">
                  <c:v>11583.694880983541</c:v>
                </c:pt>
                <c:pt idx="4">
                  <c:v>9167.7722950223197</c:v>
                </c:pt>
                <c:pt idx="5">
                  <c:v>5259.045888951393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6AC2-440D-9924-4B5B8AB7198A}"/>
            </c:ext>
          </c:extLst>
        </c:ser>
        <c:ser>
          <c:idx val="111"/>
          <c:order val="111"/>
          <c:tx>
            <c:strRef>
              <c:f>IRS!$B$135</c:f>
              <c:strCache>
                <c:ptCount val="1"/>
                <c:pt idx="0">
                  <c:v>Simulation 112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IRS!$G$135:$M$135</c:f>
              <c:numCache>
                <c:formatCode>0</c:formatCode>
                <c:ptCount val="7"/>
                <c:pt idx="0">
                  <c:v>10006.144112983187</c:v>
                </c:pt>
                <c:pt idx="1">
                  <c:v>12397.755119317391</c:v>
                </c:pt>
                <c:pt idx="2">
                  <c:v>13085.155231287878</c:v>
                </c:pt>
                <c:pt idx="3">
                  <c:v>12093.16930499999</c:v>
                </c:pt>
                <c:pt idx="4">
                  <c:v>9498.6604935195082</c:v>
                </c:pt>
                <c:pt idx="5">
                  <c:v>5418.99598706285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6AC2-440D-9924-4B5B8AB7198A}"/>
            </c:ext>
          </c:extLst>
        </c:ser>
        <c:ser>
          <c:idx val="112"/>
          <c:order val="112"/>
          <c:tx>
            <c:strRef>
              <c:f>IRS!$B$136</c:f>
              <c:strCache>
                <c:ptCount val="1"/>
                <c:pt idx="0">
                  <c:v>Simulation 113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IRS!$G$136:$M$136</c:f>
              <c:numCache>
                <c:formatCode>0</c:formatCode>
                <c:ptCount val="7"/>
                <c:pt idx="0">
                  <c:v>11052.960815410612</c:v>
                </c:pt>
                <c:pt idx="1">
                  <c:v>13313.474630033572</c:v>
                </c:pt>
                <c:pt idx="2">
                  <c:v>13842.000579630636</c:v>
                </c:pt>
                <c:pt idx="3">
                  <c:v>12671.618883349598</c:v>
                </c:pt>
                <c:pt idx="4">
                  <c:v>9886.9562284741769</c:v>
                </c:pt>
                <c:pt idx="5">
                  <c:v>5612.4183240678094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6AC2-440D-9924-4B5B8AB7198A}"/>
            </c:ext>
          </c:extLst>
        </c:ser>
        <c:ser>
          <c:idx val="113"/>
          <c:order val="113"/>
          <c:tx>
            <c:strRef>
              <c:f>IRS!$B$137</c:f>
              <c:strCache>
                <c:ptCount val="1"/>
                <c:pt idx="0">
                  <c:v>Simulation 114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IRS!$G$137:$M$137</c:f>
              <c:numCache>
                <c:formatCode>0</c:formatCode>
                <c:ptCount val="7"/>
                <c:pt idx="0">
                  <c:v>6081.7185279206915</c:v>
                </c:pt>
                <c:pt idx="1">
                  <c:v>9322.4187380951917</c:v>
                </c:pt>
                <c:pt idx="2">
                  <c:v>10778.731564594133</c:v>
                </c:pt>
                <c:pt idx="3">
                  <c:v>10476.468514882701</c:v>
                </c:pt>
                <c:pt idx="4">
                  <c:v>8494.3042339225613</c:v>
                </c:pt>
                <c:pt idx="5">
                  <c:v>4952.3240263870084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6AC2-440D-9924-4B5B8AB7198A}"/>
            </c:ext>
          </c:extLst>
        </c:ser>
        <c:ser>
          <c:idx val="114"/>
          <c:order val="114"/>
          <c:tx>
            <c:strRef>
              <c:f>IRS!$B$138</c:f>
              <c:strCache>
                <c:ptCount val="1"/>
                <c:pt idx="0">
                  <c:v>Simulation 115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IRS!$G$138:$M$138</c:f>
              <c:numCache>
                <c:formatCode>0</c:formatCode>
                <c:ptCount val="7"/>
                <c:pt idx="0">
                  <c:v>6297.0105246973817</c:v>
                </c:pt>
                <c:pt idx="1">
                  <c:v>9479.9500154930429</c:v>
                </c:pt>
                <c:pt idx="2">
                  <c:v>10886.493550596346</c:v>
                </c:pt>
                <c:pt idx="3">
                  <c:v>10543.353369240536</c:v>
                </c:pt>
                <c:pt idx="4">
                  <c:v>8529.6587047273952</c:v>
                </c:pt>
                <c:pt idx="5">
                  <c:v>4965.5045027216302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2-6AC2-440D-9924-4B5B8AB7198A}"/>
            </c:ext>
          </c:extLst>
        </c:ser>
        <c:ser>
          <c:idx val="115"/>
          <c:order val="115"/>
          <c:tx>
            <c:strRef>
              <c:f>IRS!$B$139</c:f>
              <c:strCache>
                <c:ptCount val="1"/>
                <c:pt idx="0">
                  <c:v>Simulation 116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IRS!$G$139:$M$139</c:f>
              <c:numCache>
                <c:formatCode>0</c:formatCode>
                <c:ptCount val="7"/>
                <c:pt idx="0">
                  <c:v>10014.563353419453</c:v>
                </c:pt>
                <c:pt idx="1">
                  <c:v>12444.295199227023</c:v>
                </c:pt>
                <c:pt idx="2">
                  <c:v>13147.753386666296</c:v>
                </c:pt>
                <c:pt idx="3">
                  <c:v>12154.980521022968</c:v>
                </c:pt>
                <c:pt idx="4">
                  <c:v>9547.3647041162476</c:v>
                </c:pt>
                <c:pt idx="5">
                  <c:v>5446.0456059666358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3-6AC2-440D-9924-4B5B8AB7198A}"/>
            </c:ext>
          </c:extLst>
        </c:ser>
        <c:ser>
          <c:idx val="116"/>
          <c:order val="116"/>
          <c:tx>
            <c:strRef>
              <c:f>IRS!$B$140</c:f>
              <c:strCache>
                <c:ptCount val="1"/>
                <c:pt idx="0">
                  <c:v>Simulation 117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IRS!$G$140:$M$140</c:f>
              <c:numCache>
                <c:formatCode>0</c:formatCode>
                <c:ptCount val="7"/>
                <c:pt idx="0">
                  <c:v>10915.848996749326</c:v>
                </c:pt>
                <c:pt idx="1">
                  <c:v>13151.1529165227</c:v>
                </c:pt>
                <c:pt idx="2">
                  <c:v>13675.339062498802</c:v>
                </c:pt>
                <c:pt idx="3">
                  <c:v>12520.923082646759</c:v>
                </c:pt>
                <c:pt idx="4">
                  <c:v>9771.0097387480564</c:v>
                </c:pt>
                <c:pt idx="5">
                  <c:v>5547.6535682040139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4-6AC2-440D-9924-4B5B8AB7198A}"/>
            </c:ext>
          </c:extLst>
        </c:ser>
        <c:ser>
          <c:idx val="117"/>
          <c:order val="117"/>
          <c:tx>
            <c:strRef>
              <c:f>IRS!$B$141</c:f>
              <c:strCache>
                <c:ptCount val="1"/>
                <c:pt idx="0">
                  <c:v>Simulation 118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IRS!$G$141:$M$141</c:f>
              <c:numCache>
                <c:formatCode>0</c:formatCode>
                <c:ptCount val="7"/>
                <c:pt idx="0">
                  <c:v>10550.501909839819</c:v>
                </c:pt>
                <c:pt idx="1">
                  <c:v>12826.507392572275</c:v>
                </c:pt>
                <c:pt idx="2">
                  <c:v>13405.025825559685</c:v>
                </c:pt>
                <c:pt idx="3">
                  <c:v>12314.192183844778</c:v>
                </c:pt>
                <c:pt idx="4">
                  <c:v>9632.9590098110275</c:v>
                </c:pt>
                <c:pt idx="5">
                  <c:v>5479.5990331855637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5-6AC2-440D-9924-4B5B8AB7198A}"/>
            </c:ext>
          </c:extLst>
        </c:ser>
        <c:ser>
          <c:idx val="118"/>
          <c:order val="118"/>
          <c:tx>
            <c:strRef>
              <c:f>IRS!$B$142</c:f>
              <c:strCache>
                <c:ptCount val="1"/>
                <c:pt idx="0">
                  <c:v>Simulation 119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IRS!$G$142:$M$142</c:f>
              <c:numCache>
                <c:formatCode>0</c:formatCode>
                <c:ptCount val="7"/>
                <c:pt idx="0">
                  <c:v>11620.507100991657</c:v>
                </c:pt>
                <c:pt idx="1">
                  <c:v>13726.02410207536</c:v>
                </c:pt>
                <c:pt idx="2">
                  <c:v>14122.773974905293</c:v>
                </c:pt>
                <c:pt idx="3">
                  <c:v>12845.570777989666</c:v>
                </c:pt>
                <c:pt idx="4">
                  <c:v>9979.3440794872331</c:v>
                </c:pt>
                <c:pt idx="5">
                  <c:v>5647.4714608637305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6-6AC2-440D-9924-4B5B8AB7198A}"/>
            </c:ext>
          </c:extLst>
        </c:ser>
        <c:ser>
          <c:idx val="119"/>
          <c:order val="119"/>
          <c:tx>
            <c:strRef>
              <c:f>IRS!$B$143</c:f>
              <c:strCache>
                <c:ptCount val="1"/>
                <c:pt idx="0">
                  <c:v>Simulation 120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IRS!$G$143:$M$143</c:f>
              <c:numCache>
                <c:formatCode>0</c:formatCode>
                <c:ptCount val="7"/>
                <c:pt idx="0">
                  <c:v>13221.687143691368</c:v>
                </c:pt>
                <c:pt idx="1">
                  <c:v>15082.976672399818</c:v>
                </c:pt>
                <c:pt idx="2">
                  <c:v>15218.48196826506</c:v>
                </c:pt>
                <c:pt idx="3">
                  <c:v>13669.227374899594</c:v>
                </c:pt>
                <c:pt idx="4">
                  <c:v>10526.107789160662</c:v>
                </c:pt>
                <c:pt idx="5">
                  <c:v>5918.0267175587678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7-6AC2-440D-9924-4B5B8AB7198A}"/>
            </c:ext>
          </c:extLst>
        </c:ser>
        <c:ser>
          <c:idx val="120"/>
          <c:order val="120"/>
          <c:tx>
            <c:strRef>
              <c:f>IRS!$B$144</c:f>
              <c:strCache>
                <c:ptCount val="1"/>
                <c:pt idx="0">
                  <c:v>Simulation 121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IRS!$G$144:$M$144</c:f>
              <c:numCache>
                <c:formatCode>0</c:formatCode>
                <c:ptCount val="7"/>
                <c:pt idx="0">
                  <c:v>14405.340793584084</c:v>
                </c:pt>
                <c:pt idx="1">
                  <c:v>16141.756415982098</c:v>
                </c:pt>
                <c:pt idx="2">
                  <c:v>16111.383644836384</c:v>
                </c:pt>
                <c:pt idx="3">
                  <c:v>14364.533570637388</c:v>
                </c:pt>
                <c:pt idx="4">
                  <c:v>11001.154813179526</c:v>
                </c:pt>
                <c:pt idx="5">
                  <c:v>6158.6954301317828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8-6AC2-440D-9924-4B5B8AB7198A}"/>
            </c:ext>
          </c:extLst>
        </c:ser>
        <c:ser>
          <c:idx val="121"/>
          <c:order val="121"/>
          <c:tx>
            <c:strRef>
              <c:f>IRS!$B$145</c:f>
              <c:strCache>
                <c:ptCount val="1"/>
                <c:pt idx="0">
                  <c:v>Simulation 122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IRS!$G$145:$M$145</c:f>
              <c:numCache>
                <c:formatCode>0</c:formatCode>
                <c:ptCount val="7"/>
                <c:pt idx="0">
                  <c:v>14084.362707924725</c:v>
                </c:pt>
                <c:pt idx="1">
                  <c:v>15867.297176006239</c:v>
                </c:pt>
                <c:pt idx="2">
                  <c:v>15884.973986147097</c:v>
                </c:pt>
                <c:pt idx="3">
                  <c:v>14189.035165073401</c:v>
                </c:pt>
                <c:pt idx="4">
                  <c:v>10880.234655697348</c:v>
                </c:pt>
                <c:pt idx="5">
                  <c:v>6096.3190150307364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9-6AC2-440D-9924-4B5B8AB7198A}"/>
            </c:ext>
          </c:extLst>
        </c:ser>
        <c:ser>
          <c:idx val="122"/>
          <c:order val="122"/>
          <c:tx>
            <c:strRef>
              <c:f>IRS!$B$146</c:f>
              <c:strCache>
                <c:ptCount val="1"/>
                <c:pt idx="0">
                  <c:v>Simulation 123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IRS!$G$146:$M$146</c:f>
              <c:numCache>
                <c:formatCode>0</c:formatCode>
                <c:ptCount val="7"/>
                <c:pt idx="0">
                  <c:v>13079.227139224769</c:v>
                </c:pt>
                <c:pt idx="1">
                  <c:v>15138.901072881512</c:v>
                </c:pt>
                <c:pt idx="2">
                  <c:v>15383.677861552473</c:v>
                </c:pt>
                <c:pt idx="3">
                  <c:v>13869.450986537244</c:v>
                </c:pt>
                <c:pt idx="4">
                  <c:v>10701.552376574637</c:v>
                </c:pt>
                <c:pt idx="5">
                  <c:v>6022.5281200089903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A-6AC2-440D-9924-4B5B8AB7198A}"/>
            </c:ext>
          </c:extLst>
        </c:ser>
        <c:ser>
          <c:idx val="123"/>
          <c:order val="123"/>
          <c:tx>
            <c:strRef>
              <c:f>IRS!$B$147</c:f>
              <c:strCache>
                <c:ptCount val="1"/>
                <c:pt idx="0">
                  <c:v>Simulation 124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IRS!$G$147:$M$147</c:f>
              <c:numCache>
                <c:formatCode>0</c:formatCode>
                <c:ptCount val="7"/>
                <c:pt idx="0">
                  <c:v>12099.435691428147</c:v>
                </c:pt>
                <c:pt idx="1">
                  <c:v>14313.725726502676</c:v>
                </c:pt>
                <c:pt idx="2">
                  <c:v>14724.27378446012</c:v>
                </c:pt>
                <c:pt idx="3">
                  <c:v>13380.807621770195</c:v>
                </c:pt>
                <c:pt idx="4">
                  <c:v>10382.949718809792</c:v>
                </c:pt>
                <c:pt idx="5">
                  <c:v>5868.2034572118482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B-6AC2-440D-9924-4B5B8AB7198A}"/>
            </c:ext>
          </c:extLst>
        </c:ser>
        <c:ser>
          <c:idx val="124"/>
          <c:order val="124"/>
          <c:tx>
            <c:strRef>
              <c:f>IRS!$B$148</c:f>
              <c:strCache>
                <c:ptCount val="1"/>
                <c:pt idx="0">
                  <c:v>Simulation 125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IRS!$G$148:$M$148</c:f>
              <c:numCache>
                <c:formatCode>0</c:formatCode>
                <c:ptCount val="7"/>
                <c:pt idx="0">
                  <c:v>14328.718597739702</c:v>
                </c:pt>
                <c:pt idx="1">
                  <c:v>16227.799272182034</c:v>
                </c:pt>
                <c:pt idx="2">
                  <c:v>16282.050733260785</c:v>
                </c:pt>
                <c:pt idx="3">
                  <c:v>14555.961919971771</c:v>
                </c:pt>
                <c:pt idx="4">
                  <c:v>11162.953231826303</c:v>
                </c:pt>
                <c:pt idx="5">
                  <c:v>6252.9237757624969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6AC2-440D-9924-4B5B8AB7198A}"/>
            </c:ext>
          </c:extLst>
        </c:ser>
        <c:ser>
          <c:idx val="125"/>
          <c:order val="125"/>
          <c:tx>
            <c:strRef>
              <c:f>IRS!$B$149</c:f>
              <c:strCache>
                <c:ptCount val="1"/>
                <c:pt idx="0">
                  <c:v>Simulation 126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IRS!$G$149:$M$149</c:f>
              <c:numCache>
                <c:formatCode>0</c:formatCode>
                <c:ptCount val="7"/>
                <c:pt idx="0">
                  <c:v>14927.496937638392</c:v>
                </c:pt>
                <c:pt idx="1">
                  <c:v>16685.741206984898</c:v>
                </c:pt>
                <c:pt idx="2">
                  <c:v>16622.01502213546</c:v>
                </c:pt>
                <c:pt idx="3">
                  <c:v>14795.609559903565</c:v>
                </c:pt>
                <c:pt idx="4">
                  <c:v>11315.176300005573</c:v>
                </c:pt>
                <c:pt idx="5">
                  <c:v>6326.4211782361244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6AC2-440D-9924-4B5B8AB7198A}"/>
            </c:ext>
          </c:extLst>
        </c:ser>
        <c:ser>
          <c:idx val="126"/>
          <c:order val="126"/>
          <c:tx>
            <c:strRef>
              <c:f>IRS!$B$150</c:f>
              <c:strCache>
                <c:ptCount val="1"/>
                <c:pt idx="0">
                  <c:v>Simulation 127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IRS!$G$150:$M$150</c:f>
              <c:numCache>
                <c:formatCode>0</c:formatCode>
                <c:ptCount val="7"/>
                <c:pt idx="0">
                  <c:v>16571.147786022782</c:v>
                </c:pt>
                <c:pt idx="1">
                  <c:v>18063.497621337137</c:v>
                </c:pt>
                <c:pt idx="2">
                  <c:v>17721.689287144683</c:v>
                </c:pt>
                <c:pt idx="3">
                  <c:v>15612.23950042238</c:v>
                </c:pt>
                <c:pt idx="4">
                  <c:v>11850.436643331797</c:v>
                </c:pt>
                <c:pt idx="5">
                  <c:v>6587.8273206203494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E-6AC2-440D-9924-4B5B8AB7198A}"/>
            </c:ext>
          </c:extLst>
        </c:ser>
        <c:ser>
          <c:idx val="127"/>
          <c:order val="127"/>
          <c:tx>
            <c:strRef>
              <c:f>IRS!$B$151</c:f>
              <c:strCache>
                <c:ptCount val="1"/>
                <c:pt idx="0">
                  <c:v>Simulation 128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IRS!$G$151:$M$151</c:f>
              <c:numCache>
                <c:formatCode>0</c:formatCode>
                <c:ptCount val="7"/>
                <c:pt idx="0">
                  <c:v>16260.914370844706</c:v>
                </c:pt>
                <c:pt idx="1">
                  <c:v>17826.061503757854</c:v>
                </c:pt>
                <c:pt idx="2">
                  <c:v>17549.795524213077</c:v>
                </c:pt>
                <c:pt idx="3">
                  <c:v>15497.525087649472</c:v>
                </c:pt>
                <c:pt idx="4">
                  <c:v>11783.706955809696</c:v>
                </c:pt>
                <c:pt idx="5">
                  <c:v>6559.3808157909825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6AC2-440D-9924-4B5B8AB7198A}"/>
            </c:ext>
          </c:extLst>
        </c:ser>
        <c:ser>
          <c:idx val="128"/>
          <c:order val="128"/>
          <c:tx>
            <c:strRef>
              <c:f>IRS!$B$152</c:f>
              <c:strCache>
                <c:ptCount val="1"/>
                <c:pt idx="0">
                  <c:v>Simulation 129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IRS!$G$152:$M$152</c:f>
              <c:numCache>
                <c:formatCode>0</c:formatCode>
                <c:ptCount val="7"/>
                <c:pt idx="0">
                  <c:v>16560.326752429675</c:v>
                </c:pt>
                <c:pt idx="1">
                  <c:v>18036.540299654378</c:v>
                </c:pt>
                <c:pt idx="2">
                  <c:v>17686.49335417731</c:v>
                </c:pt>
                <c:pt idx="3">
                  <c:v>15576.428140119871</c:v>
                </c:pt>
                <c:pt idx="4">
                  <c:v>11820.965356342194</c:v>
                </c:pt>
                <c:pt idx="5">
                  <c:v>6570.6730678518497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0-6AC2-440D-9924-4B5B8AB7198A}"/>
            </c:ext>
          </c:extLst>
        </c:ser>
        <c:ser>
          <c:idx val="129"/>
          <c:order val="129"/>
          <c:tx>
            <c:strRef>
              <c:f>IRS!$B$153</c:f>
              <c:strCache>
                <c:ptCount val="1"/>
                <c:pt idx="0">
                  <c:v>Simulation 130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IRS!$G$153:$M$153</c:f>
              <c:numCache>
                <c:formatCode>0</c:formatCode>
                <c:ptCount val="7"/>
                <c:pt idx="0">
                  <c:v>22084.63939779342</c:v>
                </c:pt>
                <c:pt idx="1">
                  <c:v>22526.14051565282</c:v>
                </c:pt>
                <c:pt idx="2">
                  <c:v>21175.038624572986</c:v>
                </c:pt>
                <c:pt idx="3">
                  <c:v>18107.629620107433</c:v>
                </c:pt>
                <c:pt idx="4">
                  <c:v>13447.241361077535</c:v>
                </c:pt>
                <c:pt idx="5">
                  <c:v>7351.4730067915052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1-6AC2-440D-9924-4B5B8AB7198A}"/>
            </c:ext>
          </c:extLst>
        </c:ser>
        <c:ser>
          <c:idx val="130"/>
          <c:order val="130"/>
          <c:tx>
            <c:strRef>
              <c:f>IRS!$B$154</c:f>
              <c:strCache>
                <c:ptCount val="1"/>
                <c:pt idx="0">
                  <c:v>Simulation 131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IRS!$G$154:$M$154</c:f>
              <c:numCache>
                <c:formatCode>0</c:formatCode>
                <c:ptCount val="7"/>
                <c:pt idx="0">
                  <c:v>20021.869775839201</c:v>
                </c:pt>
                <c:pt idx="1">
                  <c:v>20937.833630629066</c:v>
                </c:pt>
                <c:pt idx="2">
                  <c:v>20001.139550761396</c:v>
                </c:pt>
                <c:pt idx="3">
                  <c:v>17293.985089062968</c:v>
                </c:pt>
                <c:pt idx="4">
                  <c:v>12945.565025225751</c:v>
                </c:pt>
                <c:pt idx="5">
                  <c:v>7119.194579840575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2-6AC2-440D-9924-4B5B8AB7198A}"/>
            </c:ext>
          </c:extLst>
        </c:ser>
        <c:ser>
          <c:idx val="131"/>
          <c:order val="131"/>
          <c:tx>
            <c:strRef>
              <c:f>IRS!$B$155</c:f>
              <c:strCache>
                <c:ptCount val="1"/>
                <c:pt idx="0">
                  <c:v>Simulation 132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IRS!$G$155:$M$155</c:f>
              <c:numCache>
                <c:formatCode>0</c:formatCode>
                <c:ptCount val="7"/>
                <c:pt idx="0">
                  <c:v>20897.928097021329</c:v>
                </c:pt>
                <c:pt idx="1">
                  <c:v>21665.768350139591</c:v>
                </c:pt>
                <c:pt idx="2">
                  <c:v>20580.08668850693</c:v>
                </c:pt>
                <c:pt idx="3">
                  <c:v>17724.380958237805</c:v>
                </c:pt>
                <c:pt idx="4">
                  <c:v>13229.13348054513</c:v>
                </c:pt>
                <c:pt idx="5">
                  <c:v>7258.8999533609967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3-6AC2-440D-9924-4B5B8AB7198A}"/>
            </c:ext>
          </c:extLst>
        </c:ser>
        <c:ser>
          <c:idx val="132"/>
          <c:order val="132"/>
          <c:tx>
            <c:strRef>
              <c:f>IRS!$B$156</c:f>
              <c:strCache>
                <c:ptCount val="1"/>
                <c:pt idx="0">
                  <c:v>Simulation 133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IRS!$G$156:$M$156</c:f>
              <c:numCache>
                <c:formatCode>0</c:formatCode>
                <c:ptCount val="7"/>
                <c:pt idx="0">
                  <c:v>20898.862502182827</c:v>
                </c:pt>
                <c:pt idx="1">
                  <c:v>21694.650505554044</c:v>
                </c:pt>
                <c:pt idx="2">
                  <c:v>20621.960056988377</c:v>
                </c:pt>
                <c:pt idx="3">
                  <c:v>17767.238800098392</c:v>
                </c:pt>
                <c:pt idx="4">
                  <c:v>13263.721184688198</c:v>
                </c:pt>
                <c:pt idx="5">
                  <c:v>7278.4607658514433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4-6AC2-440D-9924-4B5B8AB7198A}"/>
            </c:ext>
          </c:extLst>
        </c:ser>
        <c:ser>
          <c:idx val="133"/>
          <c:order val="133"/>
          <c:tx>
            <c:strRef>
              <c:f>IRS!$B$157</c:f>
              <c:strCache>
                <c:ptCount val="1"/>
                <c:pt idx="0">
                  <c:v>Simulation 134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IRS!$G$157:$M$157</c:f>
              <c:numCache>
                <c:formatCode>0</c:formatCode>
                <c:ptCount val="7"/>
                <c:pt idx="0">
                  <c:v>21636.495082763751</c:v>
                </c:pt>
                <c:pt idx="1">
                  <c:v>22345.19477103911</c:v>
                </c:pt>
                <c:pt idx="2">
                  <c:v>21166.870343265829</c:v>
                </c:pt>
                <c:pt idx="3">
                  <c:v>18191.013593776086</c:v>
                </c:pt>
                <c:pt idx="4">
                  <c:v>13554.089662538179</c:v>
                </c:pt>
                <c:pt idx="5">
                  <c:v>7426.4657189435165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5-6AC2-440D-9924-4B5B8AB7198A}"/>
            </c:ext>
          </c:extLst>
        </c:ser>
        <c:ser>
          <c:idx val="134"/>
          <c:order val="134"/>
          <c:tx>
            <c:strRef>
              <c:f>IRS!$B$158</c:f>
              <c:strCache>
                <c:ptCount val="1"/>
                <c:pt idx="0">
                  <c:v>Simulation 135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IRS!$G$158:$M$158</c:f>
              <c:numCache>
                <c:formatCode>0</c:formatCode>
                <c:ptCount val="7"/>
                <c:pt idx="0">
                  <c:v>25176.790930441537</c:v>
                </c:pt>
                <c:pt idx="1">
                  <c:v>25164.081578595775</c:v>
                </c:pt>
                <c:pt idx="2">
                  <c:v>23318.172670137414</c:v>
                </c:pt>
                <c:pt idx="3">
                  <c:v>19727.977645931467</c:v>
                </c:pt>
                <c:pt idx="4">
                  <c:v>14528.86244038833</c:v>
                </c:pt>
                <c:pt idx="5">
                  <c:v>7889.5869602297771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6-6AC2-440D-9924-4B5B8AB7198A}"/>
            </c:ext>
          </c:extLst>
        </c:ser>
        <c:ser>
          <c:idx val="135"/>
          <c:order val="135"/>
          <c:tx>
            <c:strRef>
              <c:f>IRS!$B$159</c:f>
              <c:strCache>
                <c:ptCount val="1"/>
                <c:pt idx="0">
                  <c:v>Simulation 136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IRS!$G$159:$M$159</c:f>
              <c:numCache>
                <c:formatCode>0</c:formatCode>
                <c:ptCount val="7"/>
                <c:pt idx="0">
                  <c:v>25126.773965034612</c:v>
                </c:pt>
                <c:pt idx="1">
                  <c:v>25183.486811886614</c:v>
                </c:pt>
                <c:pt idx="2">
                  <c:v>23374.747755253789</c:v>
                </c:pt>
                <c:pt idx="3">
                  <c:v>19795.600885060616</c:v>
                </c:pt>
                <c:pt idx="4">
                  <c:v>14587.243411709296</c:v>
                </c:pt>
                <c:pt idx="5">
                  <c:v>7923.8173731484858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7-6AC2-440D-9924-4B5B8AB7198A}"/>
            </c:ext>
          </c:extLst>
        </c:ser>
        <c:ser>
          <c:idx val="136"/>
          <c:order val="136"/>
          <c:tx>
            <c:strRef>
              <c:f>IRS!$B$160</c:f>
              <c:strCache>
                <c:ptCount val="1"/>
                <c:pt idx="0">
                  <c:v>Simulation 137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IRS!$G$160:$M$160</c:f>
              <c:numCache>
                <c:formatCode>0</c:formatCode>
                <c:ptCount val="7"/>
                <c:pt idx="0">
                  <c:v>25046.119687380731</c:v>
                </c:pt>
                <c:pt idx="1">
                  <c:v>25109.024478369542</c:v>
                </c:pt>
                <c:pt idx="2">
                  <c:v>23308.556095438325</c:v>
                </c:pt>
                <c:pt idx="3">
                  <c:v>19740.657059429348</c:v>
                </c:pt>
                <c:pt idx="4">
                  <c:v>14547.031809321983</c:v>
                </c:pt>
                <c:pt idx="5">
                  <c:v>7901.9689231352995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8-6AC2-440D-9924-4B5B8AB7198A}"/>
            </c:ext>
          </c:extLst>
        </c:ser>
        <c:ser>
          <c:idx val="137"/>
          <c:order val="137"/>
          <c:tx>
            <c:strRef>
              <c:f>IRS!$B$161</c:f>
              <c:strCache>
                <c:ptCount val="1"/>
                <c:pt idx="0">
                  <c:v>Simulation 138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IRS!$G$161:$M$161</c:f>
              <c:numCache>
                <c:formatCode>0</c:formatCode>
                <c:ptCount val="7"/>
                <c:pt idx="0">
                  <c:v>23646.344461452914</c:v>
                </c:pt>
                <c:pt idx="1">
                  <c:v>24035.7007673099</c:v>
                </c:pt>
                <c:pt idx="2">
                  <c:v>22521.261510048418</c:v>
                </c:pt>
                <c:pt idx="3">
                  <c:v>19201.081390035739</c:v>
                </c:pt>
                <c:pt idx="4">
                  <c:v>14219.340112598806</c:v>
                </c:pt>
                <c:pt idx="5">
                  <c:v>7753.1199060919953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9-6AC2-440D-9924-4B5B8AB7198A}"/>
            </c:ext>
          </c:extLst>
        </c:ser>
        <c:ser>
          <c:idx val="138"/>
          <c:order val="138"/>
          <c:tx>
            <c:strRef>
              <c:f>IRS!$B$162</c:f>
              <c:strCache>
                <c:ptCount val="1"/>
                <c:pt idx="0">
                  <c:v>Simulation 139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IRS!$G$162:$M$162</c:f>
              <c:numCache>
                <c:formatCode>0</c:formatCode>
                <c:ptCount val="7"/>
                <c:pt idx="0">
                  <c:v>21291.177897157977</c:v>
                </c:pt>
                <c:pt idx="1">
                  <c:v>22152.135576304579</c:v>
                </c:pt>
                <c:pt idx="2">
                  <c:v>21075.786270524273</c:v>
                </c:pt>
                <c:pt idx="3">
                  <c:v>18161.664343635064</c:v>
                </c:pt>
                <c:pt idx="4">
                  <c:v>13555.327947656206</c:v>
                </c:pt>
                <c:pt idx="5">
                  <c:v>7435.1631027660969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A-6AC2-440D-9924-4B5B8AB7198A}"/>
            </c:ext>
          </c:extLst>
        </c:ser>
        <c:ser>
          <c:idx val="139"/>
          <c:order val="139"/>
          <c:tx>
            <c:strRef>
              <c:f>IRS!$B$163</c:f>
              <c:strCache>
                <c:ptCount val="1"/>
                <c:pt idx="0">
                  <c:v>Simulation 140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IRS!$G$163:$M$163</c:f>
              <c:numCache>
                <c:formatCode>0</c:formatCode>
                <c:ptCount val="7"/>
                <c:pt idx="0">
                  <c:v>19708.469148729007</c:v>
                </c:pt>
                <c:pt idx="1">
                  <c:v>20845.17458226877</c:v>
                </c:pt>
                <c:pt idx="2">
                  <c:v>20049.728691025775</c:v>
                </c:pt>
                <c:pt idx="3">
                  <c:v>17413.455929437117</c:v>
                </c:pt>
                <c:pt idx="4">
                  <c:v>13074.607971013658</c:v>
                </c:pt>
                <c:pt idx="5">
                  <c:v>7205.4372399057183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B-6AC2-440D-9924-4B5B8AB7198A}"/>
            </c:ext>
          </c:extLst>
        </c:ser>
        <c:ser>
          <c:idx val="140"/>
          <c:order val="140"/>
          <c:tx>
            <c:strRef>
              <c:f>IRS!$B$164</c:f>
              <c:strCache>
                <c:ptCount val="1"/>
                <c:pt idx="0">
                  <c:v>Simulation 141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IRS!$G$164:$M$164</c:f>
              <c:numCache>
                <c:formatCode>0</c:formatCode>
                <c:ptCount val="7"/>
                <c:pt idx="0">
                  <c:v>20794.244530906224</c:v>
                </c:pt>
                <c:pt idx="1">
                  <c:v>21735.953650799376</c:v>
                </c:pt>
                <c:pt idx="2">
                  <c:v>20749.871840782176</c:v>
                </c:pt>
                <c:pt idx="3">
                  <c:v>17928.300355504594</c:v>
                </c:pt>
                <c:pt idx="4">
                  <c:v>13410.42425293421</c:v>
                </c:pt>
                <c:pt idx="5">
                  <c:v>7369.3662212661975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C-6AC2-440D-9924-4B5B8AB7198A}"/>
            </c:ext>
          </c:extLst>
        </c:ser>
        <c:ser>
          <c:idx val="141"/>
          <c:order val="141"/>
          <c:tx>
            <c:strRef>
              <c:f>IRS!$B$165</c:f>
              <c:strCache>
                <c:ptCount val="1"/>
                <c:pt idx="0">
                  <c:v>Simulation 142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IRS!$G$165:$M$165</c:f>
              <c:numCache>
                <c:formatCode>0</c:formatCode>
                <c:ptCount val="7"/>
                <c:pt idx="0">
                  <c:v>18672.662484240325</c:v>
                </c:pt>
                <c:pt idx="1">
                  <c:v>19977.969945156998</c:v>
                </c:pt>
                <c:pt idx="2">
                  <c:v>19363.85824672614</c:v>
                </c:pt>
                <c:pt idx="3">
                  <c:v>16912.516279135947</c:v>
                </c:pt>
                <c:pt idx="4">
                  <c:v>12753.998047902311</c:v>
                </c:pt>
                <c:pt idx="5">
                  <c:v>7053.6167404226353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D-6AC2-440D-9924-4B5B8AB7198A}"/>
            </c:ext>
          </c:extLst>
        </c:ser>
        <c:ser>
          <c:idx val="142"/>
          <c:order val="142"/>
          <c:tx>
            <c:strRef>
              <c:f>IRS!$B$166</c:f>
              <c:strCache>
                <c:ptCount val="1"/>
                <c:pt idx="0">
                  <c:v>Simulation 143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IRS!$G$166:$M$166</c:f>
              <c:numCache>
                <c:formatCode>0</c:formatCode>
                <c:ptCount val="7"/>
                <c:pt idx="0">
                  <c:v>20396.626814463798</c:v>
                </c:pt>
                <c:pt idx="1">
                  <c:v>21462.91936856963</c:v>
                </c:pt>
                <c:pt idx="2">
                  <c:v>20576.327316240648</c:v>
                </c:pt>
                <c:pt idx="3">
                  <c:v>17830.219679979331</c:v>
                </c:pt>
                <c:pt idx="4">
                  <c:v>13365.192221283472</c:v>
                </c:pt>
                <c:pt idx="5">
                  <c:v>7356.1250706313622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E-6AC2-440D-9924-4B5B8AB7198A}"/>
            </c:ext>
          </c:extLst>
        </c:ser>
        <c:ser>
          <c:idx val="143"/>
          <c:order val="143"/>
          <c:tx>
            <c:strRef>
              <c:f>IRS!$B$167</c:f>
              <c:strCache>
                <c:ptCount val="1"/>
                <c:pt idx="0">
                  <c:v>Simulation 144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IRS!$G$167:$M$167</c:f>
              <c:numCache>
                <c:formatCode>0</c:formatCode>
                <c:ptCount val="7"/>
                <c:pt idx="0">
                  <c:v>24225.325460754051</c:v>
                </c:pt>
                <c:pt idx="1">
                  <c:v>24542.343174038826</c:v>
                </c:pt>
                <c:pt idx="2">
                  <c:v>22939.236672626233</c:v>
                </c:pt>
                <c:pt idx="3">
                  <c:v>19519.7553796053</c:v>
                </c:pt>
                <c:pt idx="4">
                  <c:v>14432.816847492466</c:v>
                </c:pt>
                <c:pt idx="5">
                  <c:v>7859.3332019641748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8F-6AC2-440D-9924-4B5B8AB7198A}"/>
            </c:ext>
          </c:extLst>
        </c:ser>
        <c:ser>
          <c:idx val="144"/>
          <c:order val="144"/>
          <c:tx>
            <c:strRef>
              <c:f>IRS!$B$168</c:f>
              <c:strCache>
                <c:ptCount val="1"/>
                <c:pt idx="0">
                  <c:v>Simulation 145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IRS!$G$168:$M$168</c:f>
              <c:numCache>
                <c:formatCode>0</c:formatCode>
                <c:ptCount val="7"/>
                <c:pt idx="0">
                  <c:v>21085.132084904009</c:v>
                </c:pt>
                <c:pt idx="1">
                  <c:v>22053.970221896001</c:v>
                </c:pt>
                <c:pt idx="2">
                  <c:v>21053.746108520605</c:v>
                </c:pt>
                <c:pt idx="3">
                  <c:v>18185.559806712074</c:v>
                </c:pt>
                <c:pt idx="4">
                  <c:v>13596.739203708317</c:v>
                </c:pt>
                <c:pt idx="5">
                  <c:v>7467.7543068767955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0-6AC2-440D-9924-4B5B8AB7198A}"/>
            </c:ext>
          </c:extLst>
        </c:ser>
        <c:ser>
          <c:idx val="145"/>
          <c:order val="145"/>
          <c:tx>
            <c:strRef>
              <c:f>IRS!$B$169</c:f>
              <c:strCache>
                <c:ptCount val="1"/>
                <c:pt idx="0">
                  <c:v>Simulation 146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IRS!$G$169:$M$169</c:f>
              <c:numCache>
                <c:formatCode>0</c:formatCode>
                <c:ptCount val="7"/>
                <c:pt idx="0">
                  <c:v>25962.128958540547</c:v>
                </c:pt>
                <c:pt idx="1">
                  <c:v>26035.799814222395</c:v>
                </c:pt>
                <c:pt idx="2">
                  <c:v>24158.128815585562</c:v>
                </c:pt>
                <c:pt idx="3">
                  <c:v>20442.957014343279</c:v>
                </c:pt>
                <c:pt idx="4">
                  <c:v>15048.708741338603</c:v>
                </c:pt>
                <c:pt idx="5">
                  <c:v>8164.9482078587316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1-6AC2-440D-9924-4B5B8AB7198A}"/>
            </c:ext>
          </c:extLst>
        </c:ser>
        <c:ser>
          <c:idx val="146"/>
          <c:order val="146"/>
          <c:tx>
            <c:strRef>
              <c:f>IRS!$B$170</c:f>
              <c:strCache>
                <c:ptCount val="1"/>
                <c:pt idx="0">
                  <c:v>Simulation 147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IRS!$G$170:$M$170</c:f>
              <c:numCache>
                <c:formatCode>0</c:formatCode>
                <c:ptCount val="7"/>
                <c:pt idx="0">
                  <c:v>26954.159121291599</c:v>
                </c:pt>
                <c:pt idx="1">
                  <c:v>26852.652547938902</c:v>
                </c:pt>
                <c:pt idx="2">
                  <c:v>24797.272843812359</c:v>
                </c:pt>
                <c:pt idx="3">
                  <c:v>20907.360547629305</c:v>
                </c:pt>
                <c:pt idx="4">
                  <c:v>15346.010944520574</c:v>
                </c:pt>
                <c:pt idx="5">
                  <c:v>8306.5237334309095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2-6AC2-440D-9924-4B5B8AB7198A}"/>
            </c:ext>
          </c:extLst>
        </c:ser>
        <c:ser>
          <c:idx val="147"/>
          <c:order val="147"/>
          <c:tx>
            <c:strRef>
              <c:f>IRS!$B$171</c:f>
              <c:strCache>
                <c:ptCount val="1"/>
                <c:pt idx="0">
                  <c:v>Simulation 148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IRS!$G$171:$M$171</c:f>
              <c:numCache>
                <c:formatCode>0</c:formatCode>
                <c:ptCount val="7"/>
                <c:pt idx="0">
                  <c:v>27382.290187041719</c:v>
                </c:pt>
                <c:pt idx="1">
                  <c:v>27179.234993901893</c:v>
                </c:pt>
                <c:pt idx="2">
                  <c:v>25033.549194252068</c:v>
                </c:pt>
                <c:pt idx="3">
                  <c:v>21065.610236532517</c:v>
                </c:pt>
                <c:pt idx="4">
                  <c:v>15438.984176223043</c:v>
                </c:pt>
                <c:pt idx="5">
                  <c:v>8346.9137539722688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3-6AC2-440D-9924-4B5B8AB7198A}"/>
            </c:ext>
          </c:extLst>
        </c:ser>
        <c:ser>
          <c:idx val="148"/>
          <c:order val="148"/>
          <c:tx>
            <c:strRef>
              <c:f>IRS!$B$172</c:f>
              <c:strCache>
                <c:ptCount val="1"/>
                <c:pt idx="0">
                  <c:v>Simulation 149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IRS!$G$172:$M$172</c:f>
              <c:numCache>
                <c:formatCode>0</c:formatCode>
                <c:ptCount val="7"/>
                <c:pt idx="0">
                  <c:v>26898.150298731896</c:v>
                </c:pt>
                <c:pt idx="1">
                  <c:v>26769.71699099688</c:v>
                </c:pt>
                <c:pt idx="2">
                  <c:v>24704.644907560512</c:v>
                </c:pt>
                <c:pt idx="3">
                  <c:v>20820.501713341888</c:v>
                </c:pt>
                <c:pt idx="4">
                  <c:v>15278.175908831869</c:v>
                </c:pt>
                <c:pt idx="5">
                  <c:v>8268.4914373425581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4-6AC2-440D-9924-4B5B8AB7198A}"/>
            </c:ext>
          </c:extLst>
        </c:ser>
        <c:ser>
          <c:idx val="149"/>
          <c:order val="149"/>
          <c:tx>
            <c:strRef>
              <c:f>IRS!$B$173</c:f>
              <c:strCache>
                <c:ptCount val="1"/>
                <c:pt idx="0">
                  <c:v>Simulation 150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IRS!$G$173:$M$173</c:f>
              <c:numCache>
                <c:formatCode>0</c:formatCode>
                <c:ptCount val="7"/>
                <c:pt idx="0">
                  <c:v>25160.253705580846</c:v>
                </c:pt>
                <c:pt idx="1">
                  <c:v>25336.865842688709</c:v>
                </c:pt>
                <c:pt idx="2">
                  <c:v>23579.789244986412</c:v>
                </c:pt>
                <c:pt idx="3">
                  <c:v>19999.090899506249</c:v>
                </c:pt>
                <c:pt idx="4">
                  <c:v>14748.95535703267</c:v>
                </c:pt>
                <c:pt idx="5">
                  <c:v>8014.55222513642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5-6AC2-440D-9924-4B5B8AB7198A}"/>
            </c:ext>
          </c:extLst>
        </c:ser>
        <c:ser>
          <c:idx val="150"/>
          <c:order val="150"/>
          <c:tx>
            <c:strRef>
              <c:f>IRS!$B$174</c:f>
              <c:strCache>
                <c:ptCount val="1"/>
                <c:pt idx="0">
                  <c:v>Simulation 151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IRS!$G$174:$M$174</c:f>
              <c:numCache>
                <c:formatCode>0</c:formatCode>
                <c:ptCount val="7"/>
                <c:pt idx="0">
                  <c:v>24379.766188063946</c:v>
                </c:pt>
                <c:pt idx="1">
                  <c:v>24706.241285686992</c:v>
                </c:pt>
                <c:pt idx="2">
                  <c:v>23089.260150123311</c:v>
                </c:pt>
                <c:pt idx="3">
                  <c:v>19640.574938081074</c:v>
                </c:pt>
                <c:pt idx="4">
                  <c:v>14515.654237343313</c:v>
                </c:pt>
                <c:pt idx="5">
                  <c:v>7900.5688429841075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6-6AC2-440D-9924-4B5B8AB7198A}"/>
            </c:ext>
          </c:extLst>
        </c:ser>
        <c:ser>
          <c:idx val="151"/>
          <c:order val="151"/>
          <c:tx>
            <c:strRef>
              <c:f>IRS!$B$175</c:f>
              <c:strCache>
                <c:ptCount val="1"/>
                <c:pt idx="0">
                  <c:v>Simulation 152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IRS!$G$175:$M$175</c:f>
              <c:numCache>
                <c:formatCode>0</c:formatCode>
                <c:ptCount val="7"/>
                <c:pt idx="0">
                  <c:v>27423.917735789619</c:v>
                </c:pt>
                <c:pt idx="1">
                  <c:v>27333.161939302325</c:v>
                </c:pt>
                <c:pt idx="2">
                  <c:v>25268.275303669874</c:v>
                </c:pt>
                <c:pt idx="3">
                  <c:v>21336.930034079531</c:v>
                </c:pt>
                <c:pt idx="4">
                  <c:v>15689.523870607372</c:v>
                </c:pt>
                <c:pt idx="5">
                  <c:v>8509.2190668113362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7-6AC2-440D-9924-4B5B8AB7198A}"/>
            </c:ext>
          </c:extLst>
        </c:ser>
        <c:ser>
          <c:idx val="152"/>
          <c:order val="152"/>
          <c:tx>
            <c:strRef>
              <c:f>IRS!$B$176</c:f>
              <c:strCache>
                <c:ptCount val="1"/>
                <c:pt idx="0">
                  <c:v>Simulation 153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IRS!$G$176:$M$176</c:f>
              <c:numCache>
                <c:formatCode>0</c:formatCode>
                <c:ptCount val="7"/>
                <c:pt idx="0">
                  <c:v>33692.868023734845</c:v>
                </c:pt>
                <c:pt idx="1">
                  <c:v>32399.902790428147</c:v>
                </c:pt>
                <c:pt idx="2">
                  <c:v>29164.8219249295</c:v>
                </c:pt>
                <c:pt idx="3">
                  <c:v>24139.709707007718</c:v>
                </c:pt>
                <c:pt idx="4">
                  <c:v>17477.554668529894</c:v>
                </c:pt>
                <c:pt idx="5">
                  <c:v>9362.9152340282744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8-6AC2-440D-9924-4B5B8AB7198A}"/>
            </c:ext>
          </c:extLst>
        </c:ser>
        <c:ser>
          <c:idx val="153"/>
          <c:order val="153"/>
          <c:tx>
            <c:strRef>
              <c:f>IRS!$B$177</c:f>
              <c:strCache>
                <c:ptCount val="1"/>
                <c:pt idx="0">
                  <c:v>Simulation 154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IRS!$G$177:$M$177</c:f>
              <c:numCache>
                <c:formatCode>0</c:formatCode>
                <c:ptCount val="7"/>
                <c:pt idx="0">
                  <c:v>35858.24989811227</c:v>
                </c:pt>
                <c:pt idx="1">
                  <c:v>34203.504240584916</c:v>
                </c:pt>
                <c:pt idx="2">
                  <c:v>30585.22629906148</c:v>
                </c:pt>
                <c:pt idx="3">
                  <c:v>25179.325283463295</c:v>
                </c:pt>
                <c:pt idx="4">
                  <c:v>18148.43926756387</c:v>
                </c:pt>
                <c:pt idx="5">
                  <c:v>9685.1646148622604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9-6AC2-440D-9924-4B5B8AB7198A}"/>
            </c:ext>
          </c:extLst>
        </c:ser>
        <c:ser>
          <c:idx val="154"/>
          <c:order val="154"/>
          <c:tx>
            <c:strRef>
              <c:f>IRS!$B$178</c:f>
              <c:strCache>
                <c:ptCount val="1"/>
                <c:pt idx="0">
                  <c:v>Simulation 155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IRS!$G$178:$M$178</c:f>
              <c:numCache>
                <c:formatCode>0</c:formatCode>
                <c:ptCount val="7"/>
                <c:pt idx="0">
                  <c:v>36452.548930685181</c:v>
                </c:pt>
                <c:pt idx="1">
                  <c:v>34706.527733275288</c:v>
                </c:pt>
                <c:pt idx="2">
                  <c:v>30988.776435974534</c:v>
                </c:pt>
                <c:pt idx="3">
                  <c:v>25480.811966736517</c:v>
                </c:pt>
                <c:pt idx="4">
                  <c:v>18347.413288153173</c:v>
                </c:pt>
                <c:pt idx="5">
                  <c:v>9783.0872376005082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A-6AC2-440D-9924-4B5B8AB7198A}"/>
            </c:ext>
          </c:extLst>
        </c:ser>
        <c:ser>
          <c:idx val="155"/>
          <c:order val="155"/>
          <c:tx>
            <c:strRef>
              <c:f>IRS!$B$179</c:f>
              <c:strCache>
                <c:ptCount val="1"/>
                <c:pt idx="0">
                  <c:v>Simulation 156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IRS!$G$179:$M$179</c:f>
              <c:numCache>
                <c:formatCode>0</c:formatCode>
                <c:ptCount val="7"/>
                <c:pt idx="0">
                  <c:v>40219.770384831572</c:v>
                </c:pt>
                <c:pt idx="1">
                  <c:v>37759.838538432101</c:v>
                </c:pt>
                <c:pt idx="2">
                  <c:v>33335.898813668784</c:v>
                </c:pt>
                <c:pt idx="3">
                  <c:v>27163.962957531101</c:v>
                </c:pt>
                <c:pt idx="4">
                  <c:v>19415.263217684245</c:v>
                </c:pt>
                <c:pt idx="5">
                  <c:v>10288.947845890452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B-6AC2-440D-9924-4B5B8AB7198A}"/>
            </c:ext>
          </c:extLst>
        </c:ser>
        <c:ser>
          <c:idx val="156"/>
          <c:order val="156"/>
          <c:tx>
            <c:strRef>
              <c:f>IRS!$B$180</c:f>
              <c:strCache>
                <c:ptCount val="1"/>
                <c:pt idx="0">
                  <c:v>Simulation 157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IRS!$G$180:$M$180</c:f>
              <c:numCache>
                <c:formatCode>0</c:formatCode>
                <c:ptCount val="7"/>
                <c:pt idx="0">
                  <c:v>42168.109397951506</c:v>
                </c:pt>
                <c:pt idx="1">
                  <c:v>39354.438562466574</c:v>
                </c:pt>
                <c:pt idx="2">
                  <c:v>34572.836613955085</c:v>
                </c:pt>
                <c:pt idx="3">
                  <c:v>28058.425496945667</c:v>
                </c:pt>
                <c:pt idx="4">
                  <c:v>19987.142924299504</c:v>
                </c:pt>
                <c:pt idx="5">
                  <c:v>10561.803889115954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C-6AC2-440D-9924-4B5B8AB7198A}"/>
            </c:ext>
          </c:extLst>
        </c:ser>
        <c:ser>
          <c:idx val="157"/>
          <c:order val="157"/>
          <c:tx>
            <c:strRef>
              <c:f>IRS!$B$181</c:f>
              <c:strCache>
                <c:ptCount val="1"/>
                <c:pt idx="0">
                  <c:v>Simulation 158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IRS!$G$181:$M$181</c:f>
              <c:numCache>
                <c:formatCode>0</c:formatCode>
                <c:ptCount val="7"/>
                <c:pt idx="0">
                  <c:v>42048.354091014116</c:v>
                </c:pt>
                <c:pt idx="1">
                  <c:v>39264.122228485983</c:v>
                </c:pt>
                <c:pt idx="2">
                  <c:v>34509.310257771038</c:v>
                </c:pt>
                <c:pt idx="3">
                  <c:v>28017.533407707957</c:v>
                </c:pt>
                <c:pt idx="4">
                  <c:v>19964.452603080099</c:v>
                </c:pt>
                <c:pt idx="5">
                  <c:v>10552.737171579021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D-6AC2-440D-9924-4B5B8AB7198A}"/>
            </c:ext>
          </c:extLst>
        </c:ser>
        <c:ser>
          <c:idx val="158"/>
          <c:order val="158"/>
          <c:tx>
            <c:strRef>
              <c:f>IRS!$B$182</c:f>
              <c:strCache>
                <c:ptCount val="1"/>
                <c:pt idx="0">
                  <c:v>Simulation 159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IRS!$G$182:$M$182</c:f>
              <c:numCache>
                <c:formatCode>0</c:formatCode>
                <c:ptCount val="7"/>
                <c:pt idx="0">
                  <c:v>44762.275270115504</c:v>
                </c:pt>
                <c:pt idx="1">
                  <c:v>41515.913142888778</c:v>
                </c:pt>
                <c:pt idx="2">
                  <c:v>36276.929572528104</c:v>
                </c:pt>
                <c:pt idx="3">
                  <c:v>29308.578566928372</c:v>
                </c:pt>
                <c:pt idx="4">
                  <c:v>20796.735518618945</c:v>
                </c:pt>
                <c:pt idx="5">
                  <c:v>10952.499253771724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E-6AC2-440D-9924-4B5B8AB7198A}"/>
            </c:ext>
          </c:extLst>
        </c:ser>
        <c:ser>
          <c:idx val="159"/>
          <c:order val="159"/>
          <c:tx>
            <c:strRef>
              <c:f>IRS!$B$183</c:f>
              <c:strCache>
                <c:ptCount val="1"/>
                <c:pt idx="0">
                  <c:v>Simulation 160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IRS!$G$183:$M$183</c:f>
              <c:numCache>
                <c:formatCode>0</c:formatCode>
                <c:ptCount val="7"/>
                <c:pt idx="0">
                  <c:v>46352.382224820736</c:v>
                </c:pt>
                <c:pt idx="1">
                  <c:v>42864.004733864327</c:v>
                </c:pt>
                <c:pt idx="2">
                  <c:v>37361.349174180788</c:v>
                </c:pt>
                <c:pt idx="3">
                  <c:v>30121.856923744126</c:v>
                </c:pt>
                <c:pt idx="4">
                  <c:v>21336.009245334961</c:v>
                </c:pt>
                <c:pt idx="5">
                  <c:v>11219.313834990147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F-6AC2-440D-9924-4B5B8AB7198A}"/>
            </c:ext>
          </c:extLst>
        </c:ser>
        <c:ser>
          <c:idx val="160"/>
          <c:order val="160"/>
          <c:tx>
            <c:strRef>
              <c:f>IRS!$B$184</c:f>
              <c:strCache>
                <c:ptCount val="1"/>
                <c:pt idx="0">
                  <c:v>Simulation 161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IRS!$G$184:$M$184</c:f>
              <c:numCache>
                <c:formatCode>0</c:formatCode>
                <c:ptCount val="7"/>
                <c:pt idx="0">
                  <c:v>46062.235348805378</c:v>
                </c:pt>
                <c:pt idx="1">
                  <c:v>42638.43648314329</c:v>
                </c:pt>
                <c:pt idx="2">
                  <c:v>37197.260192165544</c:v>
                </c:pt>
                <c:pt idx="3">
                  <c:v>30012.021814132378</c:v>
                </c:pt>
                <c:pt idx="4">
                  <c:v>21272.028403485267</c:v>
                </c:pt>
                <c:pt idx="5">
                  <c:v>11192.040798005695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0-6AC2-440D-9924-4B5B8AB7198A}"/>
            </c:ext>
          </c:extLst>
        </c:ser>
        <c:ser>
          <c:idx val="161"/>
          <c:order val="161"/>
          <c:tx>
            <c:strRef>
              <c:f>IRS!$B$185</c:f>
              <c:strCache>
                <c:ptCount val="1"/>
                <c:pt idx="0">
                  <c:v>Simulation 162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IRS!$G$185:$M$185</c:f>
              <c:numCache>
                <c:formatCode>0</c:formatCode>
                <c:ptCount val="7"/>
                <c:pt idx="0">
                  <c:v>43787.152501090728</c:v>
                </c:pt>
                <c:pt idx="1">
                  <c:v>40750.802082743954</c:v>
                </c:pt>
                <c:pt idx="2">
                  <c:v>35716.459658267529</c:v>
                </c:pt>
                <c:pt idx="3">
                  <c:v>28931.826499384799</c:v>
                </c:pt>
                <c:pt idx="4">
                  <c:v>20576.995234537189</c:v>
                </c:pt>
                <c:pt idx="5">
                  <c:v>10859.05156699707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1-6AC2-440D-9924-4B5B8AB7198A}"/>
            </c:ext>
          </c:extLst>
        </c:ser>
        <c:ser>
          <c:idx val="162"/>
          <c:order val="162"/>
          <c:tx>
            <c:strRef>
              <c:f>IRS!$B$186</c:f>
              <c:strCache>
                <c:ptCount val="1"/>
                <c:pt idx="0">
                  <c:v>Simulation 163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IRS!$G$186:$M$186</c:f>
              <c:numCache>
                <c:formatCode>0</c:formatCode>
                <c:ptCount val="7"/>
                <c:pt idx="0">
                  <c:v>46221.938145912027</c:v>
                </c:pt>
                <c:pt idx="1">
                  <c:v>42714.519515425811</c:v>
                </c:pt>
                <c:pt idx="2">
                  <c:v>37214.702038003292</c:v>
                </c:pt>
                <c:pt idx="3">
                  <c:v>29996.16845145791</c:v>
                </c:pt>
                <c:pt idx="4">
                  <c:v>21244.690886427379</c:v>
                </c:pt>
                <c:pt idx="5">
                  <c:v>11171.251630067507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2-6AC2-440D-9924-4B5B8AB7198A}"/>
            </c:ext>
          </c:extLst>
        </c:ser>
        <c:ser>
          <c:idx val="163"/>
          <c:order val="163"/>
          <c:tx>
            <c:strRef>
              <c:f>IRS!$B$187</c:f>
              <c:strCache>
                <c:ptCount val="1"/>
                <c:pt idx="0">
                  <c:v>Simulation 164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IRS!$G$187:$M$187</c:f>
              <c:numCache>
                <c:formatCode>0</c:formatCode>
                <c:ptCount val="7"/>
                <c:pt idx="0">
                  <c:v>45606.988724569179</c:v>
                </c:pt>
                <c:pt idx="1">
                  <c:v>42220.227732702275</c:v>
                </c:pt>
                <c:pt idx="2">
                  <c:v>36836.550324830954</c:v>
                </c:pt>
                <c:pt idx="3">
                  <c:v>29725.205314248316</c:v>
                </c:pt>
                <c:pt idx="4">
                  <c:v>21072.290866348649</c:v>
                </c:pt>
                <c:pt idx="5">
                  <c:v>11089.07689949236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3-6AC2-440D-9924-4B5B8AB7198A}"/>
            </c:ext>
          </c:extLst>
        </c:ser>
        <c:ser>
          <c:idx val="164"/>
          <c:order val="164"/>
          <c:tx>
            <c:strRef>
              <c:f>IRS!$B$188</c:f>
              <c:strCache>
                <c:ptCount val="1"/>
                <c:pt idx="0">
                  <c:v>Simulation 165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IRS!$G$188:$M$188</c:f>
              <c:numCache>
                <c:formatCode>0</c:formatCode>
                <c:ptCount val="7"/>
                <c:pt idx="0">
                  <c:v>45237.098340126991</c:v>
                </c:pt>
                <c:pt idx="1">
                  <c:v>41906.782330563568</c:v>
                </c:pt>
                <c:pt idx="2">
                  <c:v>36582.429476770965</c:v>
                </c:pt>
                <c:pt idx="3">
                  <c:v>29531.892188112604</c:v>
                </c:pt>
                <c:pt idx="4">
                  <c:v>20941.658471348121</c:v>
                </c:pt>
                <c:pt idx="5">
                  <c:v>11022.991256980171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4-6AC2-440D-9924-4B5B8AB7198A}"/>
            </c:ext>
          </c:extLst>
        </c:ser>
        <c:ser>
          <c:idx val="165"/>
          <c:order val="165"/>
          <c:tx>
            <c:strRef>
              <c:f>IRS!$B$189</c:f>
              <c:strCache>
                <c:ptCount val="1"/>
                <c:pt idx="0">
                  <c:v>Simulation 166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IRS!$G$189:$M$189</c:f>
              <c:numCache>
                <c:formatCode>0</c:formatCode>
                <c:ptCount val="7"/>
                <c:pt idx="0">
                  <c:v>44804.001866474289</c:v>
                </c:pt>
                <c:pt idx="1">
                  <c:v>41471.044884367628</c:v>
                </c:pt>
                <c:pt idx="2">
                  <c:v>36185.837137684131</c:v>
                </c:pt>
                <c:pt idx="3">
                  <c:v>29207.134747724947</c:v>
                </c:pt>
                <c:pt idx="4">
                  <c:v>20712.379424862575</c:v>
                </c:pt>
                <c:pt idx="5">
                  <c:v>10904.448223626481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5-6AC2-440D-9924-4B5B8AB7198A}"/>
            </c:ext>
          </c:extLst>
        </c:ser>
        <c:ser>
          <c:idx val="166"/>
          <c:order val="166"/>
          <c:tx>
            <c:strRef>
              <c:f>IRS!$B$190</c:f>
              <c:strCache>
                <c:ptCount val="1"/>
                <c:pt idx="0">
                  <c:v>Simulation 167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IRS!$G$190:$M$190</c:f>
              <c:numCache>
                <c:formatCode>0</c:formatCode>
                <c:ptCount val="7"/>
                <c:pt idx="0">
                  <c:v>44151.431917642942</c:v>
                </c:pt>
                <c:pt idx="1">
                  <c:v>40919.762900023998</c:v>
                </c:pt>
                <c:pt idx="2">
                  <c:v>35745.049180461923</c:v>
                </c:pt>
                <c:pt idx="3">
                  <c:v>28879.284572856977</c:v>
                </c:pt>
                <c:pt idx="4">
                  <c:v>20497.222053195415</c:v>
                </c:pt>
                <c:pt idx="5">
                  <c:v>10799.280523180914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6-6AC2-440D-9924-4B5B8AB7198A}"/>
            </c:ext>
          </c:extLst>
        </c:ser>
        <c:ser>
          <c:idx val="167"/>
          <c:order val="167"/>
          <c:tx>
            <c:strRef>
              <c:f>IRS!$B$191</c:f>
              <c:strCache>
                <c:ptCount val="1"/>
                <c:pt idx="0">
                  <c:v>Simulation 168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IRS!$G$191:$M$191</c:f>
              <c:numCache>
                <c:formatCode>0</c:formatCode>
                <c:ptCount val="7"/>
                <c:pt idx="0">
                  <c:v>42288.743369303316</c:v>
                </c:pt>
                <c:pt idx="1">
                  <c:v>39368.180550690435</c:v>
                </c:pt>
                <c:pt idx="2">
                  <c:v>34521.708750636957</c:v>
                </c:pt>
                <c:pt idx="3">
                  <c:v>27981.60630838748</c:v>
                </c:pt>
                <c:pt idx="4">
                  <c:v>19915.739400536415</c:v>
                </c:pt>
                <c:pt idx="5">
                  <c:v>10518.612542407856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7-6AC2-440D-9924-4B5B8AB7198A}"/>
            </c:ext>
          </c:extLst>
        </c:ser>
        <c:ser>
          <c:idx val="168"/>
          <c:order val="168"/>
          <c:tx>
            <c:strRef>
              <c:f>IRS!$B$192</c:f>
              <c:strCache>
                <c:ptCount val="1"/>
                <c:pt idx="0">
                  <c:v>Simulation 169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IRS!$G$192:$M$192</c:f>
              <c:numCache>
                <c:formatCode>0</c:formatCode>
                <c:ptCount val="7"/>
                <c:pt idx="0">
                  <c:v>43803.904854523906</c:v>
                </c:pt>
                <c:pt idx="1">
                  <c:v>40640.319215058691</c:v>
                </c:pt>
                <c:pt idx="2">
                  <c:v>35533.49210652183</c:v>
                </c:pt>
                <c:pt idx="3">
                  <c:v>28730.990214844722</c:v>
                </c:pt>
                <c:pt idx="4">
                  <c:v>20406.021751014501</c:v>
                </c:pt>
                <c:pt idx="5">
                  <c:v>10757.781592906838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8-6AC2-440D-9924-4B5B8AB7198A}"/>
            </c:ext>
          </c:extLst>
        </c:ser>
        <c:ser>
          <c:idx val="169"/>
          <c:order val="169"/>
          <c:tx>
            <c:strRef>
              <c:f>IRS!$B$193</c:f>
              <c:strCache>
                <c:ptCount val="1"/>
                <c:pt idx="0">
                  <c:v>Simulation 170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IRS!$G$193:$M$193</c:f>
              <c:numCache>
                <c:formatCode>0</c:formatCode>
                <c:ptCount val="7"/>
                <c:pt idx="0">
                  <c:v>46122.38532436813</c:v>
                </c:pt>
                <c:pt idx="1">
                  <c:v>42496.009858236212</c:v>
                </c:pt>
                <c:pt idx="2">
                  <c:v>36940.663446872939</c:v>
                </c:pt>
                <c:pt idx="3">
                  <c:v>29726.304802675375</c:v>
                </c:pt>
                <c:pt idx="4">
                  <c:v>21028.794234842549</c:v>
                </c:pt>
                <c:pt idx="5">
                  <c:v>11048.71611961678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9-6AC2-440D-9924-4B5B8AB7198A}"/>
            </c:ext>
          </c:extLst>
        </c:ser>
        <c:ser>
          <c:idx val="170"/>
          <c:order val="170"/>
          <c:tx>
            <c:strRef>
              <c:f>IRS!$B$194</c:f>
              <c:strCache>
                <c:ptCount val="1"/>
                <c:pt idx="0">
                  <c:v>Simulation 171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IRS!$G$194:$M$194</c:f>
              <c:numCache>
                <c:formatCode>0</c:formatCode>
                <c:ptCount val="7"/>
                <c:pt idx="0">
                  <c:v>45911.268069655576</c:v>
                </c:pt>
                <c:pt idx="1">
                  <c:v>42341.349815958361</c:v>
                </c:pt>
                <c:pt idx="2">
                  <c:v>36833.57587577666</c:v>
                </c:pt>
                <c:pt idx="3">
                  <c:v>29657.104416995149</c:v>
                </c:pt>
                <c:pt idx="4">
                  <c:v>20989.211267997998</c:v>
                </c:pt>
                <c:pt idx="5">
                  <c:v>11031.79465515387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A-6AC2-440D-9924-4B5B8AB7198A}"/>
            </c:ext>
          </c:extLst>
        </c:ser>
        <c:ser>
          <c:idx val="171"/>
          <c:order val="171"/>
          <c:tx>
            <c:strRef>
              <c:f>IRS!$B$195</c:f>
              <c:strCache>
                <c:ptCount val="1"/>
                <c:pt idx="0">
                  <c:v>Simulation 172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IRS!$G$195:$M$195</c:f>
              <c:numCache>
                <c:formatCode>0</c:formatCode>
                <c:ptCount val="7"/>
                <c:pt idx="0">
                  <c:v>46203.394379983423</c:v>
                </c:pt>
                <c:pt idx="1">
                  <c:v>42550.721090397994</c:v>
                </c:pt>
                <c:pt idx="2">
                  <c:v>36974.015259023668</c:v>
                </c:pt>
                <c:pt idx="3">
                  <c:v>29744.104766748838</c:v>
                </c:pt>
                <c:pt idx="4">
                  <c:v>21036.336770227706</c:v>
                </c:pt>
                <c:pt idx="5">
                  <c:v>11050.58822183659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B-6AC2-440D-9924-4B5B8AB7198A}"/>
            </c:ext>
          </c:extLst>
        </c:ser>
        <c:ser>
          <c:idx val="172"/>
          <c:order val="172"/>
          <c:tx>
            <c:strRef>
              <c:f>IRS!$B$196</c:f>
              <c:strCache>
                <c:ptCount val="1"/>
                <c:pt idx="0">
                  <c:v>Simulation 173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IRS!$G$196:$M$196</c:f>
              <c:numCache>
                <c:formatCode>0</c:formatCode>
                <c:ptCount val="7"/>
                <c:pt idx="0">
                  <c:v>50578.989635231432</c:v>
                </c:pt>
                <c:pt idx="1">
                  <c:v>46110.091006763665</c:v>
                </c:pt>
                <c:pt idx="2">
                  <c:v>39722.493529708874</c:v>
                </c:pt>
                <c:pt idx="3">
                  <c:v>31726.907060310477</c:v>
                </c:pt>
                <c:pt idx="4">
                  <c:v>22303.61408333182</c:v>
                </c:pt>
                <c:pt idx="5">
                  <c:v>11656.147151838559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C-6AC2-440D-9924-4B5B8AB7198A}"/>
            </c:ext>
          </c:extLst>
        </c:ser>
        <c:ser>
          <c:idx val="173"/>
          <c:order val="173"/>
          <c:tx>
            <c:strRef>
              <c:f>IRS!$B$197</c:f>
              <c:strCache>
                <c:ptCount val="1"/>
                <c:pt idx="0">
                  <c:v>Simulation 174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IRS!$G$197:$M$197</c:f>
              <c:numCache>
                <c:formatCode>0</c:formatCode>
                <c:ptCount val="7"/>
                <c:pt idx="0">
                  <c:v>48709.330831194282</c:v>
                </c:pt>
                <c:pt idx="1">
                  <c:v>44598.133507417617</c:v>
                </c:pt>
                <c:pt idx="2">
                  <c:v>38562.186918387932</c:v>
                </c:pt>
                <c:pt idx="3">
                  <c:v>30895.053413407295</c:v>
                </c:pt>
                <c:pt idx="4">
                  <c:v>21775.314112415086</c:v>
                </c:pt>
                <c:pt idx="5">
                  <c:v>11405.329414134994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D-6AC2-440D-9924-4B5B8AB7198A}"/>
            </c:ext>
          </c:extLst>
        </c:ser>
        <c:ser>
          <c:idx val="174"/>
          <c:order val="174"/>
          <c:tx>
            <c:strRef>
              <c:f>IRS!$B$198</c:f>
              <c:strCache>
                <c:ptCount val="1"/>
                <c:pt idx="0">
                  <c:v>Simulation 175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IRS!$G$198:$M$198</c:f>
              <c:numCache>
                <c:formatCode>0</c:formatCode>
                <c:ptCount val="7"/>
                <c:pt idx="0">
                  <c:v>49942.390150951738</c:v>
                </c:pt>
                <c:pt idx="1">
                  <c:v>45579.270072938096</c:v>
                </c:pt>
                <c:pt idx="2">
                  <c:v>39302.319176750541</c:v>
                </c:pt>
                <c:pt idx="3">
                  <c:v>31416.536991674839</c:v>
                </c:pt>
                <c:pt idx="4">
                  <c:v>22100.794970268984</c:v>
                </c:pt>
                <c:pt idx="5">
                  <c:v>11557.213638581632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E-6AC2-440D-9924-4B5B8AB7198A}"/>
            </c:ext>
          </c:extLst>
        </c:ser>
        <c:ser>
          <c:idx val="175"/>
          <c:order val="175"/>
          <c:tx>
            <c:strRef>
              <c:f>IRS!$B$199</c:f>
              <c:strCache>
                <c:ptCount val="1"/>
                <c:pt idx="0">
                  <c:v>Simulation 176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IRS!$G$199:$M$199</c:f>
              <c:numCache>
                <c:formatCode>0</c:formatCode>
                <c:ptCount val="7"/>
                <c:pt idx="0">
                  <c:v>53412.984606104867</c:v>
                </c:pt>
                <c:pt idx="1">
                  <c:v>48370.178892147123</c:v>
                </c:pt>
                <c:pt idx="2">
                  <c:v>41432.860192146305</c:v>
                </c:pt>
                <c:pt idx="3">
                  <c:v>32937.204542136082</c:v>
                </c:pt>
                <c:pt idx="4">
                  <c:v>23063.126782588359</c:v>
                </c:pt>
                <c:pt idx="5">
                  <c:v>12012.887484334458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AF-6AC2-440D-9924-4B5B8AB7198A}"/>
            </c:ext>
          </c:extLst>
        </c:ser>
        <c:ser>
          <c:idx val="176"/>
          <c:order val="176"/>
          <c:tx>
            <c:strRef>
              <c:f>IRS!$B$200</c:f>
              <c:strCache>
                <c:ptCount val="1"/>
                <c:pt idx="0">
                  <c:v>Simulation 177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IRS!$G$200:$M$200</c:f>
              <c:numCache>
                <c:formatCode>0</c:formatCode>
                <c:ptCount val="7"/>
                <c:pt idx="0">
                  <c:v>54223.189801910703</c:v>
                </c:pt>
                <c:pt idx="1">
                  <c:v>48977.049778800989</c:v>
                </c:pt>
                <c:pt idx="2">
                  <c:v>41862.798202305967</c:v>
                </c:pt>
                <c:pt idx="3">
                  <c:v>33221.924285560752</c:v>
                </c:pt>
                <c:pt idx="4">
                  <c:v>23230.398118778154</c:v>
                </c:pt>
                <c:pt idx="5">
                  <c:v>12086.523762544093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0-6AC2-440D-9924-4B5B8AB7198A}"/>
            </c:ext>
          </c:extLst>
        </c:ser>
        <c:ser>
          <c:idx val="177"/>
          <c:order val="177"/>
          <c:tx>
            <c:strRef>
              <c:f>IRS!$B$201</c:f>
              <c:strCache>
                <c:ptCount val="1"/>
                <c:pt idx="0">
                  <c:v>Simulation 178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IRS!$G$201:$M$201</c:f>
              <c:numCache>
                <c:formatCode>0</c:formatCode>
                <c:ptCount val="7"/>
                <c:pt idx="0">
                  <c:v>56050.894547349097</c:v>
                </c:pt>
                <c:pt idx="1">
                  <c:v>50383.790905344838</c:v>
                </c:pt>
                <c:pt idx="2">
                  <c:v>42891.473038724529</c:v>
                </c:pt>
                <c:pt idx="3">
                  <c:v>33927.618711255644</c:v>
                </c:pt>
                <c:pt idx="4">
                  <c:v>23661.331329131161</c:v>
                </c:pt>
                <c:pt idx="5">
                  <c:v>12284.288705846504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1-6AC2-440D-9924-4B5B8AB7198A}"/>
            </c:ext>
          </c:extLst>
        </c:ser>
        <c:ser>
          <c:idx val="178"/>
          <c:order val="178"/>
          <c:tx>
            <c:strRef>
              <c:f>IRS!$B$202</c:f>
              <c:strCache>
                <c:ptCount val="1"/>
                <c:pt idx="0">
                  <c:v>Simulation 179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IRS!$G$202:$M$202</c:f>
              <c:numCache>
                <c:formatCode>0</c:formatCode>
                <c:ptCount val="7"/>
                <c:pt idx="0">
                  <c:v>60811.821169800467</c:v>
                </c:pt>
                <c:pt idx="1">
                  <c:v>54222.603724990695</c:v>
                </c:pt>
                <c:pt idx="2">
                  <c:v>45823.242906286359</c:v>
                </c:pt>
                <c:pt idx="3">
                  <c:v>36017.561890293153</c:v>
                </c:pt>
                <c:pt idx="4">
                  <c:v>24980.126688240147</c:v>
                </c:pt>
                <c:pt idx="5">
                  <c:v>12905.990027478343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2-6AC2-440D-9924-4B5B8AB7198A}"/>
            </c:ext>
          </c:extLst>
        </c:ser>
        <c:ser>
          <c:idx val="179"/>
          <c:order val="179"/>
          <c:tx>
            <c:strRef>
              <c:f>IRS!$B$203</c:f>
              <c:strCache>
                <c:ptCount val="1"/>
                <c:pt idx="0">
                  <c:v>Simulation 180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IRS!$G$203:$M$203</c:f>
              <c:numCache>
                <c:formatCode>0</c:formatCode>
                <c:ptCount val="7"/>
                <c:pt idx="0">
                  <c:v>60306.033337601089</c:v>
                </c:pt>
                <c:pt idx="1">
                  <c:v>53708.654851806168</c:v>
                </c:pt>
                <c:pt idx="2">
                  <c:v>45350.760967014394</c:v>
                </c:pt>
                <c:pt idx="3">
                  <c:v>35626.775644198096</c:v>
                </c:pt>
                <c:pt idx="4">
                  <c:v>24701.365329015032</c:v>
                </c:pt>
                <c:pt idx="5">
                  <c:v>12760.29423668916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3-6AC2-440D-9924-4B5B8AB7198A}"/>
            </c:ext>
          </c:extLst>
        </c:ser>
        <c:ser>
          <c:idx val="180"/>
          <c:order val="180"/>
          <c:tx>
            <c:strRef>
              <c:f>IRS!$B$204</c:f>
              <c:strCache>
                <c:ptCount val="1"/>
                <c:pt idx="0">
                  <c:v>Simulation 181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IRS!$G$204:$M$204</c:f>
              <c:numCache>
                <c:formatCode>0</c:formatCode>
                <c:ptCount val="7"/>
                <c:pt idx="0">
                  <c:v>59293.287466432666</c:v>
                </c:pt>
                <c:pt idx="1">
                  <c:v>52917.055450155945</c:v>
                </c:pt>
                <c:pt idx="2">
                  <c:v>44765.836422125125</c:v>
                </c:pt>
                <c:pt idx="3">
                  <c:v>35223.641457665261</c:v>
                </c:pt>
                <c:pt idx="4">
                  <c:v>24455.638778229957</c:v>
                </c:pt>
                <c:pt idx="5">
                  <c:v>12648.507921922988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4-6AC2-440D-9924-4B5B8AB7198A}"/>
            </c:ext>
          </c:extLst>
        </c:ser>
        <c:ser>
          <c:idx val="181"/>
          <c:order val="181"/>
          <c:tx>
            <c:strRef>
              <c:f>IRS!$B$205</c:f>
              <c:strCache>
                <c:ptCount val="1"/>
                <c:pt idx="0">
                  <c:v>Simulation 182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IRS!$G$205:$M$205</c:f>
              <c:numCache>
                <c:formatCode>0</c:formatCode>
                <c:ptCount val="7"/>
                <c:pt idx="0">
                  <c:v>62235.680337344704</c:v>
                </c:pt>
                <c:pt idx="1">
                  <c:v>55331.67494229725</c:v>
                </c:pt>
                <c:pt idx="2">
                  <c:v>46636.910326831668</c:v>
                </c:pt>
                <c:pt idx="3">
                  <c:v>36572.512515286988</c:v>
                </c:pt>
                <c:pt idx="4">
                  <c:v>25313.776384456331</c:v>
                </c:pt>
                <c:pt idx="5">
                  <c:v>13055.1968300632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5-6AC2-440D-9924-4B5B8AB7198A}"/>
            </c:ext>
          </c:extLst>
        </c:ser>
        <c:ser>
          <c:idx val="182"/>
          <c:order val="182"/>
          <c:tx>
            <c:strRef>
              <c:f>IRS!$B$206</c:f>
              <c:strCache>
                <c:ptCount val="1"/>
                <c:pt idx="0">
                  <c:v>Simulation 183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IRS!$G$206:$M$206</c:f>
              <c:numCache>
                <c:formatCode>0</c:formatCode>
                <c:ptCount val="7"/>
                <c:pt idx="0">
                  <c:v>63365.34734599552</c:v>
                </c:pt>
                <c:pt idx="1">
                  <c:v>56161.978726686626</c:v>
                </c:pt>
                <c:pt idx="2">
                  <c:v>47211.602758809327</c:v>
                </c:pt>
                <c:pt idx="3">
                  <c:v>36943.29461744256</c:v>
                </c:pt>
                <c:pt idx="4">
                  <c:v>25525.336645407522</c:v>
                </c:pt>
                <c:pt idx="5">
                  <c:v>13145.342854843424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6-6AC2-440D-9924-4B5B8AB7198A}"/>
            </c:ext>
          </c:extLst>
        </c:ser>
        <c:ser>
          <c:idx val="183"/>
          <c:order val="183"/>
          <c:tx>
            <c:strRef>
              <c:f>IRS!$B$207</c:f>
              <c:strCache>
                <c:ptCount val="1"/>
                <c:pt idx="0">
                  <c:v>Simulation 184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IRS!$G$207:$M$207</c:f>
              <c:numCache>
                <c:formatCode>0</c:formatCode>
                <c:ptCount val="7"/>
                <c:pt idx="0">
                  <c:v>65925.126068944955</c:v>
                </c:pt>
                <c:pt idx="1">
                  <c:v>58191.033119767431</c:v>
                </c:pt>
                <c:pt idx="2">
                  <c:v>48733.153255594887</c:v>
                </c:pt>
                <c:pt idx="3">
                  <c:v>38008.451593151156</c:v>
                </c:pt>
                <c:pt idx="4">
                  <c:v>26185.50174168919</c:v>
                </c:pt>
                <c:pt idx="5">
                  <c:v>13451.073142502071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7-6AC2-440D-9924-4B5B8AB7198A}"/>
            </c:ext>
          </c:extLst>
        </c:ser>
        <c:ser>
          <c:idx val="184"/>
          <c:order val="184"/>
          <c:tx>
            <c:strRef>
              <c:f>IRS!$B$208</c:f>
              <c:strCache>
                <c:ptCount val="1"/>
                <c:pt idx="0">
                  <c:v>Simulation 185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IRS!$G$208:$M$208</c:f>
              <c:numCache>
                <c:formatCode>0</c:formatCode>
                <c:ptCount val="7"/>
                <c:pt idx="0">
                  <c:v>67108.759617414558</c:v>
                </c:pt>
                <c:pt idx="1">
                  <c:v>59243.798789035776</c:v>
                </c:pt>
                <c:pt idx="2">
                  <c:v>49614.94911507942</c:v>
                </c:pt>
                <c:pt idx="3">
                  <c:v>38692.509665503247</c:v>
                </c:pt>
                <c:pt idx="4">
                  <c:v>26652.161031030217</c:v>
                </c:pt>
                <c:pt idx="5">
                  <c:v>13687.55227269323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8-6AC2-440D-9924-4B5B8AB7198A}"/>
            </c:ext>
          </c:extLst>
        </c:ser>
        <c:ser>
          <c:idx val="185"/>
          <c:order val="185"/>
          <c:tx>
            <c:strRef>
              <c:f>IRS!$B$209</c:f>
              <c:strCache>
                <c:ptCount val="1"/>
                <c:pt idx="0">
                  <c:v>Simulation 186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IRS!$G$209:$M$209</c:f>
              <c:numCache>
                <c:formatCode>0</c:formatCode>
                <c:ptCount val="7"/>
                <c:pt idx="0">
                  <c:v>67504.220583794726</c:v>
                </c:pt>
                <c:pt idx="1">
                  <c:v>59612.903376808033</c:v>
                </c:pt>
                <c:pt idx="2">
                  <c:v>49935.640294108591</c:v>
                </c:pt>
                <c:pt idx="3">
                  <c:v>38948.103148075665</c:v>
                </c:pt>
                <c:pt idx="4">
                  <c:v>26830.077603857164</c:v>
                </c:pt>
                <c:pt idx="5">
                  <c:v>13779.0821783349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9-6AC2-440D-9924-4B5B8AB7198A}"/>
            </c:ext>
          </c:extLst>
        </c:ser>
        <c:ser>
          <c:idx val="186"/>
          <c:order val="186"/>
          <c:tx>
            <c:strRef>
              <c:f>IRS!$B$210</c:f>
              <c:strCache>
                <c:ptCount val="1"/>
                <c:pt idx="0">
                  <c:v>Simulation 187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IRS!$G$210:$M$210</c:f>
              <c:numCache>
                <c:formatCode>0</c:formatCode>
                <c:ptCount val="7"/>
                <c:pt idx="0">
                  <c:v>67817.660054117398</c:v>
                </c:pt>
                <c:pt idx="1">
                  <c:v>59845.685609061475</c:v>
                </c:pt>
                <c:pt idx="2">
                  <c:v>50098.638840072163</c:v>
                </c:pt>
                <c:pt idx="3">
                  <c:v>39054.690155926757</c:v>
                </c:pt>
                <c:pt idx="4">
                  <c:v>26891.85971503106</c:v>
                </c:pt>
                <c:pt idx="5">
                  <c:v>13805.898292001479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A-6AC2-440D-9924-4B5B8AB7198A}"/>
            </c:ext>
          </c:extLst>
        </c:ser>
        <c:ser>
          <c:idx val="187"/>
          <c:order val="187"/>
          <c:tx>
            <c:strRef>
              <c:f>IRS!$B$211</c:f>
              <c:strCache>
                <c:ptCount val="1"/>
                <c:pt idx="0">
                  <c:v>Simulation 188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IRS!$G$211:$M$211</c:f>
              <c:numCache>
                <c:formatCode>0</c:formatCode>
                <c:ptCount val="7"/>
                <c:pt idx="0">
                  <c:v>65839.498210946287</c:v>
                </c:pt>
                <c:pt idx="1">
                  <c:v>58124.204354496695</c:v>
                </c:pt>
                <c:pt idx="2">
                  <c:v>48695.105881404648</c:v>
                </c:pt>
                <c:pt idx="3">
                  <c:v>37998.529640690453</c:v>
                </c:pt>
                <c:pt idx="4">
                  <c:v>26194.970622897024</c:v>
                </c:pt>
                <c:pt idx="5">
                  <c:v>13465.15221955075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B-6AC2-440D-9924-4B5B8AB7198A}"/>
            </c:ext>
          </c:extLst>
        </c:ser>
        <c:ser>
          <c:idx val="188"/>
          <c:order val="188"/>
          <c:tx>
            <c:strRef>
              <c:f>IRS!$B$212</c:f>
              <c:strCache>
                <c:ptCount val="1"/>
                <c:pt idx="0">
                  <c:v>Simulation 189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IRS!$G$212:$M$212</c:f>
              <c:numCache>
                <c:formatCode>0</c:formatCode>
                <c:ptCount val="7"/>
                <c:pt idx="0">
                  <c:v>66301.740078121642</c:v>
                </c:pt>
                <c:pt idx="1">
                  <c:v>58459.153327590509</c:v>
                </c:pt>
                <c:pt idx="2">
                  <c:v>48924.784140362513</c:v>
                </c:pt>
                <c:pt idx="3">
                  <c:v>38146.556788406568</c:v>
                </c:pt>
                <c:pt idx="4">
                  <c:v>26280.258068745676</c:v>
                </c:pt>
                <c:pt idx="5">
                  <c:v>13502.340806162958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C-6AC2-440D-9924-4B5B8AB7198A}"/>
            </c:ext>
          </c:extLst>
        </c:ser>
        <c:ser>
          <c:idx val="189"/>
          <c:order val="189"/>
          <c:tx>
            <c:strRef>
              <c:f>IRS!$B$213</c:f>
              <c:strCache>
                <c:ptCount val="1"/>
                <c:pt idx="0">
                  <c:v>Simulation 190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IRS!$G$213:$M$213</c:f>
              <c:numCache>
                <c:formatCode>0</c:formatCode>
                <c:ptCount val="7"/>
                <c:pt idx="0">
                  <c:v>64621.771400011101</c:v>
                </c:pt>
                <c:pt idx="1">
                  <c:v>57204.983636689052</c:v>
                </c:pt>
                <c:pt idx="2">
                  <c:v>48041.22740842864</c:v>
                </c:pt>
                <c:pt idx="3">
                  <c:v>37565.29963367086</c:v>
                </c:pt>
                <c:pt idx="4">
                  <c:v>25941.53146264411</c:v>
                </c:pt>
                <c:pt idx="5">
                  <c:v>13354.710306434084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D-6AC2-440D-9924-4B5B8AB7198A}"/>
            </c:ext>
          </c:extLst>
        </c:ser>
        <c:ser>
          <c:idx val="190"/>
          <c:order val="190"/>
          <c:tx>
            <c:strRef>
              <c:f>IRS!$B$214</c:f>
              <c:strCache>
                <c:ptCount val="1"/>
                <c:pt idx="0">
                  <c:v>Simulation 191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IRS!$G$214:$M$214</c:f>
              <c:numCache>
                <c:formatCode>0</c:formatCode>
                <c:ptCount val="7"/>
                <c:pt idx="0">
                  <c:v>66761.742872416507</c:v>
                </c:pt>
                <c:pt idx="1">
                  <c:v>58898.386567481051</c:v>
                </c:pt>
                <c:pt idx="2">
                  <c:v>49307.545459846413</c:v>
                </c:pt>
                <c:pt idx="3">
                  <c:v>38448.463201549661</c:v>
                </c:pt>
                <c:pt idx="4">
                  <c:v>26486.312718369903</c:v>
                </c:pt>
                <c:pt idx="5">
                  <c:v>13605.56002323268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E-6AC2-440D-9924-4B5B8AB7198A}"/>
            </c:ext>
          </c:extLst>
        </c:ser>
        <c:ser>
          <c:idx val="191"/>
          <c:order val="191"/>
          <c:tx>
            <c:strRef>
              <c:f>IRS!$B$215</c:f>
              <c:strCache>
                <c:ptCount val="1"/>
                <c:pt idx="0">
                  <c:v>Simulation 192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IRS!$G$215:$M$215</c:f>
              <c:numCache>
                <c:formatCode>0</c:formatCode>
                <c:ptCount val="7"/>
                <c:pt idx="0">
                  <c:v>68923.319355508793</c:v>
                </c:pt>
                <c:pt idx="1">
                  <c:v>60643.662756527658</c:v>
                </c:pt>
                <c:pt idx="2">
                  <c:v>50641.249422791268</c:v>
                </c:pt>
                <c:pt idx="3">
                  <c:v>39399.87720900205</c:v>
                </c:pt>
                <c:pt idx="4">
                  <c:v>27087.161904471297</c:v>
                </c:pt>
                <c:pt idx="5">
                  <c:v>13889.070723852301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F-6AC2-440D-9924-4B5B8AB7198A}"/>
            </c:ext>
          </c:extLst>
        </c:ser>
        <c:ser>
          <c:idx val="192"/>
          <c:order val="192"/>
          <c:tx>
            <c:strRef>
              <c:f>IRS!$B$216</c:f>
              <c:strCache>
                <c:ptCount val="1"/>
                <c:pt idx="0">
                  <c:v>Simulation 193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IRS!$G$216:$M$216</c:f>
              <c:numCache>
                <c:formatCode>0</c:formatCode>
                <c:ptCount val="7"/>
                <c:pt idx="0">
                  <c:v>66957.455244451587</c:v>
                </c:pt>
                <c:pt idx="1">
                  <c:v>59095.336005031524</c:v>
                </c:pt>
                <c:pt idx="2">
                  <c:v>49482.515454580818</c:v>
                </c:pt>
                <c:pt idx="3">
                  <c:v>38586.276985798046</c:v>
                </c:pt>
                <c:pt idx="4">
                  <c:v>26578.908588015758</c:v>
                </c:pt>
                <c:pt idx="5">
                  <c:v>13650.700814889922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0-6AC2-440D-9924-4B5B8AB7198A}"/>
            </c:ext>
          </c:extLst>
        </c:ser>
        <c:ser>
          <c:idx val="193"/>
          <c:order val="193"/>
          <c:tx>
            <c:strRef>
              <c:f>IRS!$B$217</c:f>
              <c:strCache>
                <c:ptCount val="1"/>
                <c:pt idx="0">
                  <c:v>Simulation 194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IRS!$G$217:$M$217</c:f>
              <c:numCache>
                <c:formatCode>0</c:formatCode>
                <c:ptCount val="7"/>
                <c:pt idx="0">
                  <c:v>64846.879869959856</c:v>
                </c:pt>
                <c:pt idx="1">
                  <c:v>57449.220489669882</c:v>
                </c:pt>
                <c:pt idx="2">
                  <c:v>48267.863232545351</c:v>
                </c:pt>
                <c:pt idx="3">
                  <c:v>37748.901035029521</c:v>
                </c:pt>
                <c:pt idx="4">
                  <c:v>26067.422063985716</c:v>
                </c:pt>
                <c:pt idx="5">
                  <c:v>13417.068363915971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1-6AC2-440D-9924-4B5B8AB7198A}"/>
            </c:ext>
          </c:extLst>
        </c:ser>
        <c:ser>
          <c:idx val="194"/>
          <c:order val="194"/>
          <c:tx>
            <c:strRef>
              <c:f>IRS!$B$218</c:f>
              <c:strCache>
                <c:ptCount val="1"/>
                <c:pt idx="0">
                  <c:v>Simulation 195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IRS!$G$218:$M$218</c:f>
              <c:numCache>
                <c:formatCode>0</c:formatCode>
                <c:ptCount val="7"/>
                <c:pt idx="0">
                  <c:v>63651.758811897918</c:v>
                </c:pt>
                <c:pt idx="1">
                  <c:v>56449.625278550746</c:v>
                </c:pt>
                <c:pt idx="2">
                  <c:v>47478.764787821303</c:v>
                </c:pt>
                <c:pt idx="3">
                  <c:v>37169.882255712371</c:v>
                </c:pt>
                <c:pt idx="4">
                  <c:v>25692.766185730237</c:v>
                </c:pt>
                <c:pt idx="5">
                  <c:v>13236.594224343375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2-6AC2-440D-9924-4B5B8AB7198A}"/>
            </c:ext>
          </c:extLst>
        </c:ser>
        <c:ser>
          <c:idx val="195"/>
          <c:order val="195"/>
          <c:tx>
            <c:strRef>
              <c:f>IRS!$B$219</c:f>
              <c:strCache>
                <c:ptCount val="1"/>
                <c:pt idx="0">
                  <c:v>Simulation 196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IRS!$G$219:$M$219</c:f>
              <c:numCache>
                <c:formatCode>0</c:formatCode>
                <c:ptCount val="7"/>
                <c:pt idx="0">
                  <c:v>67068.576197184972</c:v>
                </c:pt>
                <c:pt idx="1">
                  <c:v>59279.27657850532</c:v>
                </c:pt>
                <c:pt idx="2">
                  <c:v>49696.963398223525</c:v>
                </c:pt>
                <c:pt idx="3">
                  <c:v>38791.224249135317</c:v>
                </c:pt>
                <c:pt idx="4">
                  <c:v>26740.739265722521</c:v>
                </c:pt>
                <c:pt idx="5">
                  <c:v>13742.146861858857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3-6AC2-440D-9924-4B5B8AB7198A}"/>
            </c:ext>
          </c:extLst>
        </c:ser>
        <c:ser>
          <c:idx val="196"/>
          <c:order val="196"/>
          <c:tx>
            <c:strRef>
              <c:f>IRS!$B$220</c:f>
              <c:strCache>
                <c:ptCount val="1"/>
                <c:pt idx="0">
                  <c:v>Simulation 197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IRS!$G$220:$M$220</c:f>
              <c:numCache>
                <c:formatCode>0</c:formatCode>
                <c:ptCount val="7"/>
                <c:pt idx="0">
                  <c:v>65955.361990060206</c:v>
                </c:pt>
                <c:pt idx="1">
                  <c:v>58383.20997260532</c:v>
                </c:pt>
                <c:pt idx="2">
                  <c:v>49011.254257221815</c:v>
                </c:pt>
                <c:pt idx="3">
                  <c:v>38299.372430915399</c:v>
                </c:pt>
                <c:pt idx="4">
                  <c:v>26427.240365415506</c:v>
                </c:pt>
                <c:pt idx="5">
                  <c:v>13592.349401130408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4-6AC2-440D-9924-4B5B8AB7198A}"/>
            </c:ext>
          </c:extLst>
        </c:ser>
        <c:ser>
          <c:idx val="197"/>
          <c:order val="197"/>
          <c:tx>
            <c:strRef>
              <c:f>IRS!$B$221</c:f>
              <c:strCache>
                <c:ptCount val="1"/>
                <c:pt idx="0">
                  <c:v>Simulation 198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IRS!$G$221:$M$221</c:f>
              <c:numCache>
                <c:formatCode>0</c:formatCode>
                <c:ptCount val="7"/>
                <c:pt idx="0">
                  <c:v>64931.875169883351</c:v>
                </c:pt>
                <c:pt idx="1">
                  <c:v>57590.618129957395</c:v>
                </c:pt>
                <c:pt idx="2">
                  <c:v>48431.242232495191</c:v>
                </c:pt>
                <c:pt idx="3">
                  <c:v>37903.253428761702</c:v>
                </c:pt>
                <c:pt idx="4">
                  <c:v>26187.827254467353</c:v>
                </c:pt>
                <c:pt idx="5">
                  <c:v>13484.275899261924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5-6AC2-440D-9924-4B5B8AB7198A}"/>
            </c:ext>
          </c:extLst>
        </c:ser>
        <c:ser>
          <c:idx val="198"/>
          <c:order val="198"/>
          <c:tx>
            <c:strRef>
              <c:f>IRS!$B$222</c:f>
              <c:strCache>
                <c:ptCount val="1"/>
                <c:pt idx="0">
                  <c:v>Simulation 199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IRS!$G$222:$M$222</c:f>
              <c:numCache>
                <c:formatCode>0</c:formatCode>
                <c:ptCount val="7"/>
                <c:pt idx="0">
                  <c:v>63961.131546590404</c:v>
                </c:pt>
                <c:pt idx="1">
                  <c:v>56754.317099570209</c:v>
                </c:pt>
                <c:pt idx="2">
                  <c:v>47750.215266506479</c:v>
                </c:pt>
                <c:pt idx="3">
                  <c:v>37387.661710034859</c:v>
                </c:pt>
                <c:pt idx="4">
                  <c:v>25843.554376279622</c:v>
                </c:pt>
                <c:pt idx="5">
                  <c:v>13313.116398525117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6-6AC2-440D-9924-4B5B8AB7198A}"/>
            </c:ext>
          </c:extLst>
        </c:ser>
        <c:ser>
          <c:idx val="199"/>
          <c:order val="199"/>
          <c:tx>
            <c:strRef>
              <c:f>IRS!$B$223</c:f>
              <c:strCache>
                <c:ptCount val="1"/>
                <c:pt idx="0">
                  <c:v>Simulation 200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IRS!$G$223:$M$223</c:f>
              <c:numCache>
                <c:formatCode>0</c:formatCode>
                <c:ptCount val="7"/>
                <c:pt idx="0">
                  <c:v>64616.436748263644</c:v>
                </c:pt>
                <c:pt idx="1">
                  <c:v>57281.686351803233</c:v>
                </c:pt>
                <c:pt idx="2">
                  <c:v>48155.524093520944</c:v>
                </c:pt>
                <c:pt idx="3">
                  <c:v>37680.910239561519</c:v>
                </c:pt>
                <c:pt idx="4">
                  <c:v>26032.852215692918</c:v>
                </c:pt>
                <c:pt idx="5">
                  <c:v>13405.044149390294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7-6AC2-440D-9924-4B5B8AB7198A}"/>
            </c:ext>
          </c:extLst>
        </c:ser>
        <c:ser>
          <c:idx val="200"/>
          <c:order val="200"/>
          <c:tx>
            <c:strRef>
              <c:f>IRS!$B$224</c:f>
              <c:strCache>
                <c:ptCount val="1"/>
                <c:pt idx="0">
                  <c:v>Simulation 201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IRS!$G$224:$M$224</c:f>
              <c:numCache>
                <c:formatCode>0</c:formatCode>
                <c:ptCount val="7"/>
                <c:pt idx="0">
                  <c:v>64669.88339630398</c:v>
                </c:pt>
                <c:pt idx="1">
                  <c:v>57344.598641759541</c:v>
                </c:pt>
                <c:pt idx="2">
                  <c:v>48216.973649389736</c:v>
                </c:pt>
                <c:pt idx="3">
                  <c:v>37732.686000268266</c:v>
                </c:pt>
                <c:pt idx="4">
                  <c:v>26069.614325402075</c:v>
                </c:pt>
                <c:pt idx="5">
                  <c:v>13423.884352298246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8-6AC2-440D-9924-4B5B8AB7198A}"/>
            </c:ext>
          </c:extLst>
        </c:ser>
        <c:ser>
          <c:idx val="201"/>
          <c:order val="201"/>
          <c:tx>
            <c:strRef>
              <c:f>IRS!$B$225</c:f>
              <c:strCache>
                <c:ptCount val="1"/>
                <c:pt idx="0">
                  <c:v>Simulation 202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IRS!$G$225:$M$225</c:f>
              <c:numCache>
                <c:formatCode>0</c:formatCode>
                <c:ptCount val="7"/>
                <c:pt idx="0">
                  <c:v>65359.214954827796</c:v>
                </c:pt>
                <c:pt idx="1">
                  <c:v>58245.681316459224</c:v>
                </c:pt>
                <c:pt idx="2">
                  <c:v>49199.74243210721</c:v>
                </c:pt>
                <c:pt idx="3">
                  <c:v>38658.328994129326</c:v>
                </c:pt>
                <c:pt idx="4">
                  <c:v>26806.048163268049</c:v>
                </c:pt>
                <c:pt idx="5">
                  <c:v>13848.096397271975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9-6AC2-440D-9924-4B5B8AB7198A}"/>
            </c:ext>
          </c:extLst>
        </c:ser>
        <c:ser>
          <c:idx val="202"/>
          <c:order val="202"/>
          <c:tx>
            <c:strRef>
              <c:f>IRS!$B$226</c:f>
              <c:strCache>
                <c:ptCount val="1"/>
                <c:pt idx="0">
                  <c:v>Simulation 203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IRS!$G$226:$M$226</c:f>
              <c:numCache>
                <c:formatCode>0</c:formatCode>
                <c:ptCount val="7"/>
                <c:pt idx="0">
                  <c:v>60474.058275007897</c:v>
                </c:pt>
                <c:pt idx="1">
                  <c:v>54202.071391459242</c:v>
                </c:pt>
                <c:pt idx="2">
                  <c:v>46029.95906137221</c:v>
                </c:pt>
                <c:pt idx="3">
                  <c:v>36341.436065035639</c:v>
                </c:pt>
                <c:pt idx="4">
                  <c:v>25308.528255907237</c:v>
                </c:pt>
                <c:pt idx="5">
                  <c:v>13125.72724934916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A-6AC2-440D-9924-4B5B8AB7198A}"/>
            </c:ext>
          </c:extLst>
        </c:ser>
        <c:ser>
          <c:idx val="203"/>
          <c:order val="203"/>
          <c:tx>
            <c:strRef>
              <c:f>IRS!$B$227</c:f>
              <c:strCache>
                <c:ptCount val="1"/>
                <c:pt idx="0">
                  <c:v>Simulation 204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IRS!$G$227:$M$227</c:f>
              <c:numCache>
                <c:formatCode>0</c:formatCode>
                <c:ptCount val="7"/>
                <c:pt idx="0">
                  <c:v>57747.33685994293</c:v>
                </c:pt>
                <c:pt idx="1">
                  <c:v>51968.690647359661</c:v>
                </c:pt>
                <c:pt idx="2">
                  <c:v>44298.923262613251</c:v>
                </c:pt>
                <c:pt idx="3">
                  <c:v>35091.201833953113</c:v>
                </c:pt>
                <c:pt idx="4">
                  <c:v>24510.535040982078</c:v>
                </c:pt>
                <c:pt idx="5">
                  <c:v>12745.824878757887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B-6AC2-440D-9924-4B5B8AB7198A}"/>
            </c:ext>
          </c:extLst>
        </c:ser>
        <c:ser>
          <c:idx val="204"/>
          <c:order val="204"/>
          <c:tx>
            <c:strRef>
              <c:f>IRS!$B$228</c:f>
              <c:strCache>
                <c:ptCount val="1"/>
                <c:pt idx="0">
                  <c:v>Simulation 205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IRS!$G$228:$M$228</c:f>
              <c:numCache>
                <c:formatCode>0</c:formatCode>
                <c:ptCount val="7"/>
                <c:pt idx="0">
                  <c:v>55031.019941013656</c:v>
                </c:pt>
                <c:pt idx="1">
                  <c:v>49697.526701841671</c:v>
                </c:pt>
                <c:pt idx="2">
                  <c:v>42504.010835284054</c:v>
                </c:pt>
                <c:pt idx="3">
                  <c:v>33771.779430875024</c:v>
                </c:pt>
                <c:pt idx="4">
                  <c:v>23654.77902536171</c:v>
                </c:pt>
                <c:pt idx="5">
                  <c:v>12332.431570326369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C-6AC2-440D-9924-4B5B8AB7198A}"/>
            </c:ext>
          </c:extLst>
        </c:ser>
        <c:ser>
          <c:idx val="205"/>
          <c:order val="205"/>
          <c:tx>
            <c:strRef>
              <c:f>IRS!$B$229</c:f>
              <c:strCache>
                <c:ptCount val="1"/>
                <c:pt idx="0">
                  <c:v>Simulation 206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IRS!$G$229:$M$229</c:f>
              <c:numCache>
                <c:formatCode>0</c:formatCode>
                <c:ptCount val="7"/>
                <c:pt idx="0">
                  <c:v>54165.033795307419</c:v>
                </c:pt>
                <c:pt idx="1">
                  <c:v>48929.941074971051</c:v>
                </c:pt>
                <c:pt idx="2">
                  <c:v>41861.790101618259</c:v>
                </c:pt>
                <c:pt idx="3">
                  <c:v>33273.489411854011</c:v>
                </c:pt>
                <c:pt idx="4">
                  <c:v>23314.504908323972</c:v>
                </c:pt>
                <c:pt idx="5">
                  <c:v>12159.723856596178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D-6AC2-440D-9924-4B5B8AB7198A}"/>
            </c:ext>
          </c:extLst>
        </c:ser>
        <c:ser>
          <c:idx val="206"/>
          <c:order val="206"/>
          <c:tx>
            <c:strRef>
              <c:f>IRS!$B$230</c:f>
              <c:strCache>
                <c:ptCount val="1"/>
                <c:pt idx="0">
                  <c:v>Simulation 207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IRS!$G$230:$M$230</c:f>
              <c:numCache>
                <c:formatCode>0</c:formatCode>
                <c:ptCount val="7"/>
                <c:pt idx="0">
                  <c:v>51926.903441369112</c:v>
                </c:pt>
                <c:pt idx="1">
                  <c:v>47025.011985470992</c:v>
                </c:pt>
                <c:pt idx="2">
                  <c:v>40329.754683064457</c:v>
                </c:pt>
                <c:pt idx="3">
                  <c:v>32128.453561051141</c:v>
                </c:pt>
                <c:pt idx="4">
                  <c:v>22559.954408754431</c:v>
                </c:pt>
                <c:pt idx="5">
                  <c:v>11789.592612765602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E-6AC2-440D-9924-4B5B8AB7198A}"/>
            </c:ext>
          </c:extLst>
        </c:ser>
        <c:ser>
          <c:idx val="207"/>
          <c:order val="207"/>
          <c:tx>
            <c:strRef>
              <c:f>IRS!$B$231</c:f>
              <c:strCache>
                <c:ptCount val="1"/>
                <c:pt idx="0">
                  <c:v>Simulation 208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IRS!$G$231:$M$231</c:f>
              <c:numCache>
                <c:formatCode>0</c:formatCode>
                <c:ptCount val="7"/>
                <c:pt idx="0">
                  <c:v>56009.193929679845</c:v>
                </c:pt>
                <c:pt idx="1">
                  <c:v>50431.481795520747</c:v>
                </c:pt>
                <c:pt idx="2">
                  <c:v>43023.14782056454</c:v>
                </c:pt>
                <c:pt idx="3">
                  <c:v>34113.675869985018</c:v>
                </c:pt>
                <c:pt idx="4">
                  <c:v>23853.61427521822</c:v>
                </c:pt>
                <c:pt idx="5">
                  <c:v>12418.613007083639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CF-6AC2-440D-9924-4B5B8AB7198A}"/>
            </c:ext>
          </c:extLst>
        </c:ser>
        <c:ser>
          <c:idx val="208"/>
          <c:order val="208"/>
          <c:tx>
            <c:strRef>
              <c:f>IRS!$B$232</c:f>
              <c:strCache>
                <c:ptCount val="1"/>
                <c:pt idx="0">
                  <c:v>Simulation 209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IRS!$G$232:$M$232</c:f>
              <c:numCache>
                <c:formatCode>0</c:formatCode>
                <c:ptCount val="7"/>
                <c:pt idx="0">
                  <c:v>55920.214787262717</c:v>
                </c:pt>
                <c:pt idx="1">
                  <c:v>50349.713004848767</c:v>
                </c:pt>
                <c:pt idx="2">
                  <c:v>42953.761191808633</c:v>
                </c:pt>
                <c:pt idx="3">
                  <c:v>34060.030931209738</c:v>
                </c:pt>
                <c:pt idx="4">
                  <c:v>23817.616777521398</c:v>
                </c:pt>
                <c:pt idx="5">
                  <c:v>12400.863627313818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0-6AC2-440D-9924-4B5B8AB7198A}"/>
            </c:ext>
          </c:extLst>
        </c:ser>
        <c:ser>
          <c:idx val="209"/>
          <c:order val="209"/>
          <c:tx>
            <c:strRef>
              <c:f>IRS!$B$233</c:f>
              <c:strCache>
                <c:ptCount val="1"/>
                <c:pt idx="0">
                  <c:v>Simulation 210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IRS!$G$233:$M$233</c:f>
              <c:numCache>
                <c:formatCode>0</c:formatCode>
                <c:ptCount val="7"/>
                <c:pt idx="0">
                  <c:v>57277.659771495979</c:v>
                </c:pt>
                <c:pt idx="1">
                  <c:v>51451.96094422054</c:v>
                </c:pt>
                <c:pt idx="2">
                  <c:v>43803.207570030478</c:v>
                </c:pt>
                <c:pt idx="3">
                  <c:v>34671.93516590233</c:v>
                </c:pt>
                <c:pt idx="4">
                  <c:v>24208.321467224043</c:v>
                </c:pt>
                <c:pt idx="5">
                  <c:v>12587.459292903413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1-6AC2-440D-9924-4B5B8AB7198A}"/>
            </c:ext>
          </c:extLst>
        </c:ser>
        <c:ser>
          <c:idx val="210"/>
          <c:order val="210"/>
          <c:tx>
            <c:strRef>
              <c:f>IRS!$B$234</c:f>
              <c:strCache>
                <c:ptCount val="1"/>
                <c:pt idx="0">
                  <c:v>Simulation 211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IRS!$G$234:$M$234</c:f>
              <c:numCache>
                <c:formatCode>0</c:formatCode>
                <c:ptCount val="7"/>
                <c:pt idx="0">
                  <c:v>55285.718451440713</c:v>
                </c:pt>
                <c:pt idx="1">
                  <c:v>49848.327942752498</c:v>
                </c:pt>
                <c:pt idx="2">
                  <c:v>42575.388641555939</c:v>
                </c:pt>
                <c:pt idx="3">
                  <c:v>33791.251423198657</c:v>
                </c:pt>
                <c:pt idx="4">
                  <c:v>23647.248750951214</c:v>
                </c:pt>
                <c:pt idx="5">
                  <c:v>12319.58258250188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2-6AC2-440D-9924-4B5B8AB7198A}"/>
            </c:ext>
          </c:extLst>
        </c:ser>
        <c:ser>
          <c:idx val="211"/>
          <c:order val="211"/>
          <c:tx>
            <c:strRef>
              <c:f>IRS!$B$235</c:f>
              <c:strCache>
                <c:ptCount val="1"/>
                <c:pt idx="0">
                  <c:v>Simulation 212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IRS!$G$235:$M$235</c:f>
              <c:numCache>
                <c:formatCode>0</c:formatCode>
                <c:ptCount val="7"/>
                <c:pt idx="0">
                  <c:v>58083.158805893196</c:v>
                </c:pt>
                <c:pt idx="1">
                  <c:v>52193.975691449792</c:v>
                </c:pt>
                <c:pt idx="2">
                  <c:v>44435.306509151182</c:v>
                </c:pt>
                <c:pt idx="3">
                  <c:v>35163.592955328888</c:v>
                </c:pt>
                <c:pt idx="4">
                  <c:v>24541.077058341518</c:v>
                </c:pt>
                <c:pt idx="5">
                  <c:v>12753.379664455928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3-6AC2-440D-9924-4B5B8AB7198A}"/>
            </c:ext>
          </c:extLst>
        </c:ser>
        <c:ser>
          <c:idx val="212"/>
          <c:order val="212"/>
          <c:tx>
            <c:strRef>
              <c:f>IRS!$B$236</c:f>
              <c:strCache>
                <c:ptCount val="1"/>
                <c:pt idx="0">
                  <c:v>Simulation 213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IRS!$G$236:$M$236</c:f>
              <c:numCache>
                <c:formatCode>0</c:formatCode>
                <c:ptCount val="7"/>
                <c:pt idx="0">
                  <c:v>54876.173178047182</c:v>
                </c:pt>
                <c:pt idx="1">
                  <c:v>49656.264647703378</c:v>
                </c:pt>
                <c:pt idx="2">
                  <c:v>42532.712745709883</c:v>
                </c:pt>
                <c:pt idx="3">
                  <c:v>33831.365778362822</c:v>
                </c:pt>
                <c:pt idx="4">
                  <c:v>23714.883723416813</c:v>
                </c:pt>
                <c:pt idx="5">
                  <c:v>12370.407121536722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4-6AC2-440D-9924-4B5B8AB7198A}"/>
            </c:ext>
          </c:extLst>
        </c:ser>
        <c:ser>
          <c:idx val="213"/>
          <c:order val="213"/>
          <c:tx>
            <c:strRef>
              <c:f>IRS!$B$237</c:f>
              <c:strCache>
                <c:ptCount val="1"/>
                <c:pt idx="0">
                  <c:v>Simulation 214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IRS!$G$237:$M$237</c:f>
              <c:numCache>
                <c:formatCode>0</c:formatCode>
                <c:ptCount val="7"/>
                <c:pt idx="0">
                  <c:v>53008.262031072431</c:v>
                </c:pt>
                <c:pt idx="1">
                  <c:v>48183.122130115982</c:v>
                </c:pt>
                <c:pt idx="2">
                  <c:v>41435.279320785412</c:v>
                </c:pt>
                <c:pt idx="3">
                  <c:v>33070.378117065389</c:v>
                </c:pt>
                <c:pt idx="4">
                  <c:v>23249.190067794792</c:v>
                </c:pt>
                <c:pt idx="5">
                  <c:v>12158.193672376354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5-6AC2-440D-9924-4B5B8AB7198A}"/>
            </c:ext>
          </c:extLst>
        </c:ser>
        <c:ser>
          <c:idx val="214"/>
          <c:order val="214"/>
          <c:tx>
            <c:strRef>
              <c:f>IRS!$B$238</c:f>
              <c:strCache>
                <c:ptCount val="1"/>
                <c:pt idx="0">
                  <c:v>Simulation 215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IRS!$G$238:$M$238</c:f>
              <c:numCache>
                <c:formatCode>0</c:formatCode>
                <c:ptCount val="7"/>
                <c:pt idx="0">
                  <c:v>53617.322325633279</c:v>
                </c:pt>
                <c:pt idx="1">
                  <c:v>48699.02532942011</c:v>
                </c:pt>
                <c:pt idx="2">
                  <c:v>41849.143657961511</c:v>
                </c:pt>
                <c:pt idx="3">
                  <c:v>33379.58579983667</c:v>
                </c:pt>
                <c:pt idx="4">
                  <c:v>23453.272675172127</c:v>
                </c:pt>
                <c:pt idx="5">
                  <c:v>12258.632384125753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6-6AC2-440D-9924-4B5B8AB7198A}"/>
            </c:ext>
          </c:extLst>
        </c:ser>
        <c:ser>
          <c:idx val="215"/>
          <c:order val="215"/>
          <c:tx>
            <c:strRef>
              <c:f>IRS!$B$239</c:f>
              <c:strCache>
                <c:ptCount val="1"/>
                <c:pt idx="0">
                  <c:v>Simulation 216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IRS!$G$239:$M$239</c:f>
              <c:numCache>
                <c:formatCode>0</c:formatCode>
                <c:ptCount val="7"/>
                <c:pt idx="0">
                  <c:v>54615.454647574894</c:v>
                </c:pt>
                <c:pt idx="1">
                  <c:v>49452.316294391494</c:v>
                </c:pt>
                <c:pt idx="2">
                  <c:v>42383.389672722413</c:v>
                </c:pt>
                <c:pt idx="3">
                  <c:v>33730.735935172401</c:v>
                </c:pt>
                <c:pt idx="4">
                  <c:v>23655.87092884197</c:v>
                </c:pt>
                <c:pt idx="5">
                  <c:v>12345.089877459042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7-6AC2-440D-9924-4B5B8AB7198A}"/>
            </c:ext>
          </c:extLst>
        </c:ser>
        <c:ser>
          <c:idx val="216"/>
          <c:order val="216"/>
          <c:tx>
            <c:strRef>
              <c:f>IRS!$B$240</c:f>
              <c:strCache>
                <c:ptCount val="1"/>
                <c:pt idx="0">
                  <c:v>Simulation 217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IRS!$G$240:$M$240</c:f>
              <c:numCache>
                <c:formatCode>0</c:formatCode>
                <c:ptCount val="7"/>
                <c:pt idx="0">
                  <c:v>54456.839736703609</c:v>
                </c:pt>
                <c:pt idx="1">
                  <c:v>49320.465960503221</c:v>
                </c:pt>
                <c:pt idx="2">
                  <c:v>42283.862336761282</c:v>
                </c:pt>
                <c:pt idx="3">
                  <c:v>33663.731381438294</c:v>
                </c:pt>
                <c:pt idx="4">
                  <c:v>23618.01564615083</c:v>
                </c:pt>
                <c:pt idx="5">
                  <c:v>12330.219946411136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8-6AC2-440D-9924-4B5B8AB7198A}"/>
            </c:ext>
          </c:extLst>
        </c:ser>
        <c:ser>
          <c:idx val="217"/>
          <c:order val="217"/>
          <c:tx>
            <c:strRef>
              <c:f>IRS!$B$241</c:f>
              <c:strCache>
                <c:ptCount val="1"/>
                <c:pt idx="0">
                  <c:v>Simulation 218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IRS!$G$241:$M$241</c:f>
              <c:numCache>
                <c:formatCode>0</c:formatCode>
                <c:ptCount val="7"/>
                <c:pt idx="0">
                  <c:v>54333.042292533537</c:v>
                </c:pt>
                <c:pt idx="1">
                  <c:v>49201.62248580587</c:v>
                </c:pt>
                <c:pt idx="2">
                  <c:v>42182.05570919517</c:v>
                </c:pt>
                <c:pt idx="3">
                  <c:v>33586.185395854103</c:v>
                </c:pt>
                <c:pt idx="4">
                  <c:v>23567.754820595874</c:v>
                </c:pt>
                <c:pt idx="5">
                  <c:v>12306.735031399243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9-6AC2-440D-9924-4B5B8AB7198A}"/>
            </c:ext>
          </c:extLst>
        </c:ser>
        <c:ser>
          <c:idx val="218"/>
          <c:order val="218"/>
          <c:tx>
            <c:strRef>
              <c:f>IRS!$B$242</c:f>
              <c:strCache>
                <c:ptCount val="1"/>
                <c:pt idx="0">
                  <c:v>Simulation 219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IRS!$G$242:$M$242</c:f>
              <c:numCache>
                <c:formatCode>0</c:formatCode>
                <c:ptCount val="7"/>
                <c:pt idx="0">
                  <c:v>53049.499508311543</c:v>
                </c:pt>
                <c:pt idx="1">
                  <c:v>48138.891091817219</c:v>
                </c:pt>
                <c:pt idx="2">
                  <c:v>41351.272800500701</c:v>
                </c:pt>
                <c:pt idx="3">
                  <c:v>32982.692488587658</c:v>
                </c:pt>
                <c:pt idx="4">
                  <c:v>23181.356319640458</c:v>
                </c:pt>
                <c:pt idx="5">
                  <c:v>12122.664401659234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A-6AC2-440D-9924-4B5B8AB7198A}"/>
            </c:ext>
          </c:extLst>
        </c:ser>
        <c:ser>
          <c:idx val="219"/>
          <c:order val="219"/>
          <c:tx>
            <c:strRef>
              <c:f>IRS!$B$243</c:f>
              <c:strCache>
                <c:ptCount val="1"/>
                <c:pt idx="0">
                  <c:v>Simulation 220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IRS!$G$243:$M$243</c:f>
              <c:numCache>
                <c:formatCode>0</c:formatCode>
                <c:ptCount val="7"/>
                <c:pt idx="0">
                  <c:v>52552.15199587091</c:v>
                </c:pt>
                <c:pt idx="1">
                  <c:v>47722.250432794026</c:v>
                </c:pt>
                <c:pt idx="2">
                  <c:v>41023.91489720509</c:v>
                </c:pt>
                <c:pt idx="3">
                  <c:v>32745.247530748395</c:v>
                </c:pt>
                <c:pt idx="4">
                  <c:v>23030.486346606558</c:v>
                </c:pt>
                <c:pt idx="5">
                  <c:v>12051.768126992672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B-6AC2-440D-9924-4B5B8AB7198A}"/>
            </c:ext>
          </c:extLst>
        </c:ser>
        <c:ser>
          <c:idx val="220"/>
          <c:order val="220"/>
          <c:tx>
            <c:strRef>
              <c:f>IRS!$B$244</c:f>
              <c:strCache>
                <c:ptCount val="1"/>
                <c:pt idx="0">
                  <c:v>Simulation 221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IRS!$G$244:$M$244</c:f>
              <c:numCache>
                <c:formatCode>0</c:formatCode>
                <c:ptCount val="7"/>
                <c:pt idx="0">
                  <c:v>52688.886879482387</c:v>
                </c:pt>
                <c:pt idx="1">
                  <c:v>47806.039843441074</c:v>
                </c:pt>
                <c:pt idx="2">
                  <c:v>41068.885163067585</c:v>
                </c:pt>
                <c:pt idx="3">
                  <c:v>32765.091059054845</c:v>
                </c:pt>
                <c:pt idx="4">
                  <c:v>23036.149592636255</c:v>
                </c:pt>
                <c:pt idx="5">
                  <c:v>12051.602075992058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C-6AC2-440D-9924-4B5B8AB7198A}"/>
            </c:ext>
          </c:extLst>
        </c:ser>
        <c:ser>
          <c:idx val="221"/>
          <c:order val="221"/>
          <c:tx>
            <c:strRef>
              <c:f>IRS!$B$245</c:f>
              <c:strCache>
                <c:ptCount val="1"/>
                <c:pt idx="0">
                  <c:v>Simulation 222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IRS!$G$245:$M$245</c:f>
              <c:numCache>
                <c:formatCode>0</c:formatCode>
                <c:ptCount val="7"/>
                <c:pt idx="0">
                  <c:v>53898.365203035508</c:v>
                </c:pt>
                <c:pt idx="1">
                  <c:v>48811.805548634431</c:v>
                </c:pt>
                <c:pt idx="2">
                  <c:v>41859.636625966778</c:v>
                </c:pt>
                <c:pt idx="3">
                  <c:v>33343.532279860723</c:v>
                </c:pt>
                <c:pt idx="4">
                  <c:v>23409.59409644713</c:v>
                </c:pt>
                <c:pt idx="5">
                  <c:v>12231.217788991953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D-6AC2-440D-9924-4B5B8AB7198A}"/>
            </c:ext>
          </c:extLst>
        </c:ser>
        <c:ser>
          <c:idx val="222"/>
          <c:order val="222"/>
          <c:tx>
            <c:strRef>
              <c:f>IRS!$B$246</c:f>
              <c:strCache>
                <c:ptCount val="1"/>
                <c:pt idx="0">
                  <c:v>Simulation 223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IRS!$G$246:$M$246</c:f>
              <c:numCache>
                <c:formatCode>0</c:formatCode>
                <c:ptCount val="7"/>
                <c:pt idx="0">
                  <c:v>51886.366895139734</c:v>
                </c:pt>
                <c:pt idx="1">
                  <c:v>47130.306130550634</c:v>
                </c:pt>
                <c:pt idx="2">
                  <c:v>40529.6608877486</c:v>
                </c:pt>
                <c:pt idx="3">
                  <c:v>32364.178980300952</c:v>
                </c:pt>
                <c:pt idx="4">
                  <c:v>22772.789995250081</c:v>
                </c:pt>
                <c:pt idx="5">
                  <c:v>11922.604129113077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E-6AC2-440D-9924-4B5B8AB7198A}"/>
            </c:ext>
          </c:extLst>
        </c:ser>
        <c:ser>
          <c:idx val="223"/>
          <c:order val="223"/>
          <c:tx>
            <c:strRef>
              <c:f>IRS!$B$247</c:f>
              <c:strCache>
                <c:ptCount val="1"/>
                <c:pt idx="0">
                  <c:v>Simulation 224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IRS!$G$247:$M$247</c:f>
              <c:numCache>
                <c:formatCode>0</c:formatCode>
                <c:ptCount val="7"/>
                <c:pt idx="0">
                  <c:v>51468.498906424975</c:v>
                </c:pt>
                <c:pt idx="1">
                  <c:v>46769.228779882644</c:v>
                </c:pt>
                <c:pt idx="2">
                  <c:v>40233.831307990498</c:v>
                </c:pt>
                <c:pt idx="3">
                  <c:v>32138.476811126806</c:v>
                </c:pt>
                <c:pt idx="4">
                  <c:v>22620.731986920582</c:v>
                </c:pt>
                <c:pt idx="5">
                  <c:v>11846.262473092398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DF-6AC2-440D-9924-4B5B8AB7198A}"/>
            </c:ext>
          </c:extLst>
        </c:ser>
        <c:ser>
          <c:idx val="224"/>
          <c:order val="224"/>
          <c:tx>
            <c:strRef>
              <c:f>IRS!$B$248</c:f>
              <c:strCache>
                <c:ptCount val="1"/>
                <c:pt idx="0">
                  <c:v>Simulation 225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IRS!$G$248:$M$248</c:f>
              <c:numCache>
                <c:formatCode>0</c:formatCode>
                <c:ptCount val="7"/>
                <c:pt idx="0">
                  <c:v>49781.539662036048</c:v>
                </c:pt>
                <c:pt idx="1">
                  <c:v>45348.266789799221</c:v>
                </c:pt>
                <c:pt idx="2">
                  <c:v>39102.28890706136</c:v>
                </c:pt>
                <c:pt idx="3">
                  <c:v>31300.655552336451</c:v>
                </c:pt>
                <c:pt idx="4">
                  <c:v>22073.568088340755</c:v>
                </c:pt>
                <c:pt idx="5">
                  <c:v>11580.190634932806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0-6AC2-440D-9924-4B5B8AB7198A}"/>
            </c:ext>
          </c:extLst>
        </c:ser>
        <c:ser>
          <c:idx val="225"/>
          <c:order val="225"/>
          <c:tx>
            <c:strRef>
              <c:f>IRS!$B$249</c:f>
              <c:strCache>
                <c:ptCount val="1"/>
                <c:pt idx="0">
                  <c:v>Simulation 226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IRS!$G$249:$M$249</c:f>
              <c:numCache>
                <c:formatCode>0</c:formatCode>
                <c:ptCount val="7"/>
                <c:pt idx="0">
                  <c:v>49287.854092977366</c:v>
                </c:pt>
                <c:pt idx="1">
                  <c:v>45035.984303099649</c:v>
                </c:pt>
                <c:pt idx="2">
                  <c:v>38926.387064318398</c:v>
                </c:pt>
                <c:pt idx="3">
                  <c:v>31216.464920583923</c:v>
                </c:pt>
                <c:pt idx="4">
                  <c:v>22044.347369849926</c:v>
                </c:pt>
                <c:pt idx="5">
                  <c:v>11576.715980516581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1-6AC2-440D-9924-4B5B8AB7198A}"/>
            </c:ext>
          </c:extLst>
        </c:ser>
        <c:ser>
          <c:idx val="226"/>
          <c:order val="226"/>
          <c:tx>
            <c:strRef>
              <c:f>IRS!$B$250</c:f>
              <c:strCache>
                <c:ptCount val="1"/>
                <c:pt idx="0">
                  <c:v>Simulation 227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IRS!$G$250:$M$250</c:f>
              <c:numCache>
                <c:formatCode>0</c:formatCode>
                <c:ptCount val="7"/>
                <c:pt idx="0">
                  <c:v>48950.214288996205</c:v>
                </c:pt>
                <c:pt idx="1">
                  <c:v>44840.080439514808</c:v>
                </c:pt>
                <c:pt idx="2">
                  <c:v>38829.504999131401</c:v>
                </c:pt>
                <c:pt idx="3">
                  <c:v>31179.831191254198</c:v>
                </c:pt>
                <c:pt idx="4">
                  <c:v>22038.51303024112</c:v>
                </c:pt>
                <c:pt idx="5">
                  <c:v>11580.645309661028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2-6AC2-440D-9924-4B5B8AB7198A}"/>
            </c:ext>
          </c:extLst>
        </c:ser>
        <c:ser>
          <c:idx val="227"/>
          <c:order val="227"/>
          <c:tx>
            <c:strRef>
              <c:f>IRS!$B$251</c:f>
              <c:strCache>
                <c:ptCount val="1"/>
                <c:pt idx="0">
                  <c:v>Simulation 228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IRS!$G$251:$M$251</c:f>
              <c:numCache>
                <c:formatCode>0</c:formatCode>
                <c:ptCount val="7"/>
                <c:pt idx="0">
                  <c:v>51723.754755422924</c:v>
                </c:pt>
                <c:pt idx="1">
                  <c:v>47022.128723315123</c:v>
                </c:pt>
                <c:pt idx="2">
                  <c:v>40460.286924641565</c:v>
                </c:pt>
                <c:pt idx="3">
                  <c:v>32320.965315617508</c:v>
                </c:pt>
                <c:pt idx="4">
                  <c:v>22747.568974052861</c:v>
                </c:pt>
                <c:pt idx="5">
                  <c:v>11910.834655296003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3-6AC2-440D-9924-4B5B8AB7198A}"/>
            </c:ext>
          </c:extLst>
        </c:ser>
        <c:ser>
          <c:idx val="228"/>
          <c:order val="228"/>
          <c:tx>
            <c:strRef>
              <c:f>IRS!$B$252</c:f>
              <c:strCache>
                <c:ptCount val="1"/>
                <c:pt idx="0">
                  <c:v>Simulation 229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IRS!$G$252:$M$252</c:f>
              <c:numCache>
                <c:formatCode>0</c:formatCode>
                <c:ptCount val="7"/>
                <c:pt idx="0">
                  <c:v>53133.284117948679</c:v>
                </c:pt>
                <c:pt idx="1">
                  <c:v>48229.555115582843</c:v>
                </c:pt>
                <c:pt idx="2">
                  <c:v>41438.438591670667</c:v>
                </c:pt>
                <c:pt idx="3">
                  <c:v>33057.734552003123</c:v>
                </c:pt>
                <c:pt idx="4">
                  <c:v>23237.097886570311</c:v>
                </c:pt>
                <c:pt idx="5">
                  <c:v>12153.047289892673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4-6AC2-440D-9924-4B5B8AB7198A}"/>
            </c:ext>
          </c:extLst>
        </c:ser>
        <c:ser>
          <c:idx val="229"/>
          <c:order val="229"/>
          <c:tx>
            <c:strRef>
              <c:f>IRS!$B$253</c:f>
              <c:strCache>
                <c:ptCount val="1"/>
                <c:pt idx="0">
                  <c:v>Simulation 230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IRS!$G$253:$M$253</c:f>
              <c:numCache>
                <c:formatCode>0</c:formatCode>
                <c:ptCount val="7"/>
                <c:pt idx="0">
                  <c:v>53332.945780838731</c:v>
                </c:pt>
                <c:pt idx="1">
                  <c:v>48473.164275107447</c:v>
                </c:pt>
                <c:pt idx="2">
                  <c:v>41686.94408562623</c:v>
                </c:pt>
                <c:pt idx="3">
                  <c:v>33277.335832046389</c:v>
                </c:pt>
                <c:pt idx="4">
                  <c:v>23401.176181072085</c:v>
                </c:pt>
                <c:pt idx="5">
                  <c:v>12241.816705165722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5-6AC2-440D-9924-4B5B8AB7198A}"/>
            </c:ext>
          </c:extLst>
        </c:ser>
        <c:ser>
          <c:idx val="230"/>
          <c:order val="230"/>
          <c:tx>
            <c:strRef>
              <c:f>IRS!$B$254</c:f>
              <c:strCache>
                <c:ptCount val="1"/>
                <c:pt idx="0">
                  <c:v>Simulation 231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IRS!$G$254:$M$254</c:f>
              <c:numCache>
                <c:formatCode>0</c:formatCode>
                <c:ptCount val="7"/>
                <c:pt idx="0">
                  <c:v>53349.891807241664</c:v>
                </c:pt>
                <c:pt idx="1">
                  <c:v>48405.824874300692</c:v>
                </c:pt>
                <c:pt idx="2">
                  <c:v>41572.629251464314</c:v>
                </c:pt>
                <c:pt idx="3">
                  <c:v>33151.896710762841</c:v>
                </c:pt>
                <c:pt idx="4">
                  <c:v>23294.865442544433</c:v>
                </c:pt>
                <c:pt idx="5">
                  <c:v>12179.186151834447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6-6AC2-440D-9924-4B5B8AB7198A}"/>
            </c:ext>
          </c:extLst>
        </c:ser>
        <c:ser>
          <c:idx val="231"/>
          <c:order val="231"/>
          <c:tx>
            <c:strRef>
              <c:f>IRS!$B$255</c:f>
              <c:strCache>
                <c:ptCount val="1"/>
                <c:pt idx="0">
                  <c:v>Simulation 232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IRS!$G$255:$M$255</c:f>
              <c:numCache>
                <c:formatCode>0</c:formatCode>
                <c:ptCount val="7"/>
                <c:pt idx="0">
                  <c:v>53399.976341717062</c:v>
                </c:pt>
                <c:pt idx="1">
                  <c:v>48508.484547202446</c:v>
                </c:pt>
                <c:pt idx="2">
                  <c:v>41700.665870327677</c:v>
                </c:pt>
                <c:pt idx="3">
                  <c:v>33278.828333111393</c:v>
                </c:pt>
                <c:pt idx="4">
                  <c:v>23397.636260507184</c:v>
                </c:pt>
                <c:pt idx="5">
                  <c:v>12238.389388061605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7-6AC2-440D-9924-4B5B8AB7198A}"/>
            </c:ext>
          </c:extLst>
        </c:ser>
        <c:ser>
          <c:idx val="232"/>
          <c:order val="232"/>
          <c:tx>
            <c:strRef>
              <c:f>IRS!$B$256</c:f>
              <c:strCache>
                <c:ptCount val="1"/>
                <c:pt idx="0">
                  <c:v>Simulation 233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IRS!$G$256:$M$256</c:f>
              <c:numCache>
                <c:formatCode>0</c:formatCode>
                <c:ptCount val="7"/>
                <c:pt idx="0">
                  <c:v>54638.655270306364</c:v>
                </c:pt>
                <c:pt idx="1">
                  <c:v>49483.660794994576</c:v>
                </c:pt>
                <c:pt idx="2">
                  <c:v>42427.415699811332</c:v>
                </c:pt>
                <c:pt idx="3">
                  <c:v>33784.218505102501</c:v>
                </c:pt>
                <c:pt idx="4">
                  <c:v>23708.63988268168</c:v>
                </c:pt>
                <c:pt idx="5">
                  <c:v>12381.317848920113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8-6AC2-440D-9924-4B5B8AB7198A}"/>
            </c:ext>
          </c:extLst>
        </c:ser>
        <c:ser>
          <c:idx val="233"/>
          <c:order val="233"/>
          <c:tx>
            <c:strRef>
              <c:f>IRS!$B$257</c:f>
              <c:strCache>
                <c:ptCount val="1"/>
                <c:pt idx="0">
                  <c:v>Simulation 234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IRS!$G$257:$M$257</c:f>
              <c:numCache>
                <c:formatCode>0</c:formatCode>
                <c:ptCount val="7"/>
                <c:pt idx="0">
                  <c:v>54428.743333886829</c:v>
                </c:pt>
                <c:pt idx="1">
                  <c:v>49237.886203400383</c:v>
                </c:pt>
                <c:pt idx="2">
                  <c:v>42183.009554137898</c:v>
                </c:pt>
                <c:pt idx="3">
                  <c:v>33572.380906554972</c:v>
                </c:pt>
                <c:pt idx="4">
                  <c:v>23552.998243032191</c:v>
                </c:pt>
                <c:pt idx="5">
                  <c:v>12298.418479825425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9-6AC2-440D-9924-4B5B8AB7198A}"/>
            </c:ext>
          </c:extLst>
        </c:ser>
        <c:ser>
          <c:idx val="234"/>
          <c:order val="234"/>
          <c:tx>
            <c:strRef>
              <c:f>IRS!$B$258</c:f>
              <c:strCache>
                <c:ptCount val="1"/>
                <c:pt idx="0">
                  <c:v>Simulation 235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IRS!$G$258:$M$258</c:f>
              <c:numCache>
                <c:formatCode>0</c:formatCode>
                <c:ptCount val="7"/>
                <c:pt idx="0">
                  <c:v>52474.404525625578</c:v>
                </c:pt>
                <c:pt idx="1">
                  <c:v>47663.90854927132</c:v>
                </c:pt>
                <c:pt idx="2">
                  <c:v>40978.640994105896</c:v>
                </c:pt>
                <c:pt idx="3">
                  <c:v>32710.1461862422</c:v>
                </c:pt>
                <c:pt idx="4">
                  <c:v>23005.374758517377</c:v>
                </c:pt>
                <c:pt idx="5">
                  <c:v>12038.061209026882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A-6AC2-440D-9924-4B5B8AB7198A}"/>
            </c:ext>
          </c:extLst>
        </c:ser>
        <c:ser>
          <c:idx val="235"/>
          <c:order val="235"/>
          <c:tx>
            <c:strRef>
              <c:f>IRS!$B$259</c:f>
              <c:strCache>
                <c:ptCount val="1"/>
                <c:pt idx="0">
                  <c:v>Simulation 236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IRS!$G$259:$M$259</c:f>
              <c:numCache>
                <c:formatCode>0</c:formatCode>
                <c:ptCount val="7"/>
                <c:pt idx="0">
                  <c:v>48216.844213654818</c:v>
                </c:pt>
                <c:pt idx="1">
                  <c:v>44161.104370624351</c:v>
                </c:pt>
                <c:pt idx="2">
                  <c:v>38245.793024339764</c:v>
                </c:pt>
                <c:pt idx="3">
                  <c:v>30720.811887764539</c:v>
                </c:pt>
                <c:pt idx="4">
                  <c:v>21724.148498702321</c:v>
                </c:pt>
                <c:pt idx="5">
                  <c:v>11421.946196807257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B-6AC2-440D-9924-4B5B8AB7198A}"/>
            </c:ext>
          </c:extLst>
        </c:ser>
        <c:ser>
          <c:idx val="236"/>
          <c:order val="236"/>
          <c:tx>
            <c:strRef>
              <c:f>IRS!$B$260</c:f>
              <c:strCache>
                <c:ptCount val="1"/>
                <c:pt idx="0">
                  <c:v>Simulation 237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IRS!$G$260:$M$260</c:f>
              <c:numCache>
                <c:formatCode>0</c:formatCode>
                <c:ptCount val="7"/>
                <c:pt idx="0">
                  <c:v>49153.115700580856</c:v>
                </c:pt>
                <c:pt idx="1">
                  <c:v>44899.442467354231</c:v>
                </c:pt>
                <c:pt idx="2">
                  <c:v>38795.107589056744</c:v>
                </c:pt>
                <c:pt idx="3">
                  <c:v>31100.603455970777</c:v>
                </c:pt>
                <c:pt idx="4">
                  <c:v>21955.486507428752</c:v>
                </c:pt>
                <c:pt idx="5">
                  <c:v>11526.678715709504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C-6AC2-440D-9924-4B5B8AB7198A}"/>
            </c:ext>
          </c:extLst>
        </c:ser>
        <c:ser>
          <c:idx val="237"/>
          <c:order val="237"/>
          <c:tx>
            <c:strRef>
              <c:f>IRS!$B$261</c:f>
              <c:strCache>
                <c:ptCount val="1"/>
                <c:pt idx="0">
                  <c:v>Simulation 238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IRS!$G$261:$M$261</c:f>
              <c:numCache>
                <c:formatCode>0</c:formatCode>
                <c:ptCount val="7"/>
                <c:pt idx="0">
                  <c:v>48454.413109741879</c:v>
                </c:pt>
                <c:pt idx="1">
                  <c:v>44352.887424547873</c:v>
                </c:pt>
                <c:pt idx="2">
                  <c:v>38391.799361091813</c:v>
                </c:pt>
                <c:pt idx="3">
                  <c:v>30824.076502015305</c:v>
                </c:pt>
                <c:pt idx="4">
                  <c:v>21788.516948132637</c:v>
                </c:pt>
                <c:pt idx="5">
                  <c:v>11451.794649270918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D-6AC2-440D-9924-4B5B8AB7198A}"/>
            </c:ext>
          </c:extLst>
        </c:ser>
        <c:ser>
          <c:idx val="238"/>
          <c:order val="238"/>
          <c:tx>
            <c:strRef>
              <c:f>IRS!$B$262</c:f>
              <c:strCache>
                <c:ptCount val="1"/>
                <c:pt idx="0">
                  <c:v>Simulation 239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IRS!$G$262:$M$262</c:f>
              <c:numCache>
                <c:formatCode>0</c:formatCode>
                <c:ptCount val="7"/>
                <c:pt idx="0">
                  <c:v>48625.855159351442</c:v>
                </c:pt>
                <c:pt idx="1">
                  <c:v>44515.128289083572</c:v>
                </c:pt>
                <c:pt idx="2">
                  <c:v>38532.380299793949</c:v>
                </c:pt>
                <c:pt idx="3">
                  <c:v>30934.523858969809</c:v>
                </c:pt>
                <c:pt idx="4">
                  <c:v>21863.652400421175</c:v>
                </c:pt>
                <c:pt idx="5">
                  <c:v>11489.310928400173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E-6AC2-440D-9924-4B5B8AB7198A}"/>
            </c:ext>
          </c:extLst>
        </c:ser>
        <c:ser>
          <c:idx val="239"/>
          <c:order val="239"/>
          <c:tx>
            <c:strRef>
              <c:f>IRS!$B$263</c:f>
              <c:strCache>
                <c:ptCount val="1"/>
                <c:pt idx="0">
                  <c:v>Simulation 240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IRS!$G$263:$M$263</c:f>
              <c:numCache>
                <c:formatCode>0</c:formatCode>
                <c:ptCount val="7"/>
                <c:pt idx="0">
                  <c:v>49408.67069368597</c:v>
                </c:pt>
                <c:pt idx="1">
                  <c:v>45281.808546025728</c:v>
                </c:pt>
                <c:pt idx="2">
                  <c:v>39215.247091704856</c:v>
                </c:pt>
                <c:pt idx="3">
                  <c:v>31483.553892095748</c:v>
                </c:pt>
                <c:pt idx="4">
                  <c:v>22244.930201460957</c:v>
                </c:pt>
                <c:pt idx="5">
                  <c:v>11683.400439129493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F-6AC2-440D-9924-4B5B8AB7198A}"/>
            </c:ext>
          </c:extLst>
        </c:ser>
        <c:ser>
          <c:idx val="240"/>
          <c:order val="240"/>
          <c:tx>
            <c:strRef>
              <c:f>IRS!$B$264</c:f>
              <c:strCache>
                <c:ptCount val="1"/>
                <c:pt idx="0">
                  <c:v>Simulation 241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IRS!$G$264:$M$264</c:f>
              <c:numCache>
                <c:formatCode>0</c:formatCode>
                <c:ptCount val="7"/>
                <c:pt idx="0">
                  <c:v>50685.83914126709</c:v>
                </c:pt>
                <c:pt idx="1">
                  <c:v>46396.223411892242</c:v>
                </c:pt>
                <c:pt idx="2">
                  <c:v>40131.739756204639</c:v>
                </c:pt>
                <c:pt idx="3">
                  <c:v>32181.95687559263</c:v>
                </c:pt>
                <c:pt idx="4">
                  <c:v>22713.095613414363</c:v>
                </c:pt>
                <c:pt idx="5">
                  <c:v>11916.570957010999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0-6AC2-440D-9924-4B5B8AB7198A}"/>
            </c:ext>
          </c:extLst>
        </c:ser>
        <c:ser>
          <c:idx val="241"/>
          <c:order val="241"/>
          <c:tx>
            <c:strRef>
              <c:f>IRS!$B$265</c:f>
              <c:strCache>
                <c:ptCount val="1"/>
                <c:pt idx="0">
                  <c:v>Simulation 242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IRS!$G$265:$M$265</c:f>
              <c:numCache>
                <c:formatCode>0</c:formatCode>
                <c:ptCount val="7"/>
                <c:pt idx="0">
                  <c:v>50930.666765704198</c:v>
                </c:pt>
                <c:pt idx="1">
                  <c:v>46682.865076442758</c:v>
                </c:pt>
                <c:pt idx="2">
                  <c:v>40416.470648602881</c:v>
                </c:pt>
                <c:pt idx="3">
                  <c:v>32428.455108189155</c:v>
                </c:pt>
                <c:pt idx="4">
                  <c:v>22893.994861068692</c:v>
                </c:pt>
                <c:pt idx="5">
                  <c:v>12012.81578459616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1-6AC2-440D-9924-4B5B8AB7198A}"/>
            </c:ext>
          </c:extLst>
        </c:ser>
        <c:ser>
          <c:idx val="242"/>
          <c:order val="242"/>
          <c:tx>
            <c:strRef>
              <c:f>IRS!$B$266</c:f>
              <c:strCache>
                <c:ptCount val="1"/>
                <c:pt idx="0">
                  <c:v>Simulation 243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IRS!$G$266:$M$266</c:f>
              <c:numCache>
                <c:formatCode>0</c:formatCode>
                <c:ptCount val="7"/>
                <c:pt idx="0">
                  <c:v>57029.839587927498</c:v>
                </c:pt>
                <c:pt idx="1">
                  <c:v>51635.480671400372</c:v>
                </c:pt>
                <c:pt idx="2">
                  <c:v>44229.602083170263</c:v>
                </c:pt>
                <c:pt idx="3">
                  <c:v>35168.988164081878</c:v>
                </c:pt>
                <c:pt idx="4">
                  <c:v>24637.576110030255</c:v>
                </c:pt>
                <c:pt idx="5">
                  <c:v>12841.535213051771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2-6AC2-440D-9924-4B5B8AB7198A}"/>
            </c:ext>
          </c:extLst>
        </c:ser>
        <c:ser>
          <c:idx val="243"/>
          <c:order val="243"/>
          <c:tx>
            <c:strRef>
              <c:f>IRS!$B$267</c:f>
              <c:strCache>
                <c:ptCount val="1"/>
                <c:pt idx="0">
                  <c:v>Simulation 244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IRS!$G$267:$M$267</c:f>
              <c:numCache>
                <c:formatCode>0</c:formatCode>
                <c:ptCount val="7"/>
                <c:pt idx="0">
                  <c:v>61066.223298675803</c:v>
                </c:pt>
                <c:pt idx="1">
                  <c:v>54928.971719181427</c:v>
                </c:pt>
                <c:pt idx="2">
                  <c:v>46776.430927249756</c:v>
                </c:pt>
                <c:pt idx="3">
                  <c:v>37006.964316747384</c:v>
                </c:pt>
                <c:pt idx="4">
                  <c:v>25811.479912999977</c:v>
                </c:pt>
                <c:pt idx="5">
                  <c:v>13401.534763855365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3-6AC2-440D-9924-4B5B8AB7198A}"/>
            </c:ext>
          </c:extLst>
        </c:ser>
        <c:ser>
          <c:idx val="244"/>
          <c:order val="244"/>
          <c:tx>
            <c:strRef>
              <c:f>IRS!$B$268</c:f>
              <c:strCache>
                <c:ptCount val="1"/>
                <c:pt idx="0">
                  <c:v>Simulation 245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IRS!$G$268:$M$268</c:f>
              <c:numCache>
                <c:formatCode>0</c:formatCode>
                <c:ptCount val="7"/>
                <c:pt idx="0">
                  <c:v>60166.988291492045</c:v>
                </c:pt>
                <c:pt idx="1">
                  <c:v>54199.132971272011</c:v>
                </c:pt>
                <c:pt idx="2">
                  <c:v>46214.792730250418</c:v>
                </c:pt>
                <c:pt idx="3">
                  <c:v>36603.353527972336</c:v>
                </c:pt>
                <c:pt idx="4">
                  <c:v>25554.641073785973</c:v>
                </c:pt>
                <c:pt idx="5">
                  <c:v>13279.401222991482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4-6AC2-440D-9924-4B5B8AB7198A}"/>
            </c:ext>
          </c:extLst>
        </c:ser>
        <c:ser>
          <c:idx val="245"/>
          <c:order val="245"/>
          <c:tx>
            <c:strRef>
              <c:f>IRS!$B$269</c:f>
              <c:strCache>
                <c:ptCount val="1"/>
                <c:pt idx="0">
                  <c:v>Simulation 246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IRS!$G$269:$M$269</c:f>
              <c:numCache>
                <c:formatCode>0</c:formatCode>
                <c:ptCount val="7"/>
                <c:pt idx="0">
                  <c:v>60279.471817970218</c:v>
                </c:pt>
                <c:pt idx="1">
                  <c:v>54350.104631191731</c:v>
                </c:pt>
                <c:pt idx="2">
                  <c:v>46375.981850990865</c:v>
                </c:pt>
                <c:pt idx="3">
                  <c:v>36749.641140882173</c:v>
                </c:pt>
                <c:pt idx="4">
                  <c:v>25665.929981284353</c:v>
                </c:pt>
                <c:pt idx="5">
                  <c:v>13340.422931860583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5-6AC2-440D-9924-4B5B8AB7198A}"/>
            </c:ext>
          </c:extLst>
        </c:ser>
        <c:ser>
          <c:idx val="246"/>
          <c:order val="246"/>
          <c:tx>
            <c:strRef>
              <c:f>IRS!$B$270</c:f>
              <c:strCache>
                <c:ptCount val="1"/>
                <c:pt idx="0">
                  <c:v>Simulation 247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IRS!$G$270:$M$270</c:f>
              <c:numCache>
                <c:formatCode>0</c:formatCode>
                <c:ptCount val="7"/>
                <c:pt idx="0">
                  <c:v>60226.021557312582</c:v>
                </c:pt>
                <c:pt idx="1">
                  <c:v>54271.362433023904</c:v>
                </c:pt>
                <c:pt idx="2">
                  <c:v>46288.539802940133</c:v>
                </c:pt>
                <c:pt idx="3">
                  <c:v>36668.564459441943</c:v>
                </c:pt>
                <c:pt idx="4">
                  <c:v>25603.412134662613</c:v>
                </c:pt>
                <c:pt idx="5">
                  <c:v>13305.824807229457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6-6AC2-440D-9924-4B5B8AB7198A}"/>
            </c:ext>
          </c:extLst>
        </c:ser>
        <c:ser>
          <c:idx val="247"/>
          <c:order val="247"/>
          <c:tx>
            <c:strRef>
              <c:f>IRS!$B$271</c:f>
              <c:strCache>
                <c:ptCount val="1"/>
                <c:pt idx="0">
                  <c:v>Simulation 248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IRS!$G$271:$M$271</c:f>
              <c:numCache>
                <c:formatCode>0</c:formatCode>
                <c:ptCount val="7"/>
                <c:pt idx="0">
                  <c:v>61160.940148805399</c:v>
                </c:pt>
                <c:pt idx="1">
                  <c:v>55091.584341072899</c:v>
                </c:pt>
                <c:pt idx="2">
                  <c:v>46960.747440138366</c:v>
                </c:pt>
                <c:pt idx="3">
                  <c:v>37175.518892747605</c:v>
                </c:pt>
                <c:pt idx="4">
                  <c:v>25937.830787992661</c:v>
                </c:pt>
                <c:pt idx="5">
                  <c:v>13468.946197018226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7-6AC2-440D-9924-4B5B8AB7198A}"/>
            </c:ext>
          </c:extLst>
        </c:ser>
        <c:ser>
          <c:idx val="248"/>
          <c:order val="248"/>
          <c:tx>
            <c:strRef>
              <c:f>IRS!$B$272</c:f>
              <c:strCache>
                <c:ptCount val="1"/>
                <c:pt idx="0">
                  <c:v>Simulation 249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IRS!$G$272:$M$272</c:f>
              <c:numCache>
                <c:formatCode>0</c:formatCode>
                <c:ptCount val="7"/>
                <c:pt idx="0">
                  <c:v>59402.569274272464</c:v>
                </c:pt>
                <c:pt idx="1">
                  <c:v>53670.844980639777</c:v>
                </c:pt>
                <c:pt idx="2">
                  <c:v>45873.596928716033</c:v>
                </c:pt>
                <c:pt idx="3">
                  <c:v>36399.417235388042</c:v>
                </c:pt>
                <c:pt idx="4">
                  <c:v>25447.651772687503</c:v>
                </c:pt>
                <c:pt idx="5">
                  <c:v>13237.783272522538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8-6AC2-440D-9924-4B5B8AB7198A}"/>
            </c:ext>
          </c:extLst>
        </c:ser>
        <c:ser>
          <c:idx val="249"/>
          <c:order val="249"/>
          <c:tx>
            <c:strRef>
              <c:f>IRS!$B$273</c:f>
              <c:strCache>
                <c:ptCount val="1"/>
                <c:pt idx="0">
                  <c:v>Simulation 250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IRS!$G$273:$M$273</c:f>
              <c:numCache>
                <c:formatCode>0</c:formatCode>
                <c:ptCount val="7"/>
                <c:pt idx="0">
                  <c:v>62616.743571157167</c:v>
                </c:pt>
                <c:pt idx="1">
                  <c:v>56332.353300330302</c:v>
                </c:pt>
                <c:pt idx="2">
                  <c:v>47959.016731398784</c:v>
                </c:pt>
                <c:pt idx="3">
                  <c:v>37921.520119154935</c:v>
                </c:pt>
                <c:pt idx="4">
                  <c:v>26429.187923250101</c:v>
                </c:pt>
                <c:pt idx="5">
                  <c:v>13709.796577650088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9-6AC2-440D-9924-4B5B8AB7198A}"/>
            </c:ext>
          </c:extLst>
        </c:ser>
        <c:ser>
          <c:idx val="250"/>
          <c:order val="250"/>
          <c:tx>
            <c:strRef>
              <c:f>IRS!$B$274</c:f>
              <c:strCache>
                <c:ptCount val="1"/>
                <c:pt idx="0">
                  <c:v>Simulation 251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strRef>
              <c:f>IRS!$G$23:$M$23</c:f>
              <c:strCache>
                <c:ptCount val="7"/>
                <c:pt idx="0">
                  <c:v>T4</c:v>
                </c:pt>
                <c:pt idx="1">
                  <c:v>T5</c:v>
                </c:pt>
                <c:pt idx="2">
                  <c:v>T6</c:v>
                </c:pt>
                <c:pt idx="3">
                  <c:v>T7</c:v>
                </c:pt>
                <c:pt idx="4">
                  <c:v>T8</c:v>
                </c:pt>
                <c:pt idx="5">
                  <c:v>T9</c:v>
                </c:pt>
                <c:pt idx="6">
                  <c:v>T10</c:v>
                </c:pt>
              </c:strCache>
            </c:strRef>
          </c:cat>
          <c:val>
            <c:numRef>
              <c:f>IRS!$G$274:$M$274</c:f>
              <c:numCache>
                <c:formatCode>0</c:formatCode>
                <c:ptCount val="7"/>
                <c:pt idx="0">
                  <c:v>59282.393983390328</c:v>
                </c:pt>
                <c:pt idx="1">
                  <c:v>53574.895344226621</c:v>
                </c:pt>
                <c:pt idx="2">
                  <c:v>45759.787830466033</c:v>
                </c:pt>
                <c:pt idx="3">
                  <c:v>36231.468162647368</c:v>
                </c:pt>
                <c:pt idx="4">
                  <c:v>25673.737510759645</c:v>
                </c:pt>
                <c:pt idx="5">
                  <c:v>13358.541942810987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A-6AC2-440D-9924-4B5B8AB71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0905520"/>
        <c:axId val="860904864"/>
      </c:lineChart>
      <c:catAx>
        <c:axId val="86090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904864"/>
        <c:crosses val="autoZero"/>
        <c:auto val="1"/>
        <c:lblAlgn val="ctr"/>
        <c:lblOffset val="100"/>
        <c:noMultiLvlLbl val="0"/>
      </c:catAx>
      <c:valAx>
        <c:axId val="86090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90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CVA_PERIOD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CVA!$A$7</c:f>
              <c:strCache>
                <c:ptCount val="1"/>
                <c:pt idx="0">
                  <c:v> CVA_PERIODO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CVA!$B$2:$K$2</c:f>
              <c:strCache>
                <c:ptCount val="10"/>
                <c:pt idx="0">
                  <c:v>T0-T1</c:v>
                </c:pt>
                <c:pt idx="1">
                  <c:v>T1-T2</c:v>
                </c:pt>
                <c:pt idx="2">
                  <c:v>T2-T3</c:v>
                </c:pt>
                <c:pt idx="3">
                  <c:v>T3-T4</c:v>
                </c:pt>
                <c:pt idx="4">
                  <c:v>T4-T5</c:v>
                </c:pt>
                <c:pt idx="5">
                  <c:v>T5-T6</c:v>
                </c:pt>
                <c:pt idx="6">
                  <c:v>T6-T7</c:v>
                </c:pt>
                <c:pt idx="7">
                  <c:v>T7-T8</c:v>
                </c:pt>
                <c:pt idx="8">
                  <c:v>T8-T9</c:v>
                </c:pt>
                <c:pt idx="9">
                  <c:v>T9-T10</c:v>
                </c:pt>
              </c:strCache>
            </c:strRef>
          </c:cat>
          <c:val>
            <c:numRef>
              <c:f>CVA!$B$7:$K$7</c:f>
              <c:numCache>
                <c:formatCode>_-[$$-409]* #,##0.00_ ;_-[$$-409]* \-#,##0.00\ ;_-[$$-409]* "-"??_ ;_-@_ </c:formatCode>
                <c:ptCount val="10"/>
                <c:pt idx="0">
                  <c:v>0.80770413154769105</c:v>
                </c:pt>
                <c:pt idx="1">
                  <c:v>26.010168716384253</c:v>
                </c:pt>
                <c:pt idx="2">
                  <c:v>87.982580447425093</c:v>
                </c:pt>
                <c:pt idx="3">
                  <c:v>157.96462207116386</c:v>
                </c:pt>
                <c:pt idx="4">
                  <c:v>205.19350162118647</c:v>
                </c:pt>
                <c:pt idx="5">
                  <c:v>233.00504343276046</c:v>
                </c:pt>
                <c:pt idx="6">
                  <c:v>208.6083467005617</c:v>
                </c:pt>
                <c:pt idx="7">
                  <c:v>175.50366567568923</c:v>
                </c:pt>
                <c:pt idx="8">
                  <c:v>119.77823179021937</c:v>
                </c:pt>
                <c:pt idx="9">
                  <c:v>49.899956506677384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CD-4D58-B4D8-BFE027276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48548112"/>
        <c:axId val="848543520"/>
      </c:barChart>
      <c:catAx>
        <c:axId val="84854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543520"/>
        <c:crosses val="autoZero"/>
        <c:auto val="1"/>
        <c:lblAlgn val="ctr"/>
        <c:lblOffset val="100"/>
        <c:noMultiLvlLbl val="0"/>
      </c:catAx>
      <c:valAx>
        <c:axId val="84854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54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93182368242824"/>
          <c:y val="4.5360091263074956E-2"/>
          <c:w val="0.8304832469290726"/>
          <c:h val="0.9002077992212350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webex!$A$42</c:f>
              <c:strCache>
                <c:ptCount val="1"/>
                <c:pt idx="0">
                  <c:v>MtM(t)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webex!$B$29:$L$29</c:f>
              <c:numCache>
                <c:formatCode>General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xVal>
          <c:yVal>
            <c:numRef>
              <c:f>webex!$B$42:$L$42</c:f>
              <c:numCache>
                <c:formatCode>0.00000</c:formatCode>
                <c:ptCount val="11"/>
                <c:pt idx="0">
                  <c:v>21434.520041450505</c:v>
                </c:pt>
                <c:pt idx="1">
                  <c:v>28253.886882828614</c:v>
                </c:pt>
                <c:pt idx="2">
                  <c:v>32175.896447070612</c:v>
                </c:pt>
                <c:pt idx="3">
                  <c:v>32948.06059144836</c:v>
                </c:pt>
                <c:pt idx="4">
                  <c:v>26686.14239100333</c:v>
                </c:pt>
                <c:pt idx="5">
                  <c:v>21842.746321755796</c:v>
                </c:pt>
                <c:pt idx="6">
                  <c:v>12896.946059202393</c:v>
                </c:pt>
                <c:pt idx="7">
                  <c:v>9417.0734461466891</c:v>
                </c:pt>
                <c:pt idx="8">
                  <c:v>7093.0590376501277</c:v>
                </c:pt>
                <c:pt idx="9">
                  <c:v>4504.8359793325217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4-4E00-8913-942C49B85ED3}"/>
            </c:ext>
          </c:extLst>
        </c:ser>
        <c:ser>
          <c:idx val="1"/>
          <c:order val="1"/>
          <c:tx>
            <c:strRef>
              <c:f>webex!$A$43</c:f>
              <c:strCache>
                <c:ptCount val="1"/>
                <c:pt idx="0">
                  <c:v>Positive Exposure(t)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webex!$B$29:$L$29</c:f>
              <c:numCache>
                <c:formatCode>General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xVal>
          <c:yVal>
            <c:numRef>
              <c:f>webex!$B$43:$L$43</c:f>
              <c:numCache>
                <c:formatCode>0.00000</c:formatCode>
                <c:ptCount val="11"/>
                <c:pt idx="0">
                  <c:v>21434.520041450505</c:v>
                </c:pt>
                <c:pt idx="1">
                  <c:v>28253.886882828614</c:v>
                </c:pt>
                <c:pt idx="2">
                  <c:v>32175.896447070612</c:v>
                </c:pt>
                <c:pt idx="3">
                  <c:v>32948.06059144836</c:v>
                </c:pt>
                <c:pt idx="4">
                  <c:v>26686.14239100333</c:v>
                </c:pt>
                <c:pt idx="5">
                  <c:v>21842.746321755796</c:v>
                </c:pt>
                <c:pt idx="6">
                  <c:v>12896.946059202393</c:v>
                </c:pt>
                <c:pt idx="7">
                  <c:v>9417.0734461466891</c:v>
                </c:pt>
                <c:pt idx="8">
                  <c:v>7093.0590376501277</c:v>
                </c:pt>
                <c:pt idx="9">
                  <c:v>4504.8359793325217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4-4E00-8913-942C49B85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942216"/>
        <c:axId val="612943200"/>
      </c:scatterChart>
      <c:valAx>
        <c:axId val="612942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943200"/>
        <c:crosses val="autoZero"/>
        <c:crossBetween val="midCat"/>
      </c:valAx>
      <c:valAx>
        <c:axId val="61294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942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webex!$A$42</c:f>
              <c:strCache>
                <c:ptCount val="1"/>
                <c:pt idx="0">
                  <c:v>MtM(t)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webex!$O$29:$Y$29</c:f>
              <c:numCache>
                <c:formatCode>General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xVal>
          <c:yVal>
            <c:numRef>
              <c:f>webex!$O$42:$Y$42</c:f>
              <c:numCache>
                <c:formatCode>0.00000</c:formatCode>
                <c:ptCount val="11"/>
                <c:pt idx="0">
                  <c:v>2.1859522403157632E-2</c:v>
                </c:pt>
                <c:pt idx="1">
                  <c:v>2.8690796823526762E-2</c:v>
                </c:pt>
                <c:pt idx="2">
                  <c:v>3.2681456659674563E-2</c:v>
                </c:pt>
                <c:pt idx="3">
                  <c:v>3.363613509993052E-2</c:v>
                </c:pt>
                <c:pt idx="4">
                  <c:v>2.7885731757828634E-2</c:v>
                </c:pt>
                <c:pt idx="5">
                  <c:v>2.2622797126871257E-2</c:v>
                </c:pt>
                <c:pt idx="6">
                  <c:v>1.4008870838683306E-2</c:v>
                </c:pt>
                <c:pt idx="7">
                  <c:v>9.8472507320666314E-3</c:v>
                </c:pt>
                <c:pt idx="8">
                  <c:v>7.374374100747207E-3</c:v>
                </c:pt>
                <c:pt idx="9">
                  <c:v>4.6818085348780403E-3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D1-4D6C-B7E2-E4E620DF2AFF}"/>
            </c:ext>
          </c:extLst>
        </c:ser>
        <c:ser>
          <c:idx val="1"/>
          <c:order val="1"/>
          <c:tx>
            <c:strRef>
              <c:f>webex!$A$43</c:f>
              <c:strCache>
                <c:ptCount val="1"/>
                <c:pt idx="0">
                  <c:v>Positive Exposure(t)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webex!$O$29:$Y$29</c:f>
              <c:numCache>
                <c:formatCode>General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xVal>
          <c:yVal>
            <c:numRef>
              <c:f>webex!$O$43:$Y$43</c:f>
              <c:numCache>
                <c:formatCode>0.00000</c:formatCode>
                <c:ptCount val="11"/>
                <c:pt idx="0">
                  <c:v>2.1859522403157632E-2</c:v>
                </c:pt>
                <c:pt idx="1">
                  <c:v>2.8690796823526762E-2</c:v>
                </c:pt>
                <c:pt idx="2">
                  <c:v>3.2681456659674563E-2</c:v>
                </c:pt>
                <c:pt idx="3">
                  <c:v>3.363613509993052E-2</c:v>
                </c:pt>
                <c:pt idx="4">
                  <c:v>2.7885731757828634E-2</c:v>
                </c:pt>
                <c:pt idx="5">
                  <c:v>2.2622797126871257E-2</c:v>
                </c:pt>
                <c:pt idx="6">
                  <c:v>1.4008870838683306E-2</c:v>
                </c:pt>
                <c:pt idx="7">
                  <c:v>9.8472507320666314E-3</c:v>
                </c:pt>
                <c:pt idx="8">
                  <c:v>7.374374100747207E-3</c:v>
                </c:pt>
                <c:pt idx="9">
                  <c:v>4.6818085348780403E-3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D1-4D6C-B7E2-E4E620DF2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363848"/>
        <c:axId val="613364176"/>
      </c:scatterChart>
      <c:valAx>
        <c:axId val="61336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364176"/>
        <c:crosses val="autoZero"/>
        <c:crossBetween val="midCat"/>
      </c:valAx>
      <c:valAx>
        <c:axId val="6133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363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webex!$A$53</c:f>
              <c:strCache>
                <c:ptCount val="1"/>
                <c:pt idx="0">
                  <c:v> CVA_PERIODO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webex!$B$48:$K$48</c:f>
              <c:strCache>
                <c:ptCount val="10"/>
                <c:pt idx="0">
                  <c:v>T0-T1</c:v>
                </c:pt>
                <c:pt idx="1">
                  <c:v>T1-T2</c:v>
                </c:pt>
                <c:pt idx="2">
                  <c:v>T2-T3</c:v>
                </c:pt>
                <c:pt idx="3">
                  <c:v>T3-T4</c:v>
                </c:pt>
                <c:pt idx="4">
                  <c:v>T4-T5</c:v>
                </c:pt>
                <c:pt idx="5">
                  <c:v>T5-T6</c:v>
                </c:pt>
                <c:pt idx="6">
                  <c:v>T6-T7</c:v>
                </c:pt>
                <c:pt idx="7">
                  <c:v>T7-T8</c:v>
                </c:pt>
                <c:pt idx="8">
                  <c:v>T8-T9</c:v>
                </c:pt>
                <c:pt idx="9">
                  <c:v>T9-T10</c:v>
                </c:pt>
              </c:strCache>
            </c:strRef>
          </c:cat>
          <c:val>
            <c:numRef>
              <c:f>webex!$B$53:$K$53</c:f>
              <c:numCache>
                <c:formatCode>_-[$$-409]* #,##0.00_ ;_-[$$-409]* \-#,##0.00\ ;_-[$$-409]* "-"??_ ;_-@_ </c:formatCode>
                <c:ptCount val="10"/>
                <c:pt idx="0">
                  <c:v>136.93039474184636</c:v>
                </c:pt>
                <c:pt idx="1">
                  <c:v>236.11718109356167</c:v>
                </c:pt>
                <c:pt idx="2">
                  <c:v>254.06009951781607</c:v>
                </c:pt>
                <c:pt idx="3">
                  <c:v>249.6158246935598</c:v>
                </c:pt>
                <c:pt idx="4">
                  <c:v>214.12171820843562</c:v>
                </c:pt>
                <c:pt idx="5">
                  <c:v>159.52067504821099</c:v>
                </c:pt>
                <c:pt idx="6">
                  <c:v>99.856682482788329</c:v>
                </c:pt>
                <c:pt idx="7">
                  <c:v>75.22724666229675</c:v>
                </c:pt>
                <c:pt idx="8">
                  <c:v>46.738733780077304</c:v>
                </c:pt>
                <c:pt idx="9">
                  <c:v>17.907198594607195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1-4F2A-BA04-E5F6C4933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9723552"/>
        <c:axId val="609723880"/>
      </c:barChart>
      <c:catAx>
        <c:axId val="60972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723880"/>
        <c:crosses val="autoZero"/>
        <c:auto val="1"/>
        <c:lblAlgn val="ctr"/>
        <c:lblOffset val="100"/>
        <c:noMultiLvlLbl val="0"/>
      </c:catAx>
      <c:valAx>
        <c:axId val="60972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72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webex!$A$53</c:f>
              <c:strCache>
                <c:ptCount val="1"/>
                <c:pt idx="0">
                  <c:v> CVA_PERIODO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webex!$O$48:$X$48</c:f>
              <c:strCache>
                <c:ptCount val="10"/>
                <c:pt idx="0">
                  <c:v>T0-T1</c:v>
                </c:pt>
                <c:pt idx="1">
                  <c:v>T1-T2</c:v>
                </c:pt>
                <c:pt idx="2">
                  <c:v>T2-T3</c:v>
                </c:pt>
                <c:pt idx="3">
                  <c:v>T3-T4</c:v>
                </c:pt>
                <c:pt idx="4">
                  <c:v>T4-T5</c:v>
                </c:pt>
                <c:pt idx="5">
                  <c:v>T5-T6</c:v>
                </c:pt>
                <c:pt idx="6">
                  <c:v>T6-T7</c:v>
                </c:pt>
                <c:pt idx="7">
                  <c:v>T7-T8</c:v>
                </c:pt>
                <c:pt idx="8">
                  <c:v>T8-T9</c:v>
                </c:pt>
                <c:pt idx="9">
                  <c:v>T9-T10</c:v>
                </c:pt>
              </c:strCache>
            </c:strRef>
          </c:cat>
          <c:val>
            <c:numRef>
              <c:f>webex!$O$53:$X$53</c:f>
              <c:numCache>
                <c:formatCode>_-[$$-409]* #,##0.00_ ;_-[$$-409]* \-#,##0.00\ ;_-[$$-409]* "-"??_ ;_-@_ </c:formatCode>
                <c:ptCount val="10"/>
                <c:pt idx="0">
                  <c:v>139.30563675717323</c:v>
                </c:pt>
                <c:pt idx="1">
                  <c:v>239.35495196382354</c:v>
                </c:pt>
                <c:pt idx="2">
                  <c:v>256.98359641464924</c:v>
                </c:pt>
                <c:pt idx="3">
                  <c:v>252.32089279015116</c:v>
                </c:pt>
                <c:pt idx="4">
                  <c:v>221.94069275130903</c:v>
                </c:pt>
                <c:pt idx="5">
                  <c:v>165.43855881920857</c:v>
                </c:pt>
                <c:pt idx="6">
                  <c:v>110.50339155863126</c:v>
                </c:pt>
                <c:pt idx="7">
                  <c:v>82.554861089259433</c:v>
                </c:pt>
                <c:pt idx="8">
                  <c:v>51.894525295254354</c:v>
                </c:pt>
                <c:pt idx="9">
                  <c:v>20.659078128012254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5A-46C5-A44A-330D36B5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9723552"/>
        <c:axId val="609723880"/>
      </c:barChart>
      <c:catAx>
        <c:axId val="60972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723880"/>
        <c:crosses val="autoZero"/>
        <c:auto val="1"/>
        <c:lblAlgn val="ctr"/>
        <c:lblOffset val="100"/>
        <c:noMultiLvlLbl val="0"/>
      </c:catAx>
      <c:valAx>
        <c:axId val="60972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72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10 Simulated Forward Yield Curves Visualized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data!$Y$7:$AH$7</c:f>
              <c:numCache>
                <c:formatCode>0.0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data!$Y$8:$AH$8</c:f>
              <c:numCache>
                <c:formatCode>0.00%</c:formatCode>
                <c:ptCount val="10"/>
                <c:pt idx="0">
                  <c:v>3.7491304148582053E-2</c:v>
                </c:pt>
                <c:pt idx="1">
                  <c:v>4.5735908612954464E-2</c:v>
                </c:pt>
                <c:pt idx="2">
                  <c:v>5.1117977769042554E-2</c:v>
                </c:pt>
                <c:pt idx="3">
                  <c:v>5.4730068277449306E-2</c:v>
                </c:pt>
                <c:pt idx="4">
                  <c:v>5.8044932054008458E-2</c:v>
                </c:pt>
                <c:pt idx="5">
                  <c:v>6.1532006739623037E-2</c:v>
                </c:pt>
                <c:pt idx="6">
                  <c:v>6.5254605489460216E-2</c:v>
                </c:pt>
                <c:pt idx="7">
                  <c:v>6.914160367021728E-2</c:v>
                </c:pt>
                <c:pt idx="8">
                  <c:v>7.3100367776046588E-2</c:v>
                </c:pt>
                <c:pt idx="9">
                  <c:v>7.7065985086907415E-2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29-4ED9-847B-4F10B6D9D8E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data!$Y$7:$AH$7</c:f>
              <c:numCache>
                <c:formatCode>0.0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data!$Y$9:$AH$9</c:f>
              <c:numCache>
                <c:formatCode>0.00%</c:formatCode>
                <c:ptCount val="10"/>
                <c:pt idx="0">
                  <c:v>3.7857268138099393E-2</c:v>
                </c:pt>
                <c:pt idx="1">
                  <c:v>4.610409793023907E-2</c:v>
                </c:pt>
                <c:pt idx="2">
                  <c:v>5.1499718805396187E-2</c:v>
                </c:pt>
                <c:pt idx="3">
                  <c:v>5.5144788346982637E-2</c:v>
                </c:pt>
                <c:pt idx="4">
                  <c:v>5.8492486876848895E-2</c:v>
                </c:pt>
                <c:pt idx="5">
                  <c:v>6.200462236316364E-2</c:v>
                </c:pt>
                <c:pt idx="6">
                  <c:v>6.574231055143949E-2</c:v>
                </c:pt>
                <c:pt idx="7">
                  <c:v>6.9634486864091322E-2</c:v>
                </c:pt>
                <c:pt idx="8">
                  <c:v>7.3589561645612853E-2</c:v>
                </c:pt>
                <c:pt idx="9">
                  <c:v>7.7543541115949258E-2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29-4ED9-847B-4F10B6D9D8E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data!$Y$7:$AH$7</c:f>
              <c:numCache>
                <c:formatCode>0.0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data!$Y$10:$AH$10</c:f>
              <c:numCache>
                <c:formatCode>0.00%</c:formatCode>
                <c:ptCount val="10"/>
                <c:pt idx="0">
                  <c:v>3.7447652845061269E-2</c:v>
                </c:pt>
                <c:pt idx="1">
                  <c:v>4.5571813135946312E-2</c:v>
                </c:pt>
                <c:pt idx="2">
                  <c:v>5.087978253542632E-2</c:v>
                </c:pt>
                <c:pt idx="3">
                  <c:v>5.4478654965161681E-2</c:v>
                </c:pt>
                <c:pt idx="4">
                  <c:v>5.7801166857219935E-2</c:v>
                </c:pt>
                <c:pt idx="5">
                  <c:v>6.1300494018072388E-2</c:v>
                </c:pt>
                <c:pt idx="6">
                  <c:v>6.5034488798659959E-2</c:v>
                </c:pt>
                <c:pt idx="7">
                  <c:v>6.8931055218782983E-2</c:v>
                </c:pt>
                <c:pt idx="8">
                  <c:v>7.2898533840844756E-2</c:v>
                </c:pt>
                <c:pt idx="9">
                  <c:v>7.6872736066978795E-2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29-4ED9-847B-4F10B6D9D8E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data!$Y$7:$AH$7</c:f>
              <c:numCache>
                <c:formatCode>0.0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data!$Y$11:$AH$11</c:f>
              <c:numCache>
                <c:formatCode>0.00%</c:formatCode>
                <c:ptCount val="10"/>
                <c:pt idx="0">
                  <c:v>3.6891320201770932E-2</c:v>
                </c:pt>
                <c:pt idx="1">
                  <c:v>4.4898966905439978E-2</c:v>
                </c:pt>
                <c:pt idx="2">
                  <c:v>5.0121647961020116E-2</c:v>
                </c:pt>
                <c:pt idx="3">
                  <c:v>5.3672569445754104E-2</c:v>
                </c:pt>
                <c:pt idx="4">
                  <c:v>5.6964473558382765E-2</c:v>
                </c:pt>
                <c:pt idx="5">
                  <c:v>6.0442224740917094E-2</c:v>
                </c:pt>
                <c:pt idx="6">
                  <c:v>6.4160670011459947E-2</c:v>
                </c:pt>
                <c:pt idx="7">
                  <c:v>6.8046914641502115E-2</c:v>
                </c:pt>
                <c:pt idx="8">
                  <c:v>7.2009440332536576E-2</c:v>
                </c:pt>
                <c:pt idx="9">
                  <c:v>7.5984074469893373E-2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29-4ED9-847B-4F10B6D9D8EB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data!$Y$7:$AH$7</c:f>
              <c:numCache>
                <c:formatCode>0.0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data!$Y$12:$AH$12</c:f>
              <c:numCache>
                <c:formatCode>0.00%</c:formatCode>
                <c:ptCount val="10"/>
                <c:pt idx="0">
                  <c:v>3.7088156367651948E-2</c:v>
                </c:pt>
                <c:pt idx="1">
                  <c:v>4.5088448181996109E-2</c:v>
                </c:pt>
                <c:pt idx="2">
                  <c:v>5.0322838163780026E-2</c:v>
                </c:pt>
                <c:pt idx="3">
                  <c:v>5.3910623237026965E-2</c:v>
                </c:pt>
                <c:pt idx="4">
                  <c:v>5.7245285843504731E-2</c:v>
                </c:pt>
                <c:pt idx="5">
                  <c:v>6.076398600037277E-2</c:v>
                </c:pt>
                <c:pt idx="6">
                  <c:v>6.4519110343562794E-2</c:v>
                </c:pt>
                <c:pt idx="7">
                  <c:v>6.8437485012980373E-2</c:v>
                </c:pt>
                <c:pt idx="8">
                  <c:v>7.242823116506665E-2</c:v>
                </c:pt>
                <c:pt idx="9">
                  <c:v>7.6427690369438292E-2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29-4ED9-847B-4F10B6D9D8EB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data!$Y$7:$AH$7</c:f>
              <c:numCache>
                <c:formatCode>0.0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data!$Y$13:$AH$13</c:f>
              <c:numCache>
                <c:formatCode>0.00%</c:formatCode>
                <c:ptCount val="10"/>
                <c:pt idx="0">
                  <c:v>3.8246858174748675E-2</c:v>
                </c:pt>
                <c:pt idx="1">
                  <c:v>4.6152267787544728E-2</c:v>
                </c:pt>
                <c:pt idx="2">
                  <c:v>5.1317040940949139E-2</c:v>
                </c:pt>
                <c:pt idx="3">
                  <c:v>5.4865873216698939E-2</c:v>
                </c:pt>
                <c:pt idx="4">
                  <c:v>5.8173033229239737E-2</c:v>
                </c:pt>
                <c:pt idx="5">
                  <c:v>6.1667896274741334E-2</c:v>
                </c:pt>
                <c:pt idx="6">
                  <c:v>6.5400247054984428E-2</c:v>
                </c:pt>
                <c:pt idx="7">
                  <c:v>6.9296465773028337E-2</c:v>
                </c:pt>
                <c:pt idx="8">
                  <c:v>7.3266125357857551E-2</c:v>
                </c:pt>
                <c:pt idx="9">
                  <c:v>7.7245893771803437E-2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529-4ED9-847B-4F10B6D9D8EB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data!$Y$7:$AH$7</c:f>
              <c:numCache>
                <c:formatCode>0.0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data!$Y$14:$AH$14</c:f>
              <c:numCache>
                <c:formatCode>0.00%</c:formatCode>
                <c:ptCount val="10"/>
                <c:pt idx="0">
                  <c:v>3.8799020588203156E-2</c:v>
                </c:pt>
                <c:pt idx="1">
                  <c:v>4.6756870530606759E-2</c:v>
                </c:pt>
                <c:pt idx="2">
                  <c:v>5.1982951082834378E-2</c:v>
                </c:pt>
                <c:pt idx="3">
                  <c:v>5.5607535428568333E-2</c:v>
                </c:pt>
                <c:pt idx="4">
                  <c:v>5.8986578130990855E-2</c:v>
                </c:pt>
                <c:pt idx="5">
                  <c:v>6.2542444614951162E-2</c:v>
                </c:pt>
                <c:pt idx="6">
                  <c:v>6.6323031961957185E-2</c:v>
                </c:pt>
                <c:pt idx="7">
                  <c:v>7.0254963586342034E-2</c:v>
                </c:pt>
                <c:pt idx="8">
                  <c:v>7.4248932875969176E-2</c:v>
                </c:pt>
                <c:pt idx="9">
                  <c:v>7.8242602768841041E-2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529-4ED9-847B-4F10B6D9D8EB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data!$Y$7:$AH$7</c:f>
              <c:numCache>
                <c:formatCode>0.0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data!$Y$15:$AH$15</c:f>
              <c:numCache>
                <c:formatCode>0.00%</c:formatCode>
                <c:ptCount val="10"/>
                <c:pt idx="0">
                  <c:v>3.871519913381237E-2</c:v>
                </c:pt>
                <c:pt idx="1">
                  <c:v>4.6604772700416949E-2</c:v>
                </c:pt>
                <c:pt idx="2">
                  <c:v>5.1780653933449272E-2</c:v>
                </c:pt>
                <c:pt idx="3">
                  <c:v>5.537791911086775E-2</c:v>
                </c:pt>
                <c:pt idx="4">
                  <c:v>5.8734138153585067E-2</c:v>
                </c:pt>
                <c:pt idx="5">
                  <c:v>6.2264472385545798E-2</c:v>
                </c:pt>
                <c:pt idx="6">
                  <c:v>6.6014677210011002E-2</c:v>
                </c:pt>
                <c:pt idx="7">
                  <c:v>6.9911340122934693E-2</c:v>
                </c:pt>
                <c:pt idx="8">
                  <c:v>7.3865975786790092E-2</c:v>
                </c:pt>
                <c:pt idx="9">
                  <c:v>7.7816942833565314E-2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529-4ED9-847B-4F10B6D9D8EB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data!$Y$7:$AH$7</c:f>
              <c:numCache>
                <c:formatCode>0.0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data!$Y$16:$AH$16</c:f>
              <c:numCache>
                <c:formatCode>0.00%</c:formatCode>
                <c:ptCount val="10"/>
                <c:pt idx="0">
                  <c:v>3.9172282046917875E-2</c:v>
                </c:pt>
                <c:pt idx="1">
                  <c:v>4.695725005690795E-2</c:v>
                </c:pt>
                <c:pt idx="2">
                  <c:v>5.2050687650047556E-2</c:v>
                </c:pt>
                <c:pt idx="3">
                  <c:v>5.5591850469908208E-2</c:v>
                </c:pt>
                <c:pt idx="4">
                  <c:v>5.8899987432028303E-2</c:v>
                </c:pt>
                <c:pt idx="5">
                  <c:v>6.2382997033968844E-2</c:v>
                </c:pt>
                <c:pt idx="6">
                  <c:v>6.6084375142009336E-2</c:v>
                </c:pt>
                <c:pt idx="7">
                  <c:v>6.9930530503652374E-2</c:v>
                </c:pt>
                <c:pt idx="8">
                  <c:v>7.3833636570436428E-2</c:v>
                </c:pt>
                <c:pt idx="9">
                  <c:v>7.7732585091502132E-2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529-4ED9-847B-4F10B6D9D8EB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data!$Y$7:$AH$7</c:f>
              <c:numCache>
                <c:formatCode>0.0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xVal>
          <c:yVal>
            <c:numRef>
              <c:f>data!$Y$17:$AH$17</c:f>
              <c:numCache>
                <c:formatCode>0.00%</c:formatCode>
                <c:ptCount val="10"/>
                <c:pt idx="0">
                  <c:v>4.0529079365378681E-2</c:v>
                </c:pt>
                <c:pt idx="1">
                  <c:v>4.825659140563892E-2</c:v>
                </c:pt>
                <c:pt idx="2">
                  <c:v>5.3315621443295207E-2</c:v>
                </c:pt>
                <c:pt idx="3">
                  <c:v>5.6849023080424756E-2</c:v>
                </c:pt>
                <c:pt idx="4">
                  <c:v>6.0157813991083796E-2</c:v>
                </c:pt>
                <c:pt idx="5">
                  <c:v>6.3642598512550164E-2</c:v>
                </c:pt>
                <c:pt idx="6">
                  <c:v>6.7344523190204703E-2</c:v>
                </c:pt>
                <c:pt idx="7">
                  <c:v>7.1189703374161292E-2</c:v>
                </c:pt>
                <c:pt idx="8">
                  <c:v>7.5090837391897675E-2</c:v>
                </c:pt>
                <c:pt idx="9">
                  <c:v>7.8987216111574304E-2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529-4ED9-847B-4F10B6D9D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663176"/>
        <c:axId val="812669080"/>
      </c:scatterChart>
      <c:valAx>
        <c:axId val="812663176"/>
        <c:scaling>
          <c:orientation val="minMax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669080"/>
        <c:crosses val="autoZero"/>
        <c:crossBetween val="midCat"/>
        <c:minorUnit val="0.5"/>
      </c:valAx>
      <c:valAx>
        <c:axId val="8126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663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median</a:t>
            </a:r>
            <a:r>
              <a:rPr lang="en-GB" baseline="0"/>
              <a:t> of positive exposure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data!$BV$6:$CF$6</c:f>
              <c:strCache>
                <c:ptCount val="11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</c:strCache>
            </c:strRef>
          </c:xVal>
          <c:yVal>
            <c:numRef>
              <c:f>data!$BV$7:$CF$7</c:f>
              <c:numCache>
                <c:formatCode>_-[$$-409]* #,##0_ ;_-[$$-409]* \-#,##0\ ;_-[$$-409]* "-"??_ ;_-@_ </c:formatCode>
                <c:ptCount val="11"/>
                <c:pt idx="0">
                  <c:v>4725.5664302504028</c:v>
                </c:pt>
                <c:pt idx="1">
                  <c:v>4014.8748964090241</c:v>
                </c:pt>
                <c:pt idx="2">
                  <c:v>6493.0874296835009</c:v>
                </c:pt>
                <c:pt idx="3">
                  <c:v>9479.9500154930429</c:v>
                </c:pt>
                <c:pt idx="4">
                  <c:v>12095.007511483283</c:v>
                </c:pt>
                <c:pt idx="5">
                  <c:v>14313.725726502676</c:v>
                </c:pt>
                <c:pt idx="6">
                  <c:v>16095.240946509159</c:v>
                </c:pt>
                <c:pt idx="7">
                  <c:v>14795.609559903565</c:v>
                </c:pt>
                <c:pt idx="8">
                  <c:v>12331.325758368752</c:v>
                </c:pt>
                <c:pt idx="9">
                  <c:v>11264.477910066891</c:v>
                </c:pt>
                <c:pt idx="1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07-42EE-A1AF-9EF16B70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062760"/>
        <c:axId val="615060136"/>
      </c:scatterChart>
      <c:valAx>
        <c:axId val="615062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060136"/>
        <c:crosses val="autoZero"/>
        <c:crossBetween val="midCat"/>
      </c:valAx>
      <c:valAx>
        <c:axId val="61506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062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image" Target="../media/image2.emf"/><Relationship Id="rId4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1512093</xdr:colOff>
      <xdr:row>17</xdr:row>
      <xdr:rowOff>95249</xdr:rowOff>
    </xdr:from>
    <xdr:to>
      <xdr:col>10</xdr:col>
      <xdr:colOff>547688</xdr:colOff>
      <xdr:row>38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B7BAD9-DE85-466E-9D0F-C5A0C4BC09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178593</xdr:colOff>
      <xdr:row>17</xdr:row>
      <xdr:rowOff>107156</xdr:rowOff>
    </xdr:from>
    <xdr:to>
      <xdr:col>5</xdr:col>
      <xdr:colOff>1416844</xdr:colOff>
      <xdr:row>38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C4DCE90-993B-4FC4-A8B5-71C1D46DB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11907</xdr:colOff>
      <xdr:row>17</xdr:row>
      <xdr:rowOff>63102</xdr:rowOff>
    </xdr:from>
    <xdr:to>
      <xdr:col>20</xdr:col>
      <xdr:colOff>690563</xdr:colOff>
      <xdr:row>38</xdr:row>
      <xdr:rowOff>23811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9AE2E58-9B92-4391-AF08-2C15667F8A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107950</xdr:colOff>
      <xdr:row>16</xdr:row>
      <xdr:rowOff>188384</xdr:rowOff>
    </xdr:from>
    <xdr:to>
      <xdr:col>20</xdr:col>
      <xdr:colOff>412751</xdr:colOff>
      <xdr:row>32</xdr:row>
      <xdr:rowOff>27517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BAA63F-873A-4E40-8502-7CC2241E62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136525</xdr:colOff>
      <xdr:row>1</xdr:row>
      <xdr:rowOff>1059</xdr:rowOff>
    </xdr:from>
    <xdr:to>
      <xdr:col>17</xdr:col>
      <xdr:colOff>346076</xdr:colOff>
      <xdr:row>15</xdr:row>
      <xdr:rowOff>96309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AD346AD-1BBD-4DEA-8274-429BE09B4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31751</xdr:colOff>
      <xdr:row>25</xdr:row>
      <xdr:rowOff>1</xdr:rowOff>
    </xdr:from>
    <xdr:to>
      <xdr:col>7</xdr:col>
      <xdr:colOff>31751</xdr:colOff>
      <xdr:row>44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0E17CE1-AB8D-4D08-BA3C-8DB4F0A599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179917</xdr:colOff>
      <xdr:row>25</xdr:row>
      <xdr:rowOff>10583</xdr:rowOff>
    </xdr:from>
    <xdr:to>
      <xdr:col>12</xdr:col>
      <xdr:colOff>328083</xdr:colOff>
      <xdr:row>44</xdr:row>
      <xdr:rowOff>74082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E1ED544-30DE-407B-A515-D0E13E3DE7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84667</xdr:colOff>
      <xdr:row>45</xdr:row>
      <xdr:rowOff>179916</xdr:rowOff>
    </xdr:from>
    <xdr:to>
      <xdr:col>7</xdr:col>
      <xdr:colOff>84667</xdr:colOff>
      <xdr:row>65</xdr:row>
      <xdr:rowOff>63498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4E90BBC-6CC3-44E6-AA83-BC3D70706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211667</xdr:colOff>
      <xdr:row>45</xdr:row>
      <xdr:rowOff>137583</xdr:rowOff>
    </xdr:from>
    <xdr:to>
      <xdr:col>12</xdr:col>
      <xdr:colOff>359833</xdr:colOff>
      <xdr:row>65</xdr:row>
      <xdr:rowOff>21165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2B31A38-5649-4470-A8C8-C3DCBA7AC1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84667</xdr:colOff>
      <xdr:row>66</xdr:row>
      <xdr:rowOff>74083</xdr:rowOff>
    </xdr:from>
    <xdr:to>
      <xdr:col>7</xdr:col>
      <xdr:colOff>84667</xdr:colOff>
      <xdr:row>85</xdr:row>
      <xdr:rowOff>137581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1798C50-ECFB-4797-8624-ECE8EAE865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11</xdr:row>
      <xdr:rowOff>95250</xdr:rowOff>
    </xdr:from>
    <xdr:to>
      <xdr:col>7</xdr:col>
      <xdr:colOff>359833</xdr:colOff>
      <xdr:row>32</xdr:row>
      <xdr:rowOff>105833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EDF17A-59E5-4CC0-9C6A-2B81AA5C9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0</xdr:colOff>
      <xdr:row>19</xdr:row>
      <xdr:rowOff>0</xdr:rowOff>
    </xdr:from>
    <xdr:to>
      <xdr:col>25</xdr:col>
      <xdr:colOff>381000</xdr:colOff>
      <xdr:row>30</xdr:row>
      <xdr:rowOff>28575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BD47379-B831-4445-9E5A-8A58D28DB6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3419475"/>
          <a:ext cx="10591800" cy="1809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491567</xdr:colOff>
      <xdr:row>6</xdr:row>
      <xdr:rowOff>157062</xdr:rowOff>
    </xdr:from>
    <xdr:to>
      <xdr:col>11</xdr:col>
      <xdr:colOff>330375</xdr:colOff>
      <xdr:row>23</xdr:row>
      <xdr:rowOff>159993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74805D-DACC-428E-98EA-187E5A6971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79928</xdr:colOff>
      <xdr:row>6</xdr:row>
      <xdr:rowOff>91121</xdr:rowOff>
    </xdr:from>
    <xdr:to>
      <xdr:col>22</xdr:col>
      <xdr:colOff>394987</xdr:colOff>
      <xdr:row>23</xdr:row>
      <xdr:rowOff>94050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E44228-8D5C-4CAB-A8F5-D5DA8E2137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688397</xdr:colOff>
      <xdr:row>56</xdr:row>
      <xdr:rowOff>126422</xdr:rowOff>
    </xdr:from>
    <xdr:to>
      <xdr:col>5</xdr:col>
      <xdr:colOff>151533</xdr:colOff>
      <xdr:row>73</xdr:row>
      <xdr:rowOff>72735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7BBB405-22A1-4164-9B20-21DE0CA80F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58</xdr:row>
      <xdr:rowOff>0</xdr:rowOff>
    </xdr:from>
    <xdr:to>
      <xdr:col>21</xdr:col>
      <xdr:colOff>329045</xdr:colOff>
      <xdr:row>74</xdr:row>
      <xdr:rowOff>110837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483BC4B-D0B1-4F4B-9665-34D95C042E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77</xdr:row>
      <xdr:rowOff>0</xdr:rowOff>
    </xdr:from>
    <xdr:to>
      <xdr:col>11</xdr:col>
      <xdr:colOff>9525</xdr:colOff>
      <xdr:row>86</xdr:row>
      <xdr:rowOff>9525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1802A0A-3CF9-46AB-93BD-7B903099B8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534900"/>
          <a:ext cx="92011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9</xdr:row>
      <xdr:rowOff>152400</xdr:rowOff>
    </xdr:from>
    <xdr:to>
      <xdr:col>9</xdr:col>
      <xdr:colOff>190500</xdr:colOff>
      <xdr:row>32</xdr:row>
      <xdr:rowOff>47625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8CDFD60-9973-4BED-A05C-2E2001CE8D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73</xdr:col>
      <xdr:colOff>271462</xdr:colOff>
      <xdr:row>10</xdr:row>
      <xdr:rowOff>47625</xdr:rowOff>
    </xdr:from>
    <xdr:to>
      <xdr:col>80</xdr:col>
      <xdr:colOff>576262</xdr:colOff>
      <xdr:row>27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7EDCA2F-FBC3-4938-B31A-9BED9F8989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0</xdr:rowOff>
    </xdr:from>
    <xdr:to>
      <xdr:col>20</xdr:col>
      <xdr:colOff>171450</xdr:colOff>
      <xdr:row>36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99DED85-4BBA-470B-88D0-389AF5B74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76575"/>
          <a:ext cx="11753850" cy="276225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0"/>
  <sheetViews>
    <sheetView showGridLines="0" tabSelected="1" zoomScale="70" zoomScaleNormal="70" workbookViewId="0">
      <selection activeCell="W28" sqref="W28"/>
    </sheetView>
  </sheetViews>
  <sheetFormatPr defaultColWidth="11.42578125" defaultRowHeight="15.75" x14ac:dyDescent="0.25"/>
  <cols>
    <col min="1" max="1" width="17" style="34" customWidth="1"/>
    <col min="2" max="2" width="11.42578125" style="34" customWidth="1"/>
    <col min="3" max="3" width="12.28515625" style="34" customWidth="1"/>
    <col min="4" max="4" width="10.7109375" style="34" customWidth="1"/>
    <col min="5" max="5" width="16" style="34" bestFit="1" customWidth="1"/>
    <col min="6" max="6" width="23.85546875" style="34" customWidth="1"/>
    <col min="7" max="7" width="21.28515625" style="34" bestFit="1" customWidth="1"/>
    <col min="8" max="8" width="22.28515625" style="34" bestFit="1" customWidth="1"/>
    <col min="9" max="21" width="10.7109375" style="34" bestFit="1" customWidth="1"/>
    <col min="22" max="25" width="11.42578125" style="34"/>
    <col min="26" max="26" width="20.28515625" style="35" customWidth="1"/>
    <col min="27" max="16384" width="11.42578125" style="34"/>
  </cols>
  <sheetData>
    <row r="1" spans="1:26" x14ac:dyDescent="0.25">
      <c r="A1" s="33" t="s">
        <v>1</v>
      </c>
      <c r="B1" s="33"/>
      <c r="C1" s="33"/>
    </row>
    <row r="2" spans="1:26" x14ac:dyDescent="0.25">
      <c r="A2" s="36" t="s">
        <v>5</v>
      </c>
      <c r="B2" s="37">
        <v>0.4</v>
      </c>
    </row>
    <row r="3" spans="1:26" ht="18.75" x14ac:dyDescent="0.3">
      <c r="A3" s="36" t="s">
        <v>578</v>
      </c>
      <c r="B3" s="38" t="s">
        <v>552</v>
      </c>
    </row>
    <row r="4" spans="1:26" s="40" customFormat="1" x14ac:dyDescent="0.2">
      <c r="A4" s="39"/>
      <c r="B4" s="39" t="s">
        <v>553</v>
      </c>
      <c r="C4" s="39" t="s">
        <v>3</v>
      </c>
      <c r="D4" s="39"/>
      <c r="E4" s="39" t="s">
        <v>4</v>
      </c>
      <c r="F4" s="39" t="s">
        <v>554</v>
      </c>
      <c r="G4" s="39" t="s">
        <v>555</v>
      </c>
      <c r="H4" s="39" t="s">
        <v>556</v>
      </c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Z4" s="41"/>
    </row>
    <row r="5" spans="1:26" s="40" customFormat="1" x14ac:dyDescent="0.2">
      <c r="A5" s="39"/>
      <c r="B5" s="39" t="s">
        <v>557</v>
      </c>
      <c r="C5" s="39" t="s">
        <v>558</v>
      </c>
      <c r="D5" s="39" t="s">
        <v>559</v>
      </c>
      <c r="E5" s="39" t="s">
        <v>560</v>
      </c>
      <c r="F5" s="39" t="s">
        <v>561</v>
      </c>
      <c r="G5" s="39" t="s">
        <v>562</v>
      </c>
      <c r="H5" s="39" t="s">
        <v>563</v>
      </c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Z5" s="41"/>
    </row>
    <row r="6" spans="1:26" s="40" customFormat="1" x14ac:dyDescent="0.2">
      <c r="A6" s="39" t="s">
        <v>564</v>
      </c>
      <c r="B6" s="39" t="s">
        <v>2</v>
      </c>
      <c r="C6" s="39" t="s">
        <v>565</v>
      </c>
      <c r="D6" s="39" t="s">
        <v>566</v>
      </c>
      <c r="E6" s="39" t="s">
        <v>10</v>
      </c>
      <c r="F6" s="39" t="s">
        <v>11</v>
      </c>
      <c r="G6" s="39" t="s">
        <v>567</v>
      </c>
      <c r="H6" s="39" t="s">
        <v>568</v>
      </c>
      <c r="I6" s="39" t="s">
        <v>569</v>
      </c>
      <c r="J6" s="39" t="s">
        <v>570</v>
      </c>
      <c r="K6" s="39" t="s">
        <v>571</v>
      </c>
      <c r="L6" s="39" t="s">
        <v>572</v>
      </c>
      <c r="M6" s="39" t="s">
        <v>573</v>
      </c>
      <c r="N6" s="39" t="s">
        <v>574</v>
      </c>
      <c r="O6" s="39" t="s">
        <v>575</v>
      </c>
      <c r="P6" s="39" t="s">
        <v>576</v>
      </c>
      <c r="Q6" s="39" t="s">
        <v>577</v>
      </c>
      <c r="R6" s="39" t="s">
        <v>7</v>
      </c>
      <c r="S6" s="39" t="s">
        <v>9</v>
      </c>
      <c r="T6" s="39" t="s">
        <v>6</v>
      </c>
      <c r="U6" s="39" t="s">
        <v>8</v>
      </c>
      <c r="Z6" s="41"/>
    </row>
    <row r="7" spans="1:26" s="42" customFormat="1" x14ac:dyDescent="0.25">
      <c r="A7" s="119">
        <v>0</v>
      </c>
      <c r="B7" s="120"/>
      <c r="C7" s="121"/>
      <c r="D7" s="122">
        <v>1</v>
      </c>
      <c r="E7" s="123"/>
      <c r="F7" s="124">
        <f>G7</f>
        <v>0</v>
      </c>
      <c r="G7" s="124">
        <f>1-H7</f>
        <v>0</v>
      </c>
      <c r="H7" s="125">
        <v>1</v>
      </c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</row>
    <row r="8" spans="1:26" s="42" customFormat="1" x14ac:dyDescent="0.25">
      <c r="A8" s="127">
        <f>A7+B8</f>
        <v>0.5</v>
      </c>
      <c r="B8" s="128">
        <v>0.5</v>
      </c>
      <c r="C8" s="129">
        <v>114.4</v>
      </c>
      <c r="D8" s="122">
        <v>0.99583479331400004</v>
      </c>
      <c r="E8" s="130">
        <f t="shared" ref="E8:E17" si="0">-1/dt*LN(H8/H7)</f>
        <v>1.8976355744616674E-2</v>
      </c>
      <c r="F8" s="124">
        <f>H7-H8</f>
        <v>9.4433071386118561E-3</v>
      </c>
      <c r="G8" s="124">
        <f t="shared" ref="G8:G17" si="1">1-H8</f>
        <v>9.4433071386118561E-3</v>
      </c>
      <c r="H8" s="124">
        <f>(1-RR)/((1-RR)+B8*C8/10000)</f>
        <v>0.99055669286138814</v>
      </c>
      <c r="I8" s="126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</row>
    <row r="9" spans="1:26" s="42" customFormat="1" x14ac:dyDescent="0.25">
      <c r="A9" s="119">
        <f t="shared" ref="A9:A17" si="2">A8+B9</f>
        <v>1</v>
      </c>
      <c r="B9" s="120">
        <f>$B$8</f>
        <v>0.5</v>
      </c>
      <c r="C9" s="131">
        <v>141.76</v>
      </c>
      <c r="D9" s="122">
        <v>0.99096300549399996</v>
      </c>
      <c r="E9" s="130">
        <f t="shared" si="0"/>
        <v>2.8075876861832501E-2</v>
      </c>
      <c r="F9" s="124">
        <f t="shared" ref="F9:F17" si="3">H8-H9</f>
        <v>1.380822758474165E-2</v>
      </c>
      <c r="G9" s="124">
        <f t="shared" si="1"/>
        <v>2.3251534723353506E-2</v>
      </c>
      <c r="H9" s="125">
        <f>T9+U9</f>
        <v>0.97674846527664649</v>
      </c>
      <c r="I9" s="132">
        <f t="shared" ref="I9:I17" si="4">($D$8*((1-RR)*$H$7-(1-RR+$B$8*C9/10000)*$H$8))</f>
        <v>-1.3494373610779776E-3</v>
      </c>
      <c r="J9" s="132"/>
      <c r="K9" s="132"/>
      <c r="L9" s="132"/>
      <c r="M9" s="132"/>
      <c r="N9" s="132"/>
      <c r="O9" s="132"/>
      <c r="P9" s="132"/>
      <c r="Q9" s="132"/>
      <c r="R9" s="132">
        <f>SUM(I9:Q9)</f>
        <v>-1.3494373610779776E-3</v>
      </c>
      <c r="S9" s="132">
        <f t="shared" ref="S9:S17" si="5">(D9*((1-RR)+B9*C9/10000))</f>
        <v>0.60160174907934139</v>
      </c>
      <c r="T9" s="132">
        <f>R9/S9</f>
        <v>-2.2430741984096345E-3</v>
      </c>
      <c r="U9" s="132">
        <f t="shared" ref="U9:U17" si="6">H8*(1-RR)/(1-RR+B9*C9/10000)</f>
        <v>0.97899153947505613</v>
      </c>
    </row>
    <row r="10" spans="1:26" s="42" customFormat="1" x14ac:dyDescent="0.25">
      <c r="A10" s="127">
        <f t="shared" si="2"/>
        <v>1.5</v>
      </c>
      <c r="B10" s="128">
        <f t="shared" ref="B10:B17" si="7">$B$8</f>
        <v>0.5</v>
      </c>
      <c r="C10" s="129">
        <f>AVERAGE(C9,C11)</f>
        <v>153.56</v>
      </c>
      <c r="D10" s="122">
        <v>0.98569666301900005</v>
      </c>
      <c r="E10" s="130">
        <f t="shared" si="0"/>
        <v>2.9427109034609975E-2</v>
      </c>
      <c r="F10" s="124">
        <f t="shared" si="3"/>
        <v>1.4266230938006053E-2</v>
      </c>
      <c r="G10" s="124">
        <f t="shared" si="1"/>
        <v>3.7517765661359559E-2</v>
      </c>
      <c r="H10" s="124">
        <f>T10+U10</f>
        <v>0.96248223433864044</v>
      </c>
      <c r="I10" s="132">
        <f>($D$8*((1-RR)*$H$7-(1-RR+$B$8*C10/10000)*$H$8))</f>
        <v>-1.93143154458374E-3</v>
      </c>
      <c r="J10" s="132">
        <f t="shared" ref="J10:J17" si="8">($D$9*((1-RR)*$H$8-(1-RR+$B$9*C10/10000)*$H$9))</f>
        <v>7.7836362016833424E-4</v>
      </c>
      <c r="K10" s="132"/>
      <c r="L10" s="132"/>
      <c r="M10" s="132"/>
      <c r="N10" s="132"/>
      <c r="O10" s="132"/>
      <c r="P10" s="132"/>
      <c r="Q10" s="132"/>
      <c r="R10" s="132">
        <f t="shared" ref="R10:R17" si="9">SUM(I10:Q10)</f>
        <v>-1.1530679244154058E-3</v>
      </c>
      <c r="S10" s="132">
        <f t="shared" si="5"/>
        <v>0.59898617679005983</v>
      </c>
      <c r="T10" s="132">
        <f>R10/S10</f>
        <v>-1.9250326119287849E-3</v>
      </c>
      <c r="U10" s="132">
        <f t="shared" si="6"/>
        <v>0.96440726695056922</v>
      </c>
    </row>
    <row r="11" spans="1:26" s="42" customFormat="1" x14ac:dyDescent="0.25">
      <c r="A11" s="119">
        <f t="shared" si="2"/>
        <v>2</v>
      </c>
      <c r="B11" s="120">
        <f t="shared" si="7"/>
        <v>0.5</v>
      </c>
      <c r="C11" s="131">
        <v>165.36</v>
      </c>
      <c r="D11" s="122">
        <v>0.98010503953600003</v>
      </c>
      <c r="E11" s="130">
        <f t="shared" si="0"/>
        <v>3.3433344579941376E-2</v>
      </c>
      <c r="F11" s="124">
        <f t="shared" si="3"/>
        <v>1.595576488566175E-2</v>
      </c>
      <c r="G11" s="124">
        <f t="shared" si="1"/>
        <v>5.3473530547021308E-2</v>
      </c>
      <c r="H11" s="125">
        <f>T11+U11</f>
        <v>0.94652646945297869</v>
      </c>
      <c r="I11" s="132">
        <f t="shared" si="4"/>
        <v>-2.5134257280897236E-3</v>
      </c>
      <c r="J11" s="132">
        <f t="shared" si="8"/>
        <v>2.0728987925857595E-4</v>
      </c>
      <c r="K11" s="132">
        <f t="shared" ref="K11:K17" si="10">($D$10*((1-RR)*$H$9-(1-RR+$B$10*C11/10000)*$H$10))</f>
        <v>5.9332576371973862E-4</v>
      </c>
      <c r="L11" s="132"/>
      <c r="M11" s="132"/>
      <c r="N11" s="132"/>
      <c r="O11" s="132"/>
      <c r="P11" s="132"/>
      <c r="Q11" s="132"/>
      <c r="R11" s="132">
        <f t="shared" si="9"/>
        <v>-1.7128100851114092E-3</v>
      </c>
      <c r="S11" s="132">
        <f t="shared" si="5"/>
        <v>0.5961665321884837</v>
      </c>
      <c r="T11" s="132">
        <f>R11/S11</f>
        <v>-2.87303965021956E-3</v>
      </c>
      <c r="U11" s="132">
        <f t="shared" si="6"/>
        <v>0.94939950910319826</v>
      </c>
    </row>
    <row r="12" spans="1:26" s="42" customFormat="1" x14ac:dyDescent="0.25">
      <c r="A12" s="127">
        <f t="shared" si="2"/>
        <v>2.5</v>
      </c>
      <c r="B12" s="128">
        <f t="shared" si="7"/>
        <v>0.5</v>
      </c>
      <c r="C12" s="129">
        <f>AVERAGE(C11,C13)</f>
        <v>176.96</v>
      </c>
      <c r="D12" s="122">
        <v>0.97410111162099999</v>
      </c>
      <c r="E12" s="130">
        <f t="shared" si="0"/>
        <v>3.7326741234251164E-2</v>
      </c>
      <c r="F12" s="124">
        <f t="shared" si="3"/>
        <v>1.7501547355309732E-2</v>
      </c>
      <c r="G12" s="124">
        <f t="shared" si="1"/>
        <v>7.0975077902331041E-2</v>
      </c>
      <c r="H12" s="124">
        <f>T12+U12</f>
        <v>0.92902492209766896</v>
      </c>
      <c r="I12" s="132">
        <f t="shared" si="4"/>
        <v>-3.0855556034003833E-3</v>
      </c>
      <c r="J12" s="132">
        <f t="shared" si="8"/>
        <v>-3.5410464570346048E-4</v>
      </c>
      <c r="K12" s="132">
        <f t="shared" si="10"/>
        <v>4.3070758290205732E-5</v>
      </c>
      <c r="L12" s="132">
        <f t="shared" ref="L12:L17" si="11">($D$11*((1-RR)*$H$10-(1-RR+$B$11*C12/10000)*$H$11))</f>
        <v>1.1747467747077857E-3</v>
      </c>
      <c r="M12" s="132"/>
      <c r="N12" s="132"/>
      <c r="O12" s="132"/>
      <c r="P12" s="132"/>
      <c r="Q12" s="132"/>
      <c r="R12" s="132">
        <f t="shared" si="9"/>
        <v>-2.221842716105852E-3</v>
      </c>
      <c r="S12" s="132">
        <f t="shared" si="5"/>
        <v>0.59307951360822253</v>
      </c>
      <c r="T12" s="132">
        <f>R12/S12</f>
        <v>-3.7462813419206395E-3</v>
      </c>
      <c r="U12" s="132">
        <f t="shared" si="6"/>
        <v>0.93277120343958964</v>
      </c>
    </row>
    <row r="13" spans="1:26" s="42" customFormat="1" x14ac:dyDescent="0.25">
      <c r="A13" s="119">
        <f t="shared" si="2"/>
        <v>3</v>
      </c>
      <c r="B13" s="120">
        <f t="shared" si="7"/>
        <v>0.5</v>
      </c>
      <c r="C13" s="131">
        <v>188.56</v>
      </c>
      <c r="D13" s="122">
        <v>0.96783236118000004</v>
      </c>
      <c r="E13" s="130">
        <f t="shared" si="0"/>
        <v>4.1391094897336667E-2</v>
      </c>
      <c r="F13" s="124">
        <f t="shared" si="3"/>
        <v>1.9029091439715762E-2</v>
      </c>
      <c r="G13" s="124">
        <f t="shared" si="1"/>
        <v>9.0004169342046803E-2</v>
      </c>
      <c r="H13" s="125">
        <f t="shared" ref="H13:H17" si="12">T13+U13</f>
        <v>0.9099958306579532</v>
      </c>
      <c r="I13" s="132">
        <f t="shared" si="4"/>
        <v>-3.6576854787112641E-3</v>
      </c>
      <c r="J13" s="132">
        <f t="shared" si="8"/>
        <v>-9.1549917066549688E-4</v>
      </c>
      <c r="K13" s="132">
        <f t="shared" si="10"/>
        <v>-5.0718424713932706E-4</v>
      </c>
      <c r="L13" s="132">
        <f t="shared" si="11"/>
        <v>6.3668346430400592E-4</v>
      </c>
      <c r="M13" s="132">
        <f>($D$12*((1-RR)*$H$11-(1-RR+$B$12*C13/10000)*$H$12))</f>
        <v>1.6969634746891922E-3</v>
      </c>
      <c r="N13" s="132"/>
      <c r="O13" s="132"/>
      <c r="P13" s="132"/>
      <c r="Q13" s="132"/>
      <c r="R13" s="132">
        <f t="shared" si="9"/>
        <v>-2.7467219575228901E-3</v>
      </c>
      <c r="S13" s="132">
        <f t="shared" si="5"/>
        <v>0.58982414020920504</v>
      </c>
      <c r="T13" s="132">
        <f t="shared" ref="T13:T17" si="13">R13/S13</f>
        <v>-4.656849000023386E-3</v>
      </c>
      <c r="U13" s="132">
        <f t="shared" si="6"/>
        <v>0.91465267965797659</v>
      </c>
    </row>
    <row r="14" spans="1:26" s="42" customFormat="1" x14ac:dyDescent="0.25">
      <c r="A14" s="127">
        <f t="shared" si="2"/>
        <v>3.5</v>
      </c>
      <c r="B14" s="128">
        <f t="shared" si="7"/>
        <v>0.5</v>
      </c>
      <c r="C14" s="129">
        <f>AVERAGE(C13,C15)</f>
        <v>197.94</v>
      </c>
      <c r="D14" s="122">
        <v>0.96123247030000003</v>
      </c>
      <c r="E14" s="130">
        <f t="shared" si="0"/>
        <v>4.2784111287440856E-2</v>
      </c>
      <c r="F14" s="124">
        <f t="shared" si="3"/>
        <v>1.9259942096119254E-2</v>
      </c>
      <c r="G14" s="124">
        <f t="shared" si="1"/>
        <v>0.10926411143816606</v>
      </c>
      <c r="H14" s="124">
        <f t="shared" si="12"/>
        <v>0.89073588856183394</v>
      </c>
      <c r="I14" s="132">
        <f t="shared" si="4"/>
        <v>-4.1203215330574763E-3</v>
      </c>
      <c r="J14" s="132">
        <f t="shared" si="8"/>
        <v>-1.3694543986090969E-3</v>
      </c>
      <c r="K14" s="132">
        <f t="shared" si="10"/>
        <v>-9.5213182911605624E-4</v>
      </c>
      <c r="L14" s="132">
        <f t="shared" si="11"/>
        <v>2.0159433916707483E-4</v>
      </c>
      <c r="M14" s="132">
        <f>($D$12*((1-RR)*$H$11-(1-RR+$B$12*C14/10000)*$H$12))</f>
        <v>1.2725352605092663E-3</v>
      </c>
      <c r="N14" s="132">
        <f>($D$13*((1-RR)*$H$12-(1-RR+$B$13*C14/10000)*$H$13))</f>
        <v>2.3336626766149787E-3</v>
      </c>
      <c r="O14" s="132"/>
      <c r="P14" s="132"/>
      <c r="Q14" s="132"/>
      <c r="R14" s="132">
        <f t="shared" si="9"/>
        <v>-2.6341154844913102E-3</v>
      </c>
      <c r="S14" s="132">
        <f t="shared" si="5"/>
        <v>0.58625279993855917</v>
      </c>
      <c r="T14" s="132">
        <f t="shared" si="13"/>
        <v>-4.4931392818377538E-3</v>
      </c>
      <c r="U14" s="132">
        <f t="shared" si="6"/>
        <v>0.89522902784367164</v>
      </c>
    </row>
    <row r="15" spans="1:26" s="42" customFormat="1" x14ac:dyDescent="0.25">
      <c r="A15" s="119">
        <f t="shared" si="2"/>
        <v>4</v>
      </c>
      <c r="B15" s="120">
        <f t="shared" si="7"/>
        <v>0.5</v>
      </c>
      <c r="C15" s="131">
        <v>207.32</v>
      </c>
      <c r="D15" s="122">
        <v>0.95423927873100001</v>
      </c>
      <c r="E15" s="130">
        <f t="shared" si="0"/>
        <v>4.6198773968016346E-2</v>
      </c>
      <c r="F15" s="124">
        <f t="shared" si="3"/>
        <v>2.0339632077653658E-2</v>
      </c>
      <c r="G15" s="124">
        <f t="shared" si="1"/>
        <v>0.12960374351581971</v>
      </c>
      <c r="H15" s="125">
        <f t="shared" si="12"/>
        <v>0.87039625648418029</v>
      </c>
      <c r="I15" s="132">
        <f t="shared" si="4"/>
        <v>-4.5829575874035775E-3</v>
      </c>
      <c r="J15" s="132">
        <f t="shared" si="8"/>
        <v>-1.823409626552477E-3</v>
      </c>
      <c r="K15" s="132">
        <f t="shared" si="10"/>
        <v>-1.3970794110925665E-3</v>
      </c>
      <c r="L15" s="132">
        <f t="shared" si="11"/>
        <v>-2.3349478596963865E-4</v>
      </c>
      <c r="M15" s="132">
        <f>($D$12*((1-RR)*$H$11-(1-RR+$B$12*C15/10000)*$H$12))</f>
        <v>8.4810704632934028E-4</v>
      </c>
      <c r="N15" s="132">
        <f>($D$13*((1-RR)*$H$12-(1-RR+$B$13*C15/10000)*$H$13))</f>
        <v>1.9206033957071557E-3</v>
      </c>
      <c r="O15" s="132">
        <f>($D$14*((1-RR)*$H$13-(1-RR+$B$14*C15/10000)*$H$14))</f>
        <v>2.2325556872327588E-3</v>
      </c>
      <c r="P15" s="132"/>
      <c r="Q15" s="132"/>
      <c r="R15" s="132">
        <f t="shared" si="9"/>
        <v>-3.0356752817490046E-3</v>
      </c>
      <c r="S15" s="132">
        <f t="shared" si="5"/>
        <v>0.58243521160192546</v>
      </c>
      <c r="T15" s="132">
        <f t="shared" si="13"/>
        <v>-5.2120394187702111E-3</v>
      </c>
      <c r="U15" s="132">
        <f t="shared" si="6"/>
        <v>0.87560829590295053</v>
      </c>
    </row>
    <row r="16" spans="1:26" s="42" customFormat="1" x14ac:dyDescent="0.25">
      <c r="A16" s="127">
        <f t="shared" si="2"/>
        <v>4.5</v>
      </c>
      <c r="B16" s="128">
        <f t="shared" si="7"/>
        <v>0.5</v>
      </c>
      <c r="C16" s="129">
        <f>AVERAGE(C15,C17)</f>
        <v>212.85</v>
      </c>
      <c r="D16" s="122">
        <v>0.94689889010399997</v>
      </c>
      <c r="E16" s="130">
        <f t="shared" si="0"/>
        <v>4.3347870881394558E-2</v>
      </c>
      <c r="F16" s="124">
        <f t="shared" si="3"/>
        <v>1.866194285224998E-2</v>
      </c>
      <c r="G16" s="124">
        <f t="shared" si="1"/>
        <v>0.14826568636806969</v>
      </c>
      <c r="H16" s="124">
        <f t="shared" si="12"/>
        <v>0.85173431363193031</v>
      </c>
      <c r="I16" s="132">
        <f t="shared" si="4"/>
        <v>-4.8557057089957728E-3</v>
      </c>
      <c r="J16" s="132">
        <f t="shared" si="8"/>
        <v>-2.0910399475042468E-3</v>
      </c>
      <c r="K16" s="132">
        <f t="shared" si="10"/>
        <v>-1.6593992541982289E-3</v>
      </c>
      <c r="L16" s="132">
        <f t="shared" si="11"/>
        <v>-4.9000255377418559E-4</v>
      </c>
      <c r="M16" s="132">
        <f>($D$12*((1-RR)*$H$11-(1-RR+$B$12*C16/10000)*$H$12))</f>
        <v>5.9788444244704018E-4</v>
      </c>
      <c r="N16" s="132">
        <f>($D$13*((1-RR)*$H$12-(1-RR+$B$13*C16/10000)*$H$13))</f>
        <v>1.6770833718882763E-3</v>
      </c>
      <c r="O16" s="132">
        <f>($D$14*((1-RR)*$H$13-(1-RR+$B$14*C16/10000)*$H$14))</f>
        <v>1.9958152097444026E-3</v>
      </c>
      <c r="P16" s="132">
        <f>($D$15*((1-RR)*$H$14-(1-RR+$B$15*C16/10000)*$H$15))</f>
        <v>2.8060237009056512E-3</v>
      </c>
      <c r="Q16" s="132"/>
      <c r="R16" s="132">
        <f t="shared" si="9"/>
        <v>-2.0193407394870646E-3</v>
      </c>
      <c r="S16" s="132">
        <f t="shared" si="5"/>
        <v>0.57821670550033177</v>
      </c>
      <c r="T16" s="132">
        <f t="shared" si="13"/>
        <v>-3.4923597334319944E-3</v>
      </c>
      <c r="U16" s="132">
        <f t="shared" si="6"/>
        <v>0.85522667336536229</v>
      </c>
    </row>
    <row r="17" spans="1:21" s="42" customFormat="1" x14ac:dyDescent="0.25">
      <c r="A17" s="119">
        <f t="shared" si="2"/>
        <v>5</v>
      </c>
      <c r="B17" s="120">
        <f t="shared" si="7"/>
        <v>0.5</v>
      </c>
      <c r="C17" s="131">
        <v>218.38</v>
      </c>
      <c r="D17" s="122">
        <v>0.93918722794499998</v>
      </c>
      <c r="E17" s="130">
        <f t="shared" si="0"/>
        <v>4.5435152579595739E-2</v>
      </c>
      <c r="F17" s="124">
        <f t="shared" si="3"/>
        <v>1.9131209121559301E-2</v>
      </c>
      <c r="G17" s="124">
        <f t="shared" si="1"/>
        <v>0.16739689548962899</v>
      </c>
      <c r="H17" s="125">
        <f t="shared" si="12"/>
        <v>0.83260310451037101</v>
      </c>
      <c r="I17" s="132">
        <f t="shared" si="4"/>
        <v>-5.128453830587968E-3</v>
      </c>
      <c r="J17" s="132">
        <f t="shared" si="8"/>
        <v>-2.3586702684560163E-3</v>
      </c>
      <c r="K17" s="132">
        <f t="shared" si="10"/>
        <v>-1.9217190973038912E-3</v>
      </c>
      <c r="L17" s="132">
        <f t="shared" si="11"/>
        <v>-7.4651032157873243E-4</v>
      </c>
      <c r="M17" s="132">
        <f>($D$12*((1-RR)*$H$11-(1-RR+$B$12*C17/10000)*$H$12))</f>
        <v>3.4766183856484818E-4</v>
      </c>
      <c r="N17" s="132">
        <f>($D$13*((1-RR)*$H$12-(1-RR+$B$13*C17/10000)*$H$13))</f>
        <v>1.4335633480695043E-3</v>
      </c>
      <c r="O17" s="132">
        <f>($D$14*((1-RR)*$H$13-(1-RR+$B$14*C17/10000)*$H$14))</f>
        <v>1.7590747322561531E-3</v>
      </c>
      <c r="P17" s="132">
        <f>($D$15*((1-RR)*$H$14-(1-RR+$B$15*C17/10000)*$H$15))</f>
        <v>2.5763721200622921E-3</v>
      </c>
      <c r="Q17" s="132">
        <f>($D$16*((1-RR)*$H$15-(1-RR+$B$16*C17/10000)*$H$16))</f>
        <v>1.7963417541062797E-3</v>
      </c>
      <c r="R17" s="132">
        <f t="shared" si="9"/>
        <v>-2.2423397248675309E-3</v>
      </c>
      <c r="S17" s="132">
        <f t="shared" si="5"/>
        <v>0.57376732210893144</v>
      </c>
      <c r="T17" s="132">
        <f t="shared" si="13"/>
        <v>-3.9080993958066782E-3</v>
      </c>
      <c r="U17" s="132">
        <f t="shared" si="6"/>
        <v>0.83651120390617772</v>
      </c>
    </row>
    <row r="19" spans="1:21" x14ac:dyDescent="0.25">
      <c r="D19" s="35"/>
      <c r="E19" s="35"/>
    </row>
    <row r="20" spans="1:21" x14ac:dyDescent="0.25">
      <c r="A20" s="43"/>
      <c r="D20" s="35"/>
      <c r="E20" s="35"/>
    </row>
    <row r="21" spans="1:21" x14ac:dyDescent="0.25">
      <c r="D21" s="44"/>
      <c r="E21" s="44"/>
    </row>
    <row r="22" spans="1:21" x14ac:dyDescent="0.25">
      <c r="D22" s="44"/>
      <c r="E22" s="44"/>
    </row>
    <row r="23" spans="1:21" x14ac:dyDescent="0.25">
      <c r="D23" s="44"/>
      <c r="E23" s="44"/>
    </row>
    <row r="24" spans="1:21" x14ac:dyDescent="0.25">
      <c r="D24" s="44"/>
      <c r="E24" s="44"/>
    </row>
    <row r="25" spans="1:21" x14ac:dyDescent="0.25">
      <c r="D25" s="44"/>
      <c r="E25" s="44"/>
    </row>
    <row r="26" spans="1:21" x14ac:dyDescent="0.25">
      <c r="D26" s="44"/>
      <c r="E26" s="44"/>
    </row>
    <row r="27" spans="1:21" x14ac:dyDescent="0.25">
      <c r="D27" s="44"/>
      <c r="E27" s="44"/>
    </row>
    <row r="28" spans="1:21" x14ac:dyDescent="0.25">
      <c r="D28" s="44"/>
      <c r="E28" s="44"/>
    </row>
    <row r="29" spans="1:21" x14ac:dyDescent="0.25">
      <c r="D29" s="44"/>
      <c r="E29" s="44"/>
    </row>
    <row r="30" spans="1:21" x14ac:dyDescent="0.25">
      <c r="D30" s="44"/>
      <c r="E30" s="44"/>
    </row>
  </sheetData>
  <pageMargins left="0.75" right="0.75" top="1" bottom="1" header="0.5" footer="0.5"/>
  <pageSetup orientation="portrait" horizontalDpi="4294967292" verticalDpi="4294967292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M1023"/>
  <sheetViews>
    <sheetView zoomScale="90" zoomScaleNormal="90" workbookViewId="0">
      <selection activeCell="B7" sqref="B7"/>
    </sheetView>
  </sheetViews>
  <sheetFormatPr defaultRowHeight="14.25" x14ac:dyDescent="0.2"/>
  <cols>
    <col min="1" max="1" width="13.42578125" style="4" bestFit="1" customWidth="1"/>
    <col min="2" max="11" width="15.85546875" style="4" bestFit="1" customWidth="1"/>
    <col min="12" max="12" width="13.7109375" style="4" customWidth="1"/>
    <col min="13" max="13" width="15.42578125" style="4" customWidth="1"/>
    <col min="14" max="16384" width="9.140625" style="4"/>
  </cols>
  <sheetData>
    <row r="2" spans="1:11" ht="13.5" customHeight="1" x14ac:dyDescent="0.25">
      <c r="A2" s="133" t="s">
        <v>549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</row>
    <row r="3" spans="1:11" ht="15" x14ac:dyDescent="0.2">
      <c r="A3" s="7" t="s">
        <v>12</v>
      </c>
      <c r="B3" s="5" t="s">
        <v>13</v>
      </c>
      <c r="C3" s="5" t="s">
        <v>14</v>
      </c>
      <c r="D3" s="5" t="s">
        <v>15</v>
      </c>
      <c r="E3" s="5" t="s">
        <v>16</v>
      </c>
      <c r="F3" s="5" t="s">
        <v>18</v>
      </c>
      <c r="G3" s="5" t="s">
        <v>19</v>
      </c>
      <c r="H3" s="5" t="s">
        <v>20</v>
      </c>
      <c r="I3" s="5" t="s">
        <v>21</v>
      </c>
      <c r="J3" s="5" t="s">
        <v>22</v>
      </c>
      <c r="K3" s="5" t="s">
        <v>23</v>
      </c>
    </row>
    <row r="4" spans="1:11" ht="15" x14ac:dyDescent="0.2">
      <c r="A4" s="13">
        <v>0</v>
      </c>
      <c r="B4" s="6">
        <v>0.5</v>
      </c>
      <c r="C4" s="6">
        <v>1</v>
      </c>
      <c r="D4" s="6">
        <v>1.5</v>
      </c>
      <c r="E4" s="6">
        <v>2</v>
      </c>
      <c r="F4" s="6">
        <v>2.5</v>
      </c>
      <c r="G4" s="6">
        <v>3</v>
      </c>
      <c r="H4" s="6">
        <v>3.5</v>
      </c>
      <c r="I4" s="6">
        <v>4</v>
      </c>
      <c r="J4" s="6">
        <v>4.5</v>
      </c>
      <c r="K4" s="6">
        <v>5</v>
      </c>
    </row>
    <row r="5" spans="1:11" ht="15" x14ac:dyDescent="0.2">
      <c r="A5" s="7" t="s">
        <v>17</v>
      </c>
      <c r="B5" s="50">
        <v>1000000</v>
      </c>
      <c r="C5" s="50">
        <f>B5</f>
        <v>1000000</v>
      </c>
      <c r="D5" s="50">
        <f t="shared" ref="D5:K5" si="0">C5</f>
        <v>1000000</v>
      </c>
      <c r="E5" s="50">
        <f t="shared" si="0"/>
        <v>1000000</v>
      </c>
      <c r="F5" s="50">
        <f t="shared" si="0"/>
        <v>1000000</v>
      </c>
      <c r="G5" s="50">
        <f t="shared" si="0"/>
        <v>1000000</v>
      </c>
      <c r="H5" s="50">
        <f t="shared" si="0"/>
        <v>1000000</v>
      </c>
      <c r="I5" s="50">
        <f t="shared" si="0"/>
        <v>1000000</v>
      </c>
      <c r="J5" s="50">
        <f t="shared" si="0"/>
        <v>1000000</v>
      </c>
      <c r="K5" s="50">
        <f t="shared" si="0"/>
        <v>1000000</v>
      </c>
    </row>
    <row r="6" spans="1:11" ht="15" x14ac:dyDescent="0.2">
      <c r="A6" s="7"/>
      <c r="B6" s="9"/>
      <c r="C6" s="9"/>
      <c r="D6" s="9"/>
      <c r="E6" s="9"/>
      <c r="F6" s="9"/>
      <c r="G6" s="9"/>
      <c r="H6" s="9"/>
      <c r="I6" s="9"/>
      <c r="J6" s="9"/>
      <c r="K6" s="9"/>
    </row>
    <row r="7" spans="1:11" ht="15" x14ac:dyDescent="0.2">
      <c r="A7" s="7" t="s">
        <v>39</v>
      </c>
      <c r="B7" s="51">
        <v>6.7702368017151335E-2</v>
      </c>
      <c r="C7" s="9">
        <f>B7</f>
        <v>6.7702368017151335E-2</v>
      </c>
      <c r="D7" s="9">
        <f t="shared" ref="D7:K7" si="1">C7</f>
        <v>6.7702368017151335E-2</v>
      </c>
      <c r="E7" s="9">
        <f t="shared" si="1"/>
        <v>6.7702368017151335E-2</v>
      </c>
      <c r="F7" s="9">
        <f t="shared" si="1"/>
        <v>6.7702368017151335E-2</v>
      </c>
      <c r="G7" s="9">
        <f t="shared" si="1"/>
        <v>6.7702368017151335E-2</v>
      </c>
      <c r="H7" s="9">
        <f t="shared" si="1"/>
        <v>6.7702368017151335E-2</v>
      </c>
      <c r="I7" s="9">
        <f t="shared" si="1"/>
        <v>6.7702368017151335E-2</v>
      </c>
      <c r="J7" s="9">
        <f t="shared" si="1"/>
        <v>6.7702368017151335E-2</v>
      </c>
      <c r="K7" s="9">
        <f t="shared" si="1"/>
        <v>6.7702368017151335E-2</v>
      </c>
    </row>
    <row r="8" spans="1:11" ht="15" x14ac:dyDescent="0.2">
      <c r="A8" s="7"/>
      <c r="B8" s="10"/>
      <c r="C8" s="10"/>
      <c r="D8" s="10"/>
      <c r="E8" s="10"/>
      <c r="F8" s="10"/>
      <c r="G8" s="10"/>
      <c r="H8" s="10"/>
      <c r="I8" s="10"/>
      <c r="J8" s="10"/>
      <c r="K8" s="10"/>
    </row>
    <row r="9" spans="1:11" ht="15" x14ac:dyDescent="0.2">
      <c r="A9" s="7"/>
      <c r="B9" s="11"/>
      <c r="C9" s="11"/>
      <c r="D9" s="11"/>
      <c r="E9" s="11"/>
      <c r="F9" s="11"/>
      <c r="G9" s="11"/>
      <c r="H9" s="11"/>
      <c r="I9" s="11"/>
      <c r="J9" s="11"/>
      <c r="K9" s="11"/>
    </row>
    <row r="10" spans="1:11" ht="15" x14ac:dyDescent="0.2">
      <c r="A10" s="7"/>
      <c r="B10" s="8"/>
      <c r="C10" s="8"/>
      <c r="D10" s="8"/>
      <c r="E10" s="8"/>
      <c r="F10" s="8"/>
      <c r="G10" s="8"/>
      <c r="H10" s="8"/>
      <c r="I10" s="8"/>
      <c r="J10" s="8"/>
      <c r="K10" s="8"/>
    </row>
    <row r="11" spans="1:11" ht="15" x14ac:dyDescent="0.25">
      <c r="A11" s="14" t="s">
        <v>24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</row>
    <row r="12" spans="1:11" ht="15" x14ac:dyDescent="0.2">
      <c r="A12" s="7" t="s">
        <v>12</v>
      </c>
      <c r="B12" s="5" t="s">
        <v>13</v>
      </c>
      <c r="C12" s="5" t="s">
        <v>14</v>
      </c>
      <c r="D12" s="5" t="s">
        <v>15</v>
      </c>
      <c r="E12" s="5" t="s">
        <v>16</v>
      </c>
      <c r="F12" s="5" t="s">
        <v>18</v>
      </c>
      <c r="G12" s="5" t="s">
        <v>19</v>
      </c>
      <c r="H12" s="5" t="s">
        <v>20</v>
      </c>
      <c r="I12" s="5" t="s">
        <v>21</v>
      </c>
      <c r="J12" s="5" t="s">
        <v>22</v>
      </c>
      <c r="K12" s="5" t="s">
        <v>23</v>
      </c>
    </row>
    <row r="13" spans="1:11" ht="15" x14ac:dyDescent="0.25">
      <c r="A13" s="49">
        <f>AVERAGE(data!AW8:BF58)</f>
        <v>1.1004885891452431E-11</v>
      </c>
      <c r="B13" s="49">
        <f>AVERAGE(data!AX8:BF108)</f>
        <v>290.56937537774013</v>
      </c>
      <c r="C13" s="49">
        <f>AVERAGE(data!AY8:BF158)</f>
        <v>6126.3889844737241</v>
      </c>
      <c r="D13" s="49">
        <f>AVERAGE(data!AZ8:BF208)</f>
        <v>15307.459225915733</v>
      </c>
      <c r="E13" s="49">
        <f>AVERAGE(data!BA8:BF258)</f>
        <v>19364.152845323599</v>
      </c>
      <c r="F13" s="49">
        <f>AVERAGE(data!BB8:BF308)</f>
        <v>22720.015724642129</v>
      </c>
      <c r="G13" s="49">
        <f>AVERAGE(data!BC8:BF358)</f>
        <v>21819.238312706024</v>
      </c>
      <c r="H13" s="49">
        <f>AVERAGE(data!BD8:BF408)</f>
        <v>18490.90524857154</v>
      </c>
      <c r="I13" s="49">
        <f>AVERAGE(data!BE8:BF458)</f>
        <v>14642.396878960559</v>
      </c>
      <c r="J13" s="49">
        <f>AVERAGE(data!BF8:BF508)</f>
        <v>10536.069890252942</v>
      </c>
      <c r="K13" s="49">
        <f>AVERAGE(data!BG8:BG508)</f>
        <v>0</v>
      </c>
    </row>
    <row r="14" spans="1:11" ht="15" x14ac:dyDescent="0.25">
      <c r="A14" s="14"/>
      <c r="B14" s="12"/>
      <c r="C14" s="12"/>
      <c r="D14" s="12"/>
      <c r="E14" s="12"/>
      <c r="F14" s="12"/>
      <c r="G14" s="12"/>
      <c r="H14" s="12"/>
      <c r="I14" s="12"/>
      <c r="J14" s="12"/>
      <c r="K14" s="12"/>
    </row>
    <row r="15" spans="1:11" ht="15.75" x14ac:dyDescent="0.25">
      <c r="A15" s="135" t="s">
        <v>585</v>
      </c>
      <c r="B15" s="136"/>
      <c r="C15" s="136"/>
      <c r="D15" s="136"/>
      <c r="E15" s="136"/>
      <c r="F15" s="136"/>
      <c r="G15" s="136"/>
      <c r="H15" s="136"/>
      <c r="I15" s="136"/>
      <c r="J15" s="136"/>
      <c r="K15" s="137"/>
    </row>
    <row r="16" spans="1:11" ht="15" x14ac:dyDescent="0.2">
      <c r="A16" s="5" t="s">
        <v>26</v>
      </c>
      <c r="B16" s="5" t="s">
        <v>579</v>
      </c>
      <c r="C16" s="5" t="s">
        <v>580</v>
      </c>
      <c r="D16" s="5" t="s">
        <v>581</v>
      </c>
      <c r="E16" s="5" t="s">
        <v>582</v>
      </c>
      <c r="F16" s="5" t="s">
        <v>583</v>
      </c>
      <c r="G16" s="5" t="s">
        <v>584</v>
      </c>
      <c r="H16" s="5" t="s">
        <v>36</v>
      </c>
      <c r="I16" s="5" t="s">
        <v>37</v>
      </c>
      <c r="J16" s="5" t="s">
        <v>38</v>
      </c>
    </row>
    <row r="17" spans="1:13" ht="15" x14ac:dyDescent="0.25">
      <c r="A17" s="49">
        <f>MAX(A13,0)</f>
        <v>1.1004885891452431E-11</v>
      </c>
      <c r="B17" s="49">
        <f t="shared" ref="B17:K17" si="2">MAX(B13,0)</f>
        <v>290.56937537774013</v>
      </c>
      <c r="C17" s="49">
        <f t="shared" si="2"/>
        <v>6126.3889844737241</v>
      </c>
      <c r="D17" s="49">
        <f t="shared" si="2"/>
        <v>15307.459225915733</v>
      </c>
      <c r="E17" s="49">
        <f t="shared" si="2"/>
        <v>19364.152845323599</v>
      </c>
      <c r="F17" s="49">
        <f t="shared" si="2"/>
        <v>22720.015724642129</v>
      </c>
      <c r="G17" s="49">
        <f t="shared" si="2"/>
        <v>21819.238312706024</v>
      </c>
      <c r="H17" s="49">
        <f t="shared" si="2"/>
        <v>18490.90524857154</v>
      </c>
      <c r="I17" s="49">
        <f t="shared" si="2"/>
        <v>14642.396878960559</v>
      </c>
      <c r="J17" s="49">
        <f t="shared" si="2"/>
        <v>10536.069890252942</v>
      </c>
      <c r="K17" s="49">
        <f t="shared" si="2"/>
        <v>0</v>
      </c>
    </row>
    <row r="22" spans="1:13" ht="15.75" x14ac:dyDescent="0.25">
      <c r="C22" s="135" t="s">
        <v>40</v>
      </c>
      <c r="D22" s="136"/>
      <c r="E22" s="136"/>
      <c r="F22" s="136"/>
      <c r="G22" s="136"/>
      <c r="H22" s="136"/>
      <c r="I22" s="136"/>
      <c r="J22" s="136"/>
      <c r="K22" s="136"/>
      <c r="L22" s="136"/>
      <c r="M22" s="137"/>
    </row>
    <row r="23" spans="1:13" ht="15" x14ac:dyDescent="0.2">
      <c r="C23" s="7" t="s">
        <v>12</v>
      </c>
      <c r="D23" s="5" t="s">
        <v>13</v>
      </c>
      <c r="E23" s="5" t="s">
        <v>14</v>
      </c>
      <c r="F23" s="5" t="s">
        <v>15</v>
      </c>
      <c r="G23" s="5" t="s">
        <v>16</v>
      </c>
      <c r="H23" s="5" t="s">
        <v>18</v>
      </c>
      <c r="I23" s="5" t="s">
        <v>19</v>
      </c>
      <c r="J23" s="5" t="s">
        <v>20</v>
      </c>
      <c r="K23" s="5" t="s">
        <v>21</v>
      </c>
      <c r="L23" s="5" t="s">
        <v>22</v>
      </c>
      <c r="M23" s="5" t="s">
        <v>23</v>
      </c>
    </row>
    <row r="24" spans="1:13" x14ac:dyDescent="0.2">
      <c r="B24" s="4" t="s">
        <v>41</v>
      </c>
      <c r="C24" s="48">
        <f>data!BI8</f>
        <v>0</v>
      </c>
      <c r="D24" s="48">
        <f>data!BJ8</f>
        <v>0</v>
      </c>
      <c r="E24" s="48">
        <f>data!BK8</f>
        <v>0</v>
      </c>
      <c r="F24" s="48">
        <f>data!BL8</f>
        <v>0</v>
      </c>
      <c r="G24" s="48">
        <f>data!BM8</f>
        <v>0</v>
      </c>
      <c r="H24" s="48">
        <f>data!BN8</f>
        <v>2302.91695762566</v>
      </c>
      <c r="I24" s="48">
        <f>data!BO8</f>
        <v>4971.3672242155808</v>
      </c>
      <c r="J24" s="48">
        <f>data!BP8</f>
        <v>5988.9511858465812</v>
      </c>
      <c r="K24" s="48">
        <f>data!BQ8</f>
        <v>5416.2700067541946</v>
      </c>
      <c r="L24" s="48">
        <f>data!BR8</f>
        <v>3369.3937072993895</v>
      </c>
      <c r="M24" s="48">
        <f>data!BS8</f>
        <v>0</v>
      </c>
    </row>
    <row r="25" spans="1:13" x14ac:dyDescent="0.2">
      <c r="B25" s="4" t="s">
        <v>42</v>
      </c>
      <c r="C25" s="48">
        <f>data!BI9</f>
        <v>0</v>
      </c>
      <c r="D25" s="48">
        <f>data!BJ9</f>
        <v>0</v>
      </c>
      <c r="E25" s="48">
        <f>data!BK9</f>
        <v>0</v>
      </c>
      <c r="F25" s="48">
        <f>data!BL9</f>
        <v>0</v>
      </c>
      <c r="G25" s="48">
        <f>data!BM9</f>
        <v>0</v>
      </c>
      <c r="H25" s="48">
        <f>data!BN9</f>
        <v>3253.9320492499487</v>
      </c>
      <c r="I25" s="48">
        <f>data!BO9</f>
        <v>5715.2382859755862</v>
      </c>
      <c r="J25" s="48">
        <f>data!BP9</f>
        <v>6528.9189817282022</v>
      </c>
      <c r="K25" s="48">
        <f>data!BQ9</f>
        <v>5761.4275923326659</v>
      </c>
      <c r="L25" s="48">
        <f>data!BR9</f>
        <v>3533.4499384399574</v>
      </c>
      <c r="M25" s="48">
        <f>data!BS9</f>
        <v>0</v>
      </c>
    </row>
    <row r="26" spans="1:13" x14ac:dyDescent="0.2">
      <c r="B26" s="4" t="s">
        <v>43</v>
      </c>
      <c r="C26" s="48">
        <f>data!BI10</f>
        <v>0</v>
      </c>
      <c r="D26" s="48">
        <f>data!BJ10</f>
        <v>0</v>
      </c>
      <c r="E26" s="48">
        <f>data!BK10</f>
        <v>0</v>
      </c>
      <c r="F26" s="48">
        <f>data!BL10</f>
        <v>0</v>
      </c>
      <c r="G26" s="48">
        <f>data!BM10</f>
        <v>0</v>
      </c>
      <c r="H26" s="48">
        <f>data!BN10</f>
        <v>1884.0156879095266</v>
      </c>
      <c r="I26" s="48">
        <f>data!BO10</f>
        <v>4654.2742572015068</v>
      </c>
      <c r="J26" s="48">
        <f>data!BP10</f>
        <v>5764.1357141605349</v>
      </c>
      <c r="K26" s="48">
        <f>data!BQ10</f>
        <v>5274.8563264760542</v>
      </c>
      <c r="L26" s="48">
        <f>data!BR10</f>
        <v>3302.8536555887135</v>
      </c>
      <c r="M26" s="48">
        <f>data!BS10</f>
        <v>0</v>
      </c>
    </row>
    <row r="27" spans="1:13" x14ac:dyDescent="0.2">
      <c r="B27" s="4" t="s">
        <v>44</v>
      </c>
      <c r="C27" s="48">
        <f>data!BI11</f>
        <v>0</v>
      </c>
      <c r="D27" s="48">
        <f>data!BJ11</f>
        <v>0</v>
      </c>
      <c r="E27" s="48">
        <f>data!BK11</f>
        <v>0</v>
      </c>
      <c r="F27" s="48">
        <f>data!BL11</f>
        <v>0</v>
      </c>
      <c r="G27" s="48">
        <f>data!BM11</f>
        <v>0</v>
      </c>
      <c r="H27" s="48">
        <f>data!BN11</f>
        <v>147.33303133841082</v>
      </c>
      <c r="I27" s="48">
        <f>data!BO11</f>
        <v>3295.5655784355963</v>
      </c>
      <c r="J27" s="48">
        <f>data!BP11</f>
        <v>4772.7419670448126</v>
      </c>
      <c r="K27" s="48">
        <f>data!BQ11</f>
        <v>4635.1187148928493</v>
      </c>
      <c r="L27" s="48">
        <f>data!BR11</f>
        <v>2994.7458756436999</v>
      </c>
      <c r="M27" s="48">
        <f>data!BS11</f>
        <v>0</v>
      </c>
    </row>
    <row r="28" spans="1:13" x14ac:dyDescent="0.2">
      <c r="B28" s="4" t="s">
        <v>45</v>
      </c>
      <c r="C28" s="48">
        <f>data!BI12</f>
        <v>0</v>
      </c>
      <c r="D28" s="48">
        <f>data!BJ12</f>
        <v>0</v>
      </c>
      <c r="E28" s="48">
        <f>data!BK12</f>
        <v>0</v>
      </c>
      <c r="F28" s="48">
        <f>data!BL12</f>
        <v>0</v>
      </c>
      <c r="G28" s="48">
        <f>data!BM12</f>
        <v>0</v>
      </c>
      <c r="H28" s="48">
        <f>data!BN12</f>
        <v>906.55333721781108</v>
      </c>
      <c r="I28" s="48">
        <f>data!BO12</f>
        <v>3913.1483497674999</v>
      </c>
      <c r="J28" s="48">
        <f>data!BP12</f>
        <v>5239.5449729205775</v>
      </c>
      <c r="K28" s="48">
        <f>data!BQ12</f>
        <v>4946.2832103544379</v>
      </c>
      <c r="L28" s="48">
        <f>data!BR12</f>
        <v>3149.2212259816833</v>
      </c>
      <c r="M28" s="48">
        <f>data!BS12</f>
        <v>0</v>
      </c>
    </row>
    <row r="29" spans="1:13" x14ac:dyDescent="0.2">
      <c r="B29" s="4" t="s">
        <v>46</v>
      </c>
      <c r="C29" s="48">
        <f>data!BI13</f>
        <v>0</v>
      </c>
      <c r="D29" s="48">
        <f>data!BJ13</f>
        <v>0</v>
      </c>
      <c r="E29" s="48">
        <f>data!BK13</f>
        <v>0</v>
      </c>
      <c r="F29" s="48">
        <f>data!BL13</f>
        <v>0</v>
      </c>
      <c r="G29" s="48">
        <f>data!BM13</f>
        <v>0</v>
      </c>
      <c r="H29" s="48">
        <f>data!BN13</f>
        <v>2608.4782672190536</v>
      </c>
      <c r="I29" s="48">
        <f>data!BO13</f>
        <v>5217.3257719843705</v>
      </c>
      <c r="J29" s="48">
        <f>data!BP13</f>
        <v>6173.9735398737485</v>
      </c>
      <c r="K29" s="48">
        <f>data!BQ13</f>
        <v>5539.9949781065425</v>
      </c>
      <c r="L29" s="48">
        <f>data!BR13</f>
        <v>3431.5712562021054</v>
      </c>
      <c r="M29" s="48">
        <f>data!BS13</f>
        <v>0</v>
      </c>
    </row>
    <row r="30" spans="1:13" x14ac:dyDescent="0.2">
      <c r="B30" s="4" t="s">
        <v>47</v>
      </c>
      <c r="C30" s="48">
        <f>data!BI14</f>
        <v>0</v>
      </c>
      <c r="D30" s="48">
        <f>data!BJ14</f>
        <v>0</v>
      </c>
      <c r="E30" s="48">
        <f>data!BK14</f>
        <v>0</v>
      </c>
      <c r="F30" s="48">
        <f>data!BL14</f>
        <v>0</v>
      </c>
      <c r="G30" s="48">
        <f>data!BM14</f>
        <v>559.38986658909516</v>
      </c>
      <c r="H30" s="48">
        <f>data!BN14</f>
        <v>4458.6002182146185</v>
      </c>
      <c r="I30" s="48">
        <f>data!BO14</f>
        <v>6684.8269614576766</v>
      </c>
      <c r="J30" s="48">
        <f>data!BP14</f>
        <v>7256.5090391019185</v>
      </c>
      <c r="K30" s="48">
        <f>data!BQ14</f>
        <v>6244.6058338204766</v>
      </c>
      <c r="L30" s="48">
        <f>data!BR14</f>
        <v>3773.2339175459119</v>
      </c>
      <c r="M30" s="48">
        <f>data!BS14</f>
        <v>0</v>
      </c>
    </row>
    <row r="31" spans="1:13" x14ac:dyDescent="0.2">
      <c r="B31" s="4" t="s">
        <v>48</v>
      </c>
      <c r="C31" s="48">
        <f>data!BI15</f>
        <v>0</v>
      </c>
      <c r="D31" s="48">
        <f>data!BJ15</f>
        <v>0</v>
      </c>
      <c r="E31" s="48">
        <f>data!BK15</f>
        <v>0</v>
      </c>
      <c r="F31" s="48">
        <f>data!BL15</f>
        <v>0</v>
      </c>
      <c r="G31" s="48">
        <f>data!BM15</f>
        <v>0</v>
      </c>
      <c r="H31" s="48">
        <f>data!BN15</f>
        <v>3786.0276424359522</v>
      </c>
      <c r="I31" s="48">
        <f>data!BO15</f>
        <v>6133.6654343051287</v>
      </c>
      <c r="J31" s="48">
        <f>data!BP15</f>
        <v>6833.7323256458094</v>
      </c>
      <c r="K31" s="48">
        <f>data!BQ15</f>
        <v>5957.103189581645</v>
      </c>
      <c r="L31" s="48">
        <f>data!BR15</f>
        <v>3627.0997543115268</v>
      </c>
      <c r="M31" s="48">
        <f>data!BS15</f>
        <v>0</v>
      </c>
    </row>
    <row r="32" spans="1:13" x14ac:dyDescent="0.2">
      <c r="B32" s="4" t="s">
        <v>49</v>
      </c>
      <c r="C32" s="48">
        <f>data!BI16</f>
        <v>0</v>
      </c>
      <c r="D32" s="48">
        <f>data!BJ16</f>
        <v>0</v>
      </c>
      <c r="E32" s="48">
        <f>data!BK16</f>
        <v>0</v>
      </c>
      <c r="F32" s="48">
        <f>data!BL16</f>
        <v>0</v>
      </c>
      <c r="G32" s="48">
        <f>data!BM16</f>
        <v>0</v>
      </c>
      <c r="H32" s="48">
        <f>data!BN16</f>
        <v>3832.5683962937155</v>
      </c>
      <c r="I32" s="48">
        <f>data!BO16</f>
        <v>6128.0849842611387</v>
      </c>
      <c r="J32" s="48">
        <f>data!BP16</f>
        <v>6799.0020440434891</v>
      </c>
      <c r="K32" s="48">
        <f>data!BQ16</f>
        <v>5914.9728967546744</v>
      </c>
      <c r="L32" s="48">
        <f>data!BR16</f>
        <v>3597.372432540752</v>
      </c>
      <c r="M32" s="48">
        <f>data!BS16</f>
        <v>0</v>
      </c>
    </row>
    <row r="33" spans="2:13" x14ac:dyDescent="0.2">
      <c r="B33" s="4" t="s">
        <v>50</v>
      </c>
      <c r="C33" s="48">
        <f>data!BI17</f>
        <v>0</v>
      </c>
      <c r="D33" s="48">
        <f>data!BJ17</f>
        <v>0</v>
      </c>
      <c r="E33" s="48">
        <f>data!BK17</f>
        <v>0</v>
      </c>
      <c r="F33" s="48">
        <f>data!BL17</f>
        <v>0</v>
      </c>
      <c r="G33" s="48">
        <f>data!BM17</f>
        <v>2919.6910609422966</v>
      </c>
      <c r="H33" s="48">
        <f>data!BN17</f>
        <v>6286.5517206428867</v>
      </c>
      <c r="I33" s="48">
        <f>data!BO17</f>
        <v>8033.0005470806827</v>
      </c>
      <c r="J33" s="48">
        <f>data!BP17</f>
        <v>8180.8248567911251</v>
      </c>
      <c r="K33" s="48">
        <f>data!BQ17</f>
        <v>6803.3046586319433</v>
      </c>
      <c r="L33" s="48">
        <f>data!BR17</f>
        <v>4024.5173897570862</v>
      </c>
      <c r="M33" s="48">
        <f>data!BS17</f>
        <v>0</v>
      </c>
    </row>
    <row r="34" spans="2:13" x14ac:dyDescent="0.2">
      <c r="B34" s="4" t="s">
        <v>51</v>
      </c>
      <c r="C34" s="48">
        <f>data!BI18</f>
        <v>0</v>
      </c>
      <c r="D34" s="48">
        <f>data!BJ18</f>
        <v>0</v>
      </c>
      <c r="E34" s="48">
        <f>data!BK18</f>
        <v>0</v>
      </c>
      <c r="F34" s="48">
        <f>data!BL18</f>
        <v>0</v>
      </c>
      <c r="G34" s="48">
        <f>data!BM18</f>
        <v>3096.3327711642105</v>
      </c>
      <c r="H34" s="48">
        <f>data!BN18</f>
        <v>6497.0115767863972</v>
      </c>
      <c r="I34" s="48">
        <f>data!BO18</f>
        <v>8246.853475775597</v>
      </c>
      <c r="J34" s="48">
        <f>data!BP18</f>
        <v>8371.2562921527897</v>
      </c>
      <c r="K34" s="48">
        <f>data!BQ18</f>
        <v>6947.5859081160443</v>
      </c>
      <c r="L34" s="48">
        <f>data!BR18</f>
        <v>4103.9956940445682</v>
      </c>
      <c r="M34" s="48">
        <f>data!BS18</f>
        <v>0</v>
      </c>
    </row>
    <row r="35" spans="2:13" x14ac:dyDescent="0.2">
      <c r="B35" s="4" t="s">
        <v>52</v>
      </c>
      <c r="C35" s="48">
        <f>data!BI19</f>
        <v>0</v>
      </c>
      <c r="D35" s="48">
        <f>data!BJ19</f>
        <v>0</v>
      </c>
      <c r="E35" s="48">
        <f>data!BK19</f>
        <v>0</v>
      </c>
      <c r="F35" s="48">
        <f>data!BL19</f>
        <v>0</v>
      </c>
      <c r="G35" s="48">
        <f>data!BM19</f>
        <v>2875.0890054166834</v>
      </c>
      <c r="H35" s="48">
        <f>data!BN19</f>
        <v>6332.1072133942253</v>
      </c>
      <c r="I35" s="48">
        <f>data!BO19</f>
        <v>8128.0123942221526</v>
      </c>
      <c r="J35" s="48">
        <f>data!BP19</f>
        <v>8290.168546077708</v>
      </c>
      <c r="K35" s="48">
        <f>data!BQ19</f>
        <v>6897.8958998873932</v>
      </c>
      <c r="L35" s="48">
        <f>data!BR19</f>
        <v>4080.9216975041627</v>
      </c>
      <c r="M35" s="48">
        <f>data!BS19</f>
        <v>0</v>
      </c>
    </row>
    <row r="36" spans="2:13" x14ac:dyDescent="0.2">
      <c r="B36" s="4" t="s">
        <v>53</v>
      </c>
      <c r="C36" s="48">
        <f>data!BI20</f>
        <v>0</v>
      </c>
      <c r="D36" s="48">
        <f>data!BJ20</f>
        <v>0</v>
      </c>
      <c r="E36" s="48">
        <f>data!BK20</f>
        <v>0</v>
      </c>
      <c r="F36" s="48">
        <f>data!BL20</f>
        <v>0</v>
      </c>
      <c r="G36" s="48">
        <f>data!BM20</f>
        <v>0</v>
      </c>
      <c r="H36" s="48">
        <f>data!BN20</f>
        <v>3660.6373173758279</v>
      </c>
      <c r="I36" s="48">
        <f>data!BO20</f>
        <v>6079.1681688559111</v>
      </c>
      <c r="J36" s="48">
        <f>data!BP20</f>
        <v>6821.0185285441949</v>
      </c>
      <c r="K36" s="48">
        <f>data!BQ20</f>
        <v>5963.92192098139</v>
      </c>
      <c r="L36" s="48">
        <f>data!BR20</f>
        <v>3636.6983636153977</v>
      </c>
      <c r="M36" s="48">
        <f>data!BS20</f>
        <v>0</v>
      </c>
    </row>
    <row r="37" spans="2:13" x14ac:dyDescent="0.2">
      <c r="B37" s="4" t="s">
        <v>54</v>
      </c>
      <c r="C37" s="48">
        <f>data!BI21</f>
        <v>0</v>
      </c>
      <c r="D37" s="48">
        <f>data!BJ21</f>
        <v>0</v>
      </c>
      <c r="E37" s="48">
        <f>data!BK21</f>
        <v>0</v>
      </c>
      <c r="F37" s="48">
        <f>data!BL21</f>
        <v>0</v>
      </c>
      <c r="G37" s="48">
        <f>data!BM21</f>
        <v>3459.4828276127791</v>
      </c>
      <c r="H37" s="48">
        <f>data!BN21</f>
        <v>6848.7616090073661</v>
      </c>
      <c r="I37" s="48">
        <f>data!BO21</f>
        <v>8560.2328385600995</v>
      </c>
      <c r="J37" s="48">
        <f>data!BP21</f>
        <v>8624.8579564472384</v>
      </c>
      <c r="K37" s="48">
        <f>data!BQ21</f>
        <v>7125.8571026065019</v>
      </c>
      <c r="L37" s="48">
        <f>data!BR21</f>
        <v>4196.3481419270656</v>
      </c>
      <c r="M37" s="48">
        <f>data!BS21</f>
        <v>0</v>
      </c>
    </row>
    <row r="38" spans="2:13" x14ac:dyDescent="0.2">
      <c r="B38" s="4" t="s">
        <v>55</v>
      </c>
      <c r="C38" s="48">
        <f>data!BI22</f>
        <v>0</v>
      </c>
      <c r="D38" s="48">
        <f>data!BJ22</f>
        <v>0</v>
      </c>
      <c r="E38" s="48">
        <f>data!BK22</f>
        <v>0</v>
      </c>
      <c r="F38" s="48">
        <f>data!BL22</f>
        <v>0</v>
      </c>
      <c r="G38" s="48">
        <f>data!BM22</f>
        <v>2191.6475228744139</v>
      </c>
      <c r="H38" s="48">
        <f>data!BN22</f>
        <v>5772.6148699154883</v>
      </c>
      <c r="I38" s="48">
        <f>data!BO22</f>
        <v>7691.4324417966063</v>
      </c>
      <c r="J38" s="48">
        <f>data!BP22</f>
        <v>7972.8925148304561</v>
      </c>
      <c r="K38" s="48">
        <f>data!BQ22</f>
        <v>6694.4572204447668</v>
      </c>
      <c r="L38" s="48">
        <f>data!BR22</f>
        <v>3983.855496609327</v>
      </c>
      <c r="M38" s="48">
        <f>data!BS22</f>
        <v>0</v>
      </c>
    </row>
    <row r="39" spans="2:13" x14ac:dyDescent="0.2">
      <c r="B39" s="4" t="s">
        <v>56</v>
      </c>
      <c r="C39" s="48">
        <f>data!BI23</f>
        <v>0</v>
      </c>
      <c r="D39" s="48">
        <f>data!BJ23</f>
        <v>0</v>
      </c>
      <c r="E39" s="48">
        <f>data!BK23</f>
        <v>0</v>
      </c>
      <c r="F39" s="48">
        <f>data!BL23</f>
        <v>812.3380413032196</v>
      </c>
      <c r="G39" s="48">
        <f>data!BM23</f>
        <v>5321.0443779610941</v>
      </c>
      <c r="H39" s="48">
        <f>data!BN23</f>
        <v>8219.6272604710302</v>
      </c>
      <c r="I39" s="48">
        <f>data!BO23</f>
        <v>9524.1035898194932</v>
      </c>
      <c r="J39" s="48">
        <f>data!BP23</f>
        <v>9256.9188773193036</v>
      </c>
      <c r="K39" s="48">
        <f>data!BQ23</f>
        <v>7492.7439024232244</v>
      </c>
      <c r="L39" s="48">
        <f>data!BR23</f>
        <v>4355.6054821886546</v>
      </c>
      <c r="M39" s="48">
        <f>data!BS23</f>
        <v>0</v>
      </c>
    </row>
    <row r="40" spans="2:13" x14ac:dyDescent="0.2">
      <c r="B40" s="4" t="s">
        <v>57</v>
      </c>
      <c r="C40" s="48">
        <f>data!BI24</f>
        <v>0</v>
      </c>
      <c r="D40" s="48">
        <f>data!BJ24</f>
        <v>0</v>
      </c>
      <c r="E40" s="48">
        <f>data!BK24</f>
        <v>0</v>
      </c>
      <c r="F40" s="48">
        <f>data!BL24</f>
        <v>2577.2623176917637</v>
      </c>
      <c r="G40" s="48">
        <f>data!BM24</f>
        <v>6796.2571656666696</v>
      </c>
      <c r="H40" s="48">
        <f>data!BN24</f>
        <v>9416.6779667363407</v>
      </c>
      <c r="I40" s="48">
        <f>data!BO24</f>
        <v>10454.462438924407</v>
      </c>
      <c r="J40" s="48">
        <f>data!BP24</f>
        <v>9933.2049494802122</v>
      </c>
      <c r="K40" s="48">
        <f>data!BQ24</f>
        <v>7928.7878913814056</v>
      </c>
      <c r="L40" s="48">
        <f>data!BR24</f>
        <v>4566.0639086411538</v>
      </c>
      <c r="M40" s="48">
        <f>data!BS24</f>
        <v>0</v>
      </c>
    </row>
    <row r="41" spans="2:13" x14ac:dyDescent="0.2">
      <c r="B41" s="4" t="s">
        <v>58</v>
      </c>
      <c r="C41" s="48">
        <f>data!BI25</f>
        <v>0</v>
      </c>
      <c r="D41" s="48">
        <f>data!BJ25</f>
        <v>0</v>
      </c>
      <c r="E41" s="48">
        <f>data!BK25</f>
        <v>0</v>
      </c>
      <c r="F41" s="48">
        <f>data!BL25</f>
        <v>3543.6718430168444</v>
      </c>
      <c r="G41" s="48">
        <f>data!BM25</f>
        <v>7570.7612905898695</v>
      </c>
      <c r="H41" s="48">
        <f>data!BN25</f>
        <v>10016.837049732674</v>
      </c>
      <c r="I41" s="48">
        <f>data!BO25</f>
        <v>10897.842403924336</v>
      </c>
      <c r="J41" s="48">
        <f>data!BP25</f>
        <v>10238.110203087894</v>
      </c>
      <c r="K41" s="48">
        <f>data!BQ25</f>
        <v>8113.9224258206141</v>
      </c>
      <c r="L41" s="48">
        <f>data!BR25</f>
        <v>4649.8473931908266</v>
      </c>
      <c r="M41" s="48">
        <f>data!BS25</f>
        <v>0</v>
      </c>
    </row>
    <row r="42" spans="2:13" x14ac:dyDescent="0.2">
      <c r="B42" s="4" t="s">
        <v>59</v>
      </c>
      <c r="C42" s="48">
        <f>data!BI26</f>
        <v>0</v>
      </c>
      <c r="D42" s="48">
        <f>data!BJ26</f>
        <v>0</v>
      </c>
      <c r="E42" s="48">
        <f>data!BK26</f>
        <v>0</v>
      </c>
      <c r="F42" s="48">
        <f>data!BL26</f>
        <v>4155.7224038593231</v>
      </c>
      <c r="G42" s="48">
        <f>data!BM26</f>
        <v>8075.4235763923825</v>
      </c>
      <c r="H42" s="48">
        <f>data!BN26</f>
        <v>10418.204404645086</v>
      </c>
      <c r="I42" s="48">
        <f>data!BO26</f>
        <v>11201.324719015018</v>
      </c>
      <c r="J42" s="48">
        <f>data!BP26</f>
        <v>10451.138928101758</v>
      </c>
      <c r="K42" s="48">
        <f>data!BQ26</f>
        <v>8245.6309338203737</v>
      </c>
      <c r="L42" s="48">
        <f>data!BR26</f>
        <v>4710.4005410718846</v>
      </c>
      <c r="M42" s="48">
        <f>data!BS26</f>
        <v>0</v>
      </c>
    </row>
    <row r="43" spans="2:13" x14ac:dyDescent="0.2">
      <c r="B43" s="4" t="s">
        <v>60</v>
      </c>
      <c r="C43" s="48">
        <f>data!BI27</f>
        <v>0</v>
      </c>
      <c r="D43" s="48">
        <f>data!BJ27</f>
        <v>0</v>
      </c>
      <c r="E43" s="48">
        <f>data!BK27</f>
        <v>0</v>
      </c>
      <c r="F43" s="48">
        <f>data!BL27</f>
        <v>3560.1953651295235</v>
      </c>
      <c r="G43" s="48">
        <f>data!BM27</f>
        <v>7571.2425738150851</v>
      </c>
      <c r="H43" s="48">
        <f>data!BN27</f>
        <v>10005.655876512345</v>
      </c>
      <c r="I43" s="48">
        <f>data!BO27</f>
        <v>10878.656573221924</v>
      </c>
      <c r="J43" s="48">
        <f>data!BP27</f>
        <v>10215.539335450128</v>
      </c>
      <c r="K43" s="48">
        <f>data!BQ27</f>
        <v>8093.4135304883921</v>
      </c>
      <c r="L43" s="48">
        <f>data!BR27</f>
        <v>4636.9840308510493</v>
      </c>
      <c r="M43" s="48">
        <f>data!BS27</f>
        <v>0</v>
      </c>
    </row>
    <row r="44" spans="2:13" x14ac:dyDescent="0.2">
      <c r="B44" s="4" t="s">
        <v>61</v>
      </c>
      <c r="C44" s="48">
        <f>data!BI28</f>
        <v>0</v>
      </c>
      <c r="D44" s="48">
        <f>data!BJ28</f>
        <v>0</v>
      </c>
      <c r="E44" s="48">
        <f>data!BK28</f>
        <v>0</v>
      </c>
      <c r="F44" s="48">
        <f>data!BL28</f>
        <v>3158.4941033184191</v>
      </c>
      <c r="G44" s="48">
        <f>data!BM28</f>
        <v>7218.181694479641</v>
      </c>
      <c r="H44" s="48">
        <f>data!BN28</f>
        <v>9708.3666423088507</v>
      </c>
      <c r="I44" s="48">
        <f>data!BO28</f>
        <v>10641.025447602895</v>
      </c>
      <c r="J44" s="48">
        <f>data!BP28</f>
        <v>10039.283078501339</v>
      </c>
      <c r="K44" s="48">
        <f>data!BQ28</f>
        <v>7978.3681331242515</v>
      </c>
      <c r="L44" s="48">
        <f>data!BR28</f>
        <v>4581.206838879194</v>
      </c>
      <c r="M44" s="48">
        <f>data!BS28</f>
        <v>0</v>
      </c>
    </row>
    <row r="45" spans="2:13" x14ac:dyDescent="0.2">
      <c r="B45" s="4" t="s">
        <v>62</v>
      </c>
      <c r="C45" s="48">
        <f>data!BI29</f>
        <v>0</v>
      </c>
      <c r="D45" s="48">
        <f>data!BJ29</f>
        <v>0</v>
      </c>
      <c r="E45" s="48">
        <f>data!BK29</f>
        <v>989.28970833791709</v>
      </c>
      <c r="F45" s="48">
        <f>data!BL29</f>
        <v>6281.6755184847625</v>
      </c>
      <c r="G45" s="48">
        <f>data!BM29</f>
        <v>9850.093964439824</v>
      </c>
      <c r="H45" s="48">
        <f>data!BN29</f>
        <v>11852.33948421694</v>
      </c>
      <c r="I45" s="48">
        <f>data!BO29</f>
        <v>12307.615533714477</v>
      </c>
      <c r="J45" s="48">
        <f>data!BP29</f>
        <v>11246.756079676979</v>
      </c>
      <c r="K45" s="48">
        <f>data!BQ29</f>
        <v>8751.7878467608389</v>
      </c>
      <c r="L45" s="48">
        <f>data!BR29</f>
        <v>4950.9052930447269</v>
      </c>
      <c r="M45" s="48">
        <f>data!BS29</f>
        <v>0</v>
      </c>
    </row>
    <row r="46" spans="2:13" x14ac:dyDescent="0.2">
      <c r="B46" s="4" t="s">
        <v>63</v>
      </c>
      <c r="C46" s="48">
        <f>data!BI30</f>
        <v>0</v>
      </c>
      <c r="D46" s="48">
        <f>data!BJ30</f>
        <v>0</v>
      </c>
      <c r="E46" s="48">
        <f>data!BK30</f>
        <v>1004.7728198795448</v>
      </c>
      <c r="F46" s="48">
        <f>data!BL30</f>
        <v>6197.2989832525946</v>
      </c>
      <c r="G46" s="48">
        <f>data!BM30</f>
        <v>9701.7861156279469</v>
      </c>
      <c r="H46" s="48">
        <f>data!BN30</f>
        <v>11670.269662630948</v>
      </c>
      <c r="I46" s="48">
        <f>data!BO30</f>
        <v>12118.930655469369</v>
      </c>
      <c r="J46" s="48">
        <f>data!BP30</f>
        <v>11076.067979617408</v>
      </c>
      <c r="K46" s="48">
        <f>data!BQ30</f>
        <v>8620.8288222887149</v>
      </c>
      <c r="L46" s="48">
        <f>data!BR30</f>
        <v>4878.0462218594066</v>
      </c>
      <c r="M46" s="48">
        <f>data!BS30</f>
        <v>0</v>
      </c>
    </row>
    <row r="47" spans="2:13" x14ac:dyDescent="0.2">
      <c r="B47" s="4" t="s">
        <v>64</v>
      </c>
      <c r="C47" s="48">
        <f>data!BI31</f>
        <v>0</v>
      </c>
      <c r="D47" s="48">
        <f>data!BJ31</f>
        <v>0</v>
      </c>
      <c r="E47" s="48">
        <f>data!BK31</f>
        <v>739.17835917163893</v>
      </c>
      <c r="F47" s="48">
        <f>data!BL31</f>
        <v>5798.5052153497245</v>
      </c>
      <c r="G47" s="48">
        <f>data!BM31</f>
        <v>9238.6436481060809</v>
      </c>
      <c r="H47" s="48">
        <f>data!BN31</f>
        <v>11198.569814956589</v>
      </c>
      <c r="I47" s="48">
        <f>data!BO31</f>
        <v>11684.554272087877</v>
      </c>
      <c r="J47" s="48">
        <f>data!BP31</f>
        <v>10715.961739614377</v>
      </c>
      <c r="K47" s="48">
        <f>data!BQ31</f>
        <v>8363.305359369695</v>
      </c>
      <c r="L47" s="48">
        <f>data!BR31</f>
        <v>4743.1087770924942</v>
      </c>
      <c r="M47" s="48">
        <f>data!BS31</f>
        <v>0</v>
      </c>
    </row>
    <row r="48" spans="2:13" x14ac:dyDescent="0.2">
      <c r="B48" s="4" t="s">
        <v>65</v>
      </c>
      <c r="C48" s="48">
        <f>data!BI32</f>
        <v>0</v>
      </c>
      <c r="D48" s="48">
        <f>data!BJ32</f>
        <v>718.70084382390723</v>
      </c>
      <c r="E48" s="48">
        <f>data!BK32</f>
        <v>6989.1259515845686</v>
      </c>
      <c r="F48" s="48">
        <f>data!BL32</f>
        <v>11056.480268864821</v>
      </c>
      <c r="G48" s="48">
        <f>data!BM32</f>
        <v>13564.509077599816</v>
      </c>
      <c r="H48" s="48">
        <f>data!BN32</f>
        <v>14650.096953305272</v>
      </c>
      <c r="I48" s="48">
        <f>data!BO32</f>
        <v>14320.972481133087</v>
      </c>
      <c r="J48" s="48">
        <f>data!BP32</f>
        <v>12598.768474596216</v>
      </c>
      <c r="K48" s="48">
        <f>data!BQ32</f>
        <v>9555.5476579864408</v>
      </c>
      <c r="L48" s="48">
        <f>data!BR32</f>
        <v>5308.0798469892015</v>
      </c>
      <c r="M48" s="48">
        <f>data!BS32</f>
        <v>0</v>
      </c>
    </row>
    <row r="49" spans="2:13" x14ac:dyDescent="0.2">
      <c r="B49" s="4" t="s">
        <v>66</v>
      </c>
      <c r="C49" s="48">
        <f>data!BI33</f>
        <v>0</v>
      </c>
      <c r="D49" s="48">
        <f>data!BJ33</f>
        <v>0</v>
      </c>
      <c r="E49" s="48">
        <f>data!BK33</f>
        <v>4561.8031875360502</v>
      </c>
      <c r="F49" s="48">
        <f>data!BL33</f>
        <v>8910.7015169761962</v>
      </c>
      <c r="G49" s="48">
        <f>data!BM33</f>
        <v>11726.170018624158</v>
      </c>
      <c r="H49" s="48">
        <f>data!BN33</f>
        <v>13132.495924444243</v>
      </c>
      <c r="I49" s="48">
        <f>data!BO33</f>
        <v>13128.029941009958</v>
      </c>
      <c r="J49" s="48">
        <f>data!BP33</f>
        <v>11726.4084906481</v>
      </c>
      <c r="K49" s="48">
        <f>data!BQ33</f>
        <v>8992.6616566020348</v>
      </c>
      <c r="L49" s="48">
        <f>data!BR33</f>
        <v>5037.5615763825454</v>
      </c>
      <c r="M49" s="48">
        <f>data!BS33</f>
        <v>0</v>
      </c>
    </row>
    <row r="50" spans="2:13" x14ac:dyDescent="0.2">
      <c r="B50" s="4" t="s">
        <v>67</v>
      </c>
      <c r="C50" s="48">
        <f>data!BI34</f>
        <v>0</v>
      </c>
      <c r="D50" s="48">
        <f>data!BJ34</f>
        <v>0</v>
      </c>
      <c r="E50" s="48">
        <f>data!BK34</f>
        <v>5192.8083061556308</v>
      </c>
      <c r="F50" s="48">
        <f>data!BL34</f>
        <v>9533.3826125582582</v>
      </c>
      <c r="G50" s="48">
        <f>data!BM34</f>
        <v>12310.628338456932</v>
      </c>
      <c r="H50" s="48">
        <f>data!BN34</f>
        <v>13651.997283224599</v>
      </c>
      <c r="I50" s="48">
        <f>data!BO34</f>
        <v>13561.654196599375</v>
      </c>
      <c r="J50" s="48">
        <f>data!BP34</f>
        <v>12059.598165631869</v>
      </c>
      <c r="K50" s="48">
        <f>data!BQ34</f>
        <v>9216.8143869313935</v>
      </c>
      <c r="L50" s="48">
        <f>data!BR34</f>
        <v>5149.2210560028934</v>
      </c>
      <c r="M50" s="48">
        <f>data!BS34</f>
        <v>0</v>
      </c>
    </row>
    <row r="51" spans="2:13" x14ac:dyDescent="0.2">
      <c r="B51" s="4" t="s">
        <v>68</v>
      </c>
      <c r="C51" s="48">
        <f>data!BI35</f>
        <v>0</v>
      </c>
      <c r="D51" s="48">
        <f>data!BJ35</f>
        <v>0</v>
      </c>
      <c r="E51" s="48">
        <f>data!BK35</f>
        <v>5948.5074447268671</v>
      </c>
      <c r="F51" s="48">
        <f>data!BL35</f>
        <v>10172.236920788571</v>
      </c>
      <c r="G51" s="48">
        <f>data!BM35</f>
        <v>12837.017144597385</v>
      </c>
      <c r="H51" s="48">
        <f>data!BN35</f>
        <v>14069.673691539461</v>
      </c>
      <c r="I51" s="48">
        <f>data!BO35</f>
        <v>13876.338686452193</v>
      </c>
      <c r="J51" s="48">
        <f>data!BP35</f>
        <v>12279.428648686076</v>
      </c>
      <c r="K51" s="48">
        <f>data!BQ35</f>
        <v>9351.8840161791595</v>
      </c>
      <c r="L51" s="48">
        <f>data!BR35</f>
        <v>5210.8324331458025</v>
      </c>
      <c r="M51" s="48">
        <f>data!BS35</f>
        <v>0</v>
      </c>
    </row>
    <row r="52" spans="2:13" x14ac:dyDescent="0.2">
      <c r="B52" s="4" t="s">
        <v>69</v>
      </c>
      <c r="C52" s="48">
        <f>data!BI36</f>
        <v>0</v>
      </c>
      <c r="D52" s="48">
        <f>data!BJ36</f>
        <v>0</v>
      </c>
      <c r="E52" s="48">
        <f>data!BK36</f>
        <v>496.67719486665465</v>
      </c>
      <c r="F52" s="48">
        <f>data!BL36</f>
        <v>5680.5948086578646</v>
      </c>
      <c r="G52" s="48">
        <f>data!BM36</f>
        <v>9222.5879384264117</v>
      </c>
      <c r="H52" s="48">
        <f>data!BN36</f>
        <v>11249.131875735678</v>
      </c>
      <c r="I52" s="48">
        <f>data!BO36</f>
        <v>11768.392763864162</v>
      </c>
      <c r="J52" s="48">
        <f>data!BP36</f>
        <v>10805.788870262879</v>
      </c>
      <c r="K52" s="48">
        <f>data!BQ36</f>
        <v>8437.9836525268729</v>
      </c>
      <c r="L52" s="48">
        <f>data!BR36</f>
        <v>4786.484747048723</v>
      </c>
      <c r="M52" s="48">
        <f>data!BS36</f>
        <v>0</v>
      </c>
    </row>
    <row r="53" spans="2:13" x14ac:dyDescent="0.2">
      <c r="B53" s="4" t="s">
        <v>70</v>
      </c>
      <c r="C53" s="48">
        <f>data!BI37</f>
        <v>0</v>
      </c>
      <c r="D53" s="48">
        <f>data!BJ37</f>
        <v>0</v>
      </c>
      <c r="E53" s="48">
        <f>data!BK37</f>
        <v>1608.7029393457919</v>
      </c>
      <c r="F53" s="48">
        <f>data!BL37</f>
        <v>6760.876574072835</v>
      </c>
      <c r="G53" s="48">
        <f>data!BM37</f>
        <v>10225.27500353327</v>
      </c>
      <c r="H53" s="48">
        <f>data!BN37</f>
        <v>12134.323983634167</v>
      </c>
      <c r="I53" s="48">
        <f>data!BO37</f>
        <v>12504.763567076636</v>
      </c>
      <c r="J53" s="48">
        <f>data!BP37</f>
        <v>11371.124159202196</v>
      </c>
      <c r="K53" s="48">
        <f>data!BQ37</f>
        <v>8818.6844308949003</v>
      </c>
      <c r="L53" s="48">
        <f>data!BR37</f>
        <v>4976.5740021061911</v>
      </c>
      <c r="M53" s="48">
        <f>data!BS37</f>
        <v>0</v>
      </c>
    </row>
    <row r="54" spans="2:13" x14ac:dyDescent="0.2">
      <c r="B54" s="4" t="s">
        <v>71</v>
      </c>
      <c r="C54" s="48">
        <f>data!BI38</f>
        <v>0</v>
      </c>
      <c r="D54" s="48">
        <f>data!BJ38</f>
        <v>0</v>
      </c>
      <c r="E54" s="48">
        <f>data!BK38</f>
        <v>801.73322985156847</v>
      </c>
      <c r="F54" s="48">
        <f>data!BL38</f>
        <v>6132.8650402755557</v>
      </c>
      <c r="G54" s="48">
        <f>data!BM38</f>
        <v>9757.591367746114</v>
      </c>
      <c r="H54" s="48">
        <f>data!BN38</f>
        <v>11803.887510787054</v>
      </c>
      <c r="I54" s="48">
        <f>data!BO38</f>
        <v>12287.190721311506</v>
      </c>
      <c r="J54" s="48">
        <f>data!BP38</f>
        <v>11242.068865572477</v>
      </c>
      <c r="K54" s="48">
        <f>data!BQ38</f>
        <v>8754.5231173409011</v>
      </c>
      <c r="L54" s="48">
        <f>data!BR38</f>
        <v>4954.8785140830696</v>
      </c>
      <c r="M54" s="48">
        <f>data!BS38</f>
        <v>0</v>
      </c>
    </row>
    <row r="55" spans="2:13" x14ac:dyDescent="0.2">
      <c r="B55" s="4" t="s">
        <v>72</v>
      </c>
      <c r="C55" s="48">
        <f>data!BI39</f>
        <v>0</v>
      </c>
      <c r="D55" s="48">
        <f>data!BJ39</f>
        <v>0</v>
      </c>
      <c r="E55" s="48">
        <f>data!BK39</f>
        <v>3037.5898629468802</v>
      </c>
      <c r="F55" s="48">
        <f>data!BL39</f>
        <v>8105.5124585443746</v>
      </c>
      <c r="G55" s="48">
        <f>data!BM39</f>
        <v>11460.966072437226</v>
      </c>
      <c r="H55" s="48">
        <f>data!BN39</f>
        <v>13230.002315423168</v>
      </c>
      <c r="I55" s="48">
        <f>data!BO39</f>
        <v>13429.515963524864</v>
      </c>
      <c r="J55" s="48">
        <f>data!BP39</f>
        <v>12096.845717966578</v>
      </c>
      <c r="K55" s="48">
        <f>data!BQ39</f>
        <v>9321.086436867492</v>
      </c>
      <c r="L55" s="48">
        <f>data!BR39</f>
        <v>5235.5675928709834</v>
      </c>
      <c r="M55" s="48">
        <f>data!BS39</f>
        <v>0</v>
      </c>
    </row>
    <row r="56" spans="2:13" x14ac:dyDescent="0.2">
      <c r="B56" s="4" t="s">
        <v>73</v>
      </c>
      <c r="C56" s="48">
        <f>data!BI40</f>
        <v>0</v>
      </c>
      <c r="D56" s="48">
        <f>data!BJ40</f>
        <v>0</v>
      </c>
      <c r="E56" s="48">
        <f>data!BK40</f>
        <v>1876.6715737764298</v>
      </c>
      <c r="F56" s="48">
        <f>data!BL40</f>
        <v>7142.0640845037178</v>
      </c>
      <c r="G56" s="48">
        <f>data!BM40</f>
        <v>10687.006223570792</v>
      </c>
      <c r="H56" s="48">
        <f>data!BN40</f>
        <v>12631.552434513533</v>
      </c>
      <c r="I56" s="48">
        <f>data!BO40</f>
        <v>12989.607273556441</v>
      </c>
      <c r="J56" s="48">
        <f>data!BP40</f>
        <v>11796.788147923724</v>
      </c>
      <c r="K56" s="48">
        <f>data!BQ40</f>
        <v>9141.1661032503744</v>
      </c>
      <c r="L56" s="48">
        <f>data!BR40</f>
        <v>5155.614172317155</v>
      </c>
      <c r="M56" s="48">
        <f>data!BS40</f>
        <v>0</v>
      </c>
    </row>
    <row r="57" spans="2:13" x14ac:dyDescent="0.2">
      <c r="B57" s="4" t="s">
        <v>74</v>
      </c>
      <c r="C57" s="48">
        <f>data!BI41</f>
        <v>0</v>
      </c>
      <c r="D57" s="48">
        <f>data!BJ41</f>
        <v>0</v>
      </c>
      <c r="E57" s="48">
        <f>data!BK41</f>
        <v>0</v>
      </c>
      <c r="F57" s="48">
        <f>data!BL41</f>
        <v>3559.9741127872353</v>
      </c>
      <c r="G57" s="48">
        <f>data!BM41</f>
        <v>7738.1491557346253</v>
      </c>
      <c r="H57" s="48">
        <f>data!BN41</f>
        <v>10276.866361103666</v>
      </c>
      <c r="I57" s="48">
        <f>data!BO41</f>
        <v>11188.551592378102</v>
      </c>
      <c r="J57" s="48">
        <f>data!BP41</f>
        <v>10508.086207162689</v>
      </c>
      <c r="K57" s="48">
        <f>data!BQ41</f>
        <v>8323.2408548588319</v>
      </c>
      <c r="L57" s="48">
        <f>data!BR41</f>
        <v>4767.032927434273</v>
      </c>
      <c r="M57" s="48">
        <f>data!BS41</f>
        <v>0</v>
      </c>
    </row>
    <row r="58" spans="2:13" x14ac:dyDescent="0.2">
      <c r="B58" s="4" t="s">
        <v>75</v>
      </c>
      <c r="C58" s="48">
        <f>data!BI42</f>
        <v>0</v>
      </c>
      <c r="D58" s="48">
        <f>data!BJ42</f>
        <v>0</v>
      </c>
      <c r="E58" s="48">
        <f>data!BK42</f>
        <v>0</v>
      </c>
      <c r="F58" s="48">
        <f>data!BL42</f>
        <v>2186.1410949412548</v>
      </c>
      <c r="G58" s="48">
        <f>data!BM42</f>
        <v>6543.217154276268</v>
      </c>
      <c r="H58" s="48">
        <f>data!BN42</f>
        <v>9277.7846110792416</v>
      </c>
      <c r="I58" s="48">
        <f>data!BO42</f>
        <v>10394.651157039665</v>
      </c>
      <c r="J58" s="48">
        <f>data!BP42</f>
        <v>9922.1726618114444</v>
      </c>
      <c r="K58" s="48">
        <f>data!BQ42</f>
        <v>7942.2542690217761</v>
      </c>
      <c r="L58" s="48">
        <f>data!BR42</f>
        <v>4582.760958130857</v>
      </c>
      <c r="M58" s="48">
        <f>data!BS42</f>
        <v>0</v>
      </c>
    </row>
    <row r="59" spans="2:13" x14ac:dyDescent="0.2">
      <c r="B59" s="4" t="s">
        <v>76</v>
      </c>
      <c r="C59" s="48">
        <f>data!BI43</f>
        <v>0</v>
      </c>
      <c r="D59" s="48">
        <f>data!BJ43</f>
        <v>0</v>
      </c>
      <c r="E59" s="48">
        <f>data!BK43</f>
        <v>0</v>
      </c>
      <c r="F59" s="48">
        <f>data!BL43</f>
        <v>2636.9100525041813</v>
      </c>
      <c r="G59" s="48">
        <f>data!BM43</f>
        <v>6844.5599526647202</v>
      </c>
      <c r="H59" s="48">
        <f>data!BN43</f>
        <v>9470.2265857574639</v>
      </c>
      <c r="I59" s="48">
        <f>data!BO43</f>
        <v>10510.490702212102</v>
      </c>
      <c r="J59" s="48">
        <f>data!BP43</f>
        <v>9986.660028693881</v>
      </c>
      <c r="K59" s="48">
        <f>data!BQ43</f>
        <v>7974.1536275973122</v>
      </c>
      <c r="L59" s="48">
        <f>data!BR43</f>
        <v>4594.8918224437211</v>
      </c>
      <c r="M59" s="48">
        <f>data!BS43</f>
        <v>0</v>
      </c>
    </row>
    <row r="60" spans="2:13" x14ac:dyDescent="0.2">
      <c r="B60" s="4" t="s">
        <v>77</v>
      </c>
      <c r="C60" s="48">
        <f>data!BI44</f>
        <v>0</v>
      </c>
      <c r="D60" s="48">
        <f>data!BJ44</f>
        <v>0</v>
      </c>
      <c r="E60" s="48">
        <f>data!BK44</f>
        <v>0</v>
      </c>
      <c r="F60" s="48">
        <f>data!BL44</f>
        <v>472.75138680653254</v>
      </c>
      <c r="G60" s="48">
        <f>data!BM44</f>
        <v>5043.7487116749189</v>
      </c>
      <c r="H60" s="48">
        <f>data!BN44</f>
        <v>8021.8209905079511</v>
      </c>
      <c r="I60" s="48">
        <f>data!BO44</f>
        <v>9398.3072914359036</v>
      </c>
      <c r="J60" s="48">
        <f>data!BP44</f>
        <v>9190.3905630286499</v>
      </c>
      <c r="K60" s="48">
        <f>data!BQ44</f>
        <v>7470.123199557338</v>
      </c>
      <c r="L60" s="48">
        <f>data!BR44</f>
        <v>4356.8422814773885</v>
      </c>
      <c r="M60" s="48">
        <f>data!BS44</f>
        <v>0</v>
      </c>
    </row>
    <row r="61" spans="2:13" x14ac:dyDescent="0.2">
      <c r="B61" s="4" t="s">
        <v>78</v>
      </c>
      <c r="C61" s="48">
        <f>data!BI45</f>
        <v>0</v>
      </c>
      <c r="D61" s="48">
        <f>data!BJ45</f>
        <v>0</v>
      </c>
      <c r="E61" s="48">
        <f>data!BK45</f>
        <v>0</v>
      </c>
      <c r="F61" s="48">
        <f>data!BL45</f>
        <v>61.83354220846013</v>
      </c>
      <c r="G61" s="48">
        <f>data!BM45</f>
        <v>4740.7323194289202</v>
      </c>
      <c r="H61" s="48">
        <f>data!BN45</f>
        <v>7811.6385664149966</v>
      </c>
      <c r="I61" s="48">
        <f>data!BO45</f>
        <v>9264.1870065886214</v>
      </c>
      <c r="J61" s="48">
        <f>data!BP45</f>
        <v>9115.0424695674101</v>
      </c>
      <c r="K61" s="48">
        <f>data!BQ45</f>
        <v>7436.323018510474</v>
      </c>
      <c r="L61" s="48">
        <f>data!BR45</f>
        <v>4347.8503404630228</v>
      </c>
      <c r="M61" s="48">
        <f>data!BS45</f>
        <v>0</v>
      </c>
    </row>
    <row r="62" spans="2:13" x14ac:dyDescent="0.2">
      <c r="B62" s="4" t="s">
        <v>79</v>
      </c>
      <c r="C62" s="48">
        <f>data!BI46</f>
        <v>0</v>
      </c>
      <c r="D62" s="48">
        <f>data!BJ46</f>
        <v>0</v>
      </c>
      <c r="E62" s="48">
        <f>data!BK46</f>
        <v>0</v>
      </c>
      <c r="F62" s="48">
        <f>data!BL46</f>
        <v>2568.3257930129625</v>
      </c>
      <c r="G62" s="48">
        <f>data!BM46</f>
        <v>6836.5391648443747</v>
      </c>
      <c r="H62" s="48">
        <f>data!BN46</f>
        <v>9507.1578910117423</v>
      </c>
      <c r="I62" s="48">
        <f>data!BO46</f>
        <v>10574.250482767437</v>
      </c>
      <c r="J62" s="48">
        <f>data!BP46</f>
        <v>10059.275065204292</v>
      </c>
      <c r="K62" s="48">
        <f>data!BQ46</f>
        <v>8038.4458843076318</v>
      </c>
      <c r="L62" s="48">
        <f>data!BR46</f>
        <v>4634.5890401274828</v>
      </c>
      <c r="M62" s="48">
        <f>data!BS46</f>
        <v>0</v>
      </c>
    </row>
    <row r="63" spans="2:13" x14ac:dyDescent="0.2">
      <c r="B63" s="4" t="s">
        <v>80</v>
      </c>
      <c r="C63" s="48">
        <f>data!BI47</f>
        <v>0</v>
      </c>
      <c r="D63" s="48">
        <f>data!BJ47</f>
        <v>0</v>
      </c>
      <c r="E63" s="48">
        <f>data!BK47</f>
        <v>0</v>
      </c>
      <c r="F63" s="48">
        <f>data!BL47</f>
        <v>3924.877504336936</v>
      </c>
      <c r="G63" s="48">
        <f>data!BM47</f>
        <v>8020.1498349429148</v>
      </c>
      <c r="H63" s="48">
        <f>data!BN47</f>
        <v>10510.716498429687</v>
      </c>
      <c r="I63" s="48">
        <f>data!BO47</f>
        <v>11389.676437760287</v>
      </c>
      <c r="J63" s="48">
        <f>data!BP47</f>
        <v>10678.960874063303</v>
      </c>
      <c r="K63" s="48">
        <f>data!BQ47</f>
        <v>8455.9185799729166</v>
      </c>
      <c r="L63" s="48">
        <f>data!BR47</f>
        <v>4844.8855333400079</v>
      </c>
      <c r="M63" s="48">
        <f>data!BS47</f>
        <v>0</v>
      </c>
    </row>
    <row r="64" spans="2:13" x14ac:dyDescent="0.2">
      <c r="B64" s="4" t="s">
        <v>81</v>
      </c>
      <c r="C64" s="48">
        <f>data!BI48</f>
        <v>0</v>
      </c>
      <c r="D64" s="48">
        <f>data!BJ48</f>
        <v>0</v>
      </c>
      <c r="E64" s="48">
        <f>data!BK48</f>
        <v>0</v>
      </c>
      <c r="F64" s="48">
        <f>data!BL48</f>
        <v>5115.5455759040615</v>
      </c>
      <c r="G64" s="48">
        <f>data!BM48</f>
        <v>8977.8630897980474</v>
      </c>
      <c r="H64" s="48">
        <f>data!BN48</f>
        <v>11258.738145114521</v>
      </c>
      <c r="I64" s="48">
        <f>data!BO48</f>
        <v>11949.592761742502</v>
      </c>
      <c r="J64" s="48">
        <f>data!BP48</f>
        <v>11071.322754278928</v>
      </c>
      <c r="K64" s="48">
        <f>data!BQ48</f>
        <v>8700.1137798717955</v>
      </c>
      <c r="L64" s="48">
        <f>data!BR48</f>
        <v>4958.8398188326591</v>
      </c>
      <c r="M64" s="48">
        <f>data!BS48</f>
        <v>0</v>
      </c>
    </row>
    <row r="65" spans="2:13" x14ac:dyDescent="0.2">
      <c r="B65" s="4" t="s">
        <v>82</v>
      </c>
      <c r="C65" s="48">
        <f>data!BI49</f>
        <v>0</v>
      </c>
      <c r="D65" s="48">
        <f>data!BJ49</f>
        <v>0</v>
      </c>
      <c r="E65" s="48">
        <f>data!BK49</f>
        <v>0</v>
      </c>
      <c r="F65" s="48">
        <f>data!BL49</f>
        <v>4656.5474491460946</v>
      </c>
      <c r="G65" s="48">
        <f>data!BM49</f>
        <v>8627.7753521423656</v>
      </c>
      <c r="H65" s="48">
        <f>data!BN49</f>
        <v>11002.174053293114</v>
      </c>
      <c r="I65" s="48">
        <f>data!BO49</f>
        <v>11771.194574651083</v>
      </c>
      <c r="J65" s="48">
        <f>data!BP49</f>
        <v>10956.575168003419</v>
      </c>
      <c r="K65" s="48">
        <f>data!BQ49</f>
        <v>8635.559561447868</v>
      </c>
      <c r="L65" s="48">
        <f>data!BR49</f>
        <v>4932.1354611462457</v>
      </c>
      <c r="M65" s="48">
        <f>data!BS49</f>
        <v>0</v>
      </c>
    </row>
    <row r="66" spans="2:13" x14ac:dyDescent="0.2">
      <c r="B66" s="4" t="s">
        <v>83</v>
      </c>
      <c r="C66" s="48">
        <f>data!BI50</f>
        <v>0</v>
      </c>
      <c r="D66" s="48">
        <f>data!BJ50</f>
        <v>0</v>
      </c>
      <c r="E66" s="48">
        <f>data!BK50</f>
        <v>0</v>
      </c>
      <c r="F66" s="48">
        <f>data!BL50</f>
        <v>3736.4128532440745</v>
      </c>
      <c r="G66" s="48">
        <f>data!BM50</f>
        <v>7859.8197319239553</v>
      </c>
      <c r="H66" s="48">
        <f>data!BN50</f>
        <v>10375.646682025377</v>
      </c>
      <c r="I66" s="48">
        <f>data!BO50</f>
        <v>11277.898275440188</v>
      </c>
      <c r="J66" s="48">
        <f>data!BP50</f>
        <v>10590.894768412476</v>
      </c>
      <c r="K66" s="48">
        <f>data!BQ50</f>
        <v>8393.8796685315338</v>
      </c>
      <c r="L66" s="48">
        <f>data!BR50</f>
        <v>4812.1269674819205</v>
      </c>
      <c r="M66" s="48">
        <f>data!BS50</f>
        <v>0</v>
      </c>
    </row>
    <row r="67" spans="2:13" x14ac:dyDescent="0.2">
      <c r="B67" s="4" t="s">
        <v>84</v>
      </c>
      <c r="C67" s="48">
        <f>data!BI51</f>
        <v>0</v>
      </c>
      <c r="D67" s="48">
        <f>data!BJ51</f>
        <v>0</v>
      </c>
      <c r="E67" s="48">
        <f>data!BK51</f>
        <v>0</v>
      </c>
      <c r="F67" s="48">
        <f>data!BL51</f>
        <v>3863.7633504570981</v>
      </c>
      <c r="G67" s="48">
        <f>data!BM51</f>
        <v>7950.1974239011815</v>
      </c>
      <c r="H67" s="48">
        <f>data!BN51</f>
        <v>10433.561290087982</v>
      </c>
      <c r="I67" s="48">
        <f>data!BO51</f>
        <v>11308.993614368064</v>
      </c>
      <c r="J67" s="48">
        <f>data!BP51</f>
        <v>10602.175795617932</v>
      </c>
      <c r="K67" s="48">
        <f>data!BQ51</f>
        <v>8393.2576924238801</v>
      </c>
      <c r="L67" s="48">
        <f>data!BR51</f>
        <v>4807.8128160813603</v>
      </c>
      <c r="M67" s="48">
        <f>data!BS51</f>
        <v>0</v>
      </c>
    </row>
    <row r="68" spans="2:13" x14ac:dyDescent="0.2">
      <c r="B68" s="4" t="s">
        <v>85</v>
      </c>
      <c r="C68" s="48">
        <f>data!BI52</f>
        <v>0</v>
      </c>
      <c r="D68" s="48">
        <f>data!BJ52</f>
        <v>0</v>
      </c>
      <c r="E68" s="48">
        <f>data!BK52</f>
        <v>0</v>
      </c>
      <c r="F68" s="48">
        <f>data!BL52</f>
        <v>0</v>
      </c>
      <c r="G68" s="48">
        <f>data!BM52</f>
        <v>2148.3266381188869</v>
      </c>
      <c r="H68" s="48">
        <f>data!BN52</f>
        <v>5750.344711567247</v>
      </c>
      <c r="I68" s="48">
        <f>data!BO52</f>
        <v>7691.8263969709724</v>
      </c>
      <c r="J68" s="48">
        <f>data!BP52</f>
        <v>7991.5229866199188</v>
      </c>
      <c r="K68" s="48">
        <f>data!BQ52</f>
        <v>6723.6966798544254</v>
      </c>
      <c r="L68" s="48">
        <f>data!BR52</f>
        <v>4009.4304867497281</v>
      </c>
      <c r="M68" s="48">
        <f>data!BS52</f>
        <v>0</v>
      </c>
    </row>
    <row r="69" spans="2:13" x14ac:dyDescent="0.2">
      <c r="B69" s="4" t="s">
        <v>86</v>
      </c>
      <c r="C69" s="48">
        <f>data!BI53</f>
        <v>0</v>
      </c>
      <c r="D69" s="48">
        <f>data!BJ53</f>
        <v>0</v>
      </c>
      <c r="E69" s="48">
        <f>data!BK53</f>
        <v>0</v>
      </c>
      <c r="F69" s="48">
        <f>data!BL53</f>
        <v>0</v>
      </c>
      <c r="G69" s="48">
        <f>data!BM53</f>
        <v>4499.6465029062056</v>
      </c>
      <c r="H69" s="48">
        <f>data!BN53</f>
        <v>7578.7490939905556</v>
      </c>
      <c r="I69" s="48">
        <f>data!BO53</f>
        <v>9049.1681207016081</v>
      </c>
      <c r="J69" s="48">
        <f>data!BP53</f>
        <v>8930.9868241706063</v>
      </c>
      <c r="K69" s="48">
        <f>data!BQ53</f>
        <v>7298.6488733110837</v>
      </c>
      <c r="L69" s="48">
        <f>data!BR53</f>
        <v>4272.032745224632</v>
      </c>
      <c r="M69" s="48">
        <f>data!BS53</f>
        <v>0</v>
      </c>
    </row>
    <row r="70" spans="2:13" x14ac:dyDescent="0.2">
      <c r="B70" s="4" t="s">
        <v>87</v>
      </c>
      <c r="C70" s="48">
        <f>data!BI54</f>
        <v>0</v>
      </c>
      <c r="D70" s="48">
        <f>data!BJ54</f>
        <v>0</v>
      </c>
      <c r="E70" s="48">
        <f>data!BK54</f>
        <v>0</v>
      </c>
      <c r="F70" s="48">
        <f>data!BL54</f>
        <v>1209.5149177994535</v>
      </c>
      <c r="G70" s="48">
        <f>data!BM54</f>
        <v>5672.1776825870611</v>
      </c>
      <c r="H70" s="48">
        <f>data!BN54</f>
        <v>8540.9870711585208</v>
      </c>
      <c r="I70" s="48">
        <f>data!BO54</f>
        <v>9805.3886533591794</v>
      </c>
      <c r="J70" s="48">
        <f>data!BP54</f>
        <v>9486.7644814673404</v>
      </c>
      <c r="K70" s="48">
        <f>data!BQ54</f>
        <v>7660.8745467495373</v>
      </c>
      <c r="L70" s="48">
        <f>data!BR54</f>
        <v>4448.6972063238418</v>
      </c>
      <c r="M70" s="48">
        <f>data!BS54</f>
        <v>0</v>
      </c>
    </row>
    <row r="71" spans="2:13" x14ac:dyDescent="0.2">
      <c r="B71" s="4" t="s">
        <v>88</v>
      </c>
      <c r="C71" s="48">
        <f>data!BI55</f>
        <v>0</v>
      </c>
      <c r="D71" s="48">
        <f>data!BJ55</f>
        <v>0</v>
      </c>
      <c r="E71" s="48">
        <f>data!BK55</f>
        <v>0</v>
      </c>
      <c r="F71" s="48">
        <f>data!BL55</f>
        <v>1740.7738267747604</v>
      </c>
      <c r="G71" s="48">
        <f>data!BM55</f>
        <v>6134.3460138881019</v>
      </c>
      <c r="H71" s="48">
        <f>data!BN55</f>
        <v>8925.7223453243987</v>
      </c>
      <c r="I71" s="48">
        <f>data!BO55</f>
        <v>10108.141501321563</v>
      </c>
      <c r="J71" s="48">
        <f>data!BP55</f>
        <v>9706.9769768936494</v>
      </c>
      <c r="K71" s="48">
        <f>data!BQ55</f>
        <v>7801.4453158221568</v>
      </c>
      <c r="L71" s="48">
        <f>data!BR55</f>
        <v>4515.2144974044922</v>
      </c>
      <c r="M71" s="48">
        <f>data!BS55</f>
        <v>0</v>
      </c>
    </row>
    <row r="72" spans="2:13" x14ac:dyDescent="0.2">
      <c r="B72" s="4" t="s">
        <v>89</v>
      </c>
      <c r="C72" s="48">
        <f>data!BI56</f>
        <v>0</v>
      </c>
      <c r="D72" s="48">
        <f>data!BJ56</f>
        <v>0</v>
      </c>
      <c r="E72" s="48">
        <f>data!BK56</f>
        <v>0</v>
      </c>
      <c r="F72" s="48">
        <f>data!BL56</f>
        <v>363.53176159738587</v>
      </c>
      <c r="G72" s="48">
        <f>data!BM56</f>
        <v>5033.6947362102674</v>
      </c>
      <c r="H72" s="48">
        <f>data!BN56</f>
        <v>8074.7052661183088</v>
      </c>
      <c r="I72" s="48">
        <f>data!BO56</f>
        <v>9479.3537069312442</v>
      </c>
      <c r="J72" s="48">
        <f>data!BP56</f>
        <v>9273.419595933301</v>
      </c>
      <c r="K72" s="48">
        <f>data!BQ56</f>
        <v>7536.9431340145184</v>
      </c>
      <c r="L72" s="48">
        <f>data!BR56</f>
        <v>4394.7375514418409</v>
      </c>
      <c r="M72" s="48">
        <f>data!BS56</f>
        <v>0</v>
      </c>
    </row>
    <row r="73" spans="2:13" x14ac:dyDescent="0.2">
      <c r="B73" s="4" t="s">
        <v>90</v>
      </c>
      <c r="C73" s="48">
        <f>data!BI57</f>
        <v>0</v>
      </c>
      <c r="D73" s="48">
        <f>data!BJ57</f>
        <v>0</v>
      </c>
      <c r="E73" s="48">
        <f>data!BK57</f>
        <v>0</v>
      </c>
      <c r="F73" s="48">
        <f>data!BL57</f>
        <v>0</v>
      </c>
      <c r="G73" s="48">
        <f>data!BM57</f>
        <v>1574.6862898413879</v>
      </c>
      <c r="H73" s="48">
        <f>data!BN57</f>
        <v>5304.6324031894274</v>
      </c>
      <c r="I73" s="48">
        <f>data!BO57</f>
        <v>7360.2122706526989</v>
      </c>
      <c r="J73" s="48">
        <f>data!BP57</f>
        <v>7760.9502783497283</v>
      </c>
      <c r="K73" s="48">
        <f>data!BQ57</f>
        <v>6581.9330887173128</v>
      </c>
      <c r="L73" s="48">
        <f>data!BR57</f>
        <v>3944.5050986622368</v>
      </c>
      <c r="M73" s="48">
        <f>data!BS57</f>
        <v>0</v>
      </c>
    </row>
    <row r="74" spans="2:13" x14ac:dyDescent="0.2">
      <c r="B74" s="4" t="s">
        <v>91</v>
      </c>
      <c r="C74" s="48">
        <f>data!BI58</f>
        <v>0</v>
      </c>
      <c r="D74" s="48">
        <f>data!BJ58</f>
        <v>0</v>
      </c>
      <c r="E74" s="48">
        <f>data!BK58</f>
        <v>0</v>
      </c>
      <c r="F74" s="48">
        <f>data!BL58</f>
        <v>0</v>
      </c>
      <c r="G74" s="48">
        <f>data!BM58</f>
        <v>0</v>
      </c>
      <c r="H74" s="48">
        <f>data!BN58</f>
        <v>2856.7749530590672</v>
      </c>
      <c r="I74" s="48">
        <f>data!BO58</f>
        <v>5428.2223952409477</v>
      </c>
      <c r="J74" s="48">
        <f>data!BP58</f>
        <v>6339.8515761540166</v>
      </c>
      <c r="K74" s="48">
        <f>data!BQ58</f>
        <v>5658.0517054001048</v>
      </c>
      <c r="L74" s="48">
        <f>data!BR58</f>
        <v>3496.4605405136635</v>
      </c>
      <c r="M74" s="48">
        <f>data!BS58</f>
        <v>0</v>
      </c>
    </row>
    <row r="75" spans="2:13" x14ac:dyDescent="0.2">
      <c r="B75" s="4" t="s">
        <v>92</v>
      </c>
      <c r="C75" s="48">
        <f>data!BI59</f>
        <v>0</v>
      </c>
      <c r="D75" s="48">
        <f>data!BJ59</f>
        <v>0</v>
      </c>
      <c r="E75" s="48">
        <f>data!BK59</f>
        <v>0</v>
      </c>
      <c r="F75" s="48">
        <f>data!BL59</f>
        <v>0</v>
      </c>
      <c r="G75" s="48">
        <f>data!BM59</f>
        <v>0</v>
      </c>
      <c r="H75" s="48">
        <f>data!BN59</f>
        <v>3679.839756028312</v>
      </c>
      <c r="I75" s="48">
        <f>data!BO59</f>
        <v>6127.5575065151716</v>
      </c>
      <c r="J75" s="48">
        <f>data!BP59</f>
        <v>6901.8176046672088</v>
      </c>
      <c r="K75" s="48">
        <f>data!BQ59</f>
        <v>6061.5368885555617</v>
      </c>
      <c r="L75" s="48">
        <f>data!BR59</f>
        <v>3714.1684119573652</v>
      </c>
      <c r="M75" s="48">
        <f>data!BS59</f>
        <v>0</v>
      </c>
    </row>
    <row r="76" spans="2:13" x14ac:dyDescent="0.2">
      <c r="B76" s="4" t="s">
        <v>93</v>
      </c>
      <c r="C76" s="48">
        <f>data!BI60</f>
        <v>0</v>
      </c>
      <c r="D76" s="48">
        <f>data!BJ60</f>
        <v>0</v>
      </c>
      <c r="E76" s="48">
        <f>data!BK60</f>
        <v>0</v>
      </c>
      <c r="F76" s="48">
        <f>data!BL60</f>
        <v>0</v>
      </c>
      <c r="G76" s="48">
        <f>data!BM60</f>
        <v>988.7318339663484</v>
      </c>
      <c r="H76" s="48">
        <f>data!BN60</f>
        <v>4799.8070021224521</v>
      </c>
      <c r="I76" s="48">
        <f>data!BO60</f>
        <v>6969.397393274071</v>
      </c>
      <c r="J76" s="48">
        <f>data!BP60</f>
        <v>7495.824760629127</v>
      </c>
      <c r="K76" s="48">
        <f>data!BQ60</f>
        <v>6434.7743055639385</v>
      </c>
      <c r="L76" s="48">
        <f>data!BR60</f>
        <v>3890.4455726406072</v>
      </c>
      <c r="M76" s="48">
        <f>data!BS60</f>
        <v>0</v>
      </c>
    </row>
    <row r="77" spans="2:13" x14ac:dyDescent="0.2">
      <c r="B77" s="4" t="s">
        <v>94</v>
      </c>
      <c r="C77" s="48">
        <f>data!BI61</f>
        <v>0</v>
      </c>
      <c r="D77" s="48">
        <f>data!BJ61</f>
        <v>0</v>
      </c>
      <c r="E77" s="48">
        <f>data!BK61</f>
        <v>0</v>
      </c>
      <c r="F77" s="48">
        <f>data!BL61</f>
        <v>0</v>
      </c>
      <c r="G77" s="48">
        <f>data!BM61</f>
        <v>1914.8267957927633</v>
      </c>
      <c r="H77" s="48">
        <f>data!BN61</f>
        <v>5564.8169476772082</v>
      </c>
      <c r="I77" s="48">
        <f>data!BO61</f>
        <v>7573.2304746997252</v>
      </c>
      <c r="J77" s="48">
        <f>data!BP61</f>
        <v>7940.6363265894679</v>
      </c>
      <c r="K77" s="48">
        <f>data!BQ61</f>
        <v>6724.8263077652773</v>
      </c>
      <c r="L77" s="48">
        <f>data!BR61</f>
        <v>4031.7552584331706</v>
      </c>
      <c r="M77" s="48">
        <f>data!BS61</f>
        <v>0</v>
      </c>
    </row>
    <row r="78" spans="2:13" x14ac:dyDescent="0.2">
      <c r="B78" s="4" t="s">
        <v>95</v>
      </c>
      <c r="C78" s="48">
        <f>data!BI62</f>
        <v>0</v>
      </c>
      <c r="D78" s="48">
        <f>data!BJ62</f>
        <v>0</v>
      </c>
      <c r="E78" s="48">
        <f>data!BK62</f>
        <v>0</v>
      </c>
      <c r="F78" s="48">
        <f>data!BL62</f>
        <v>0</v>
      </c>
      <c r="G78" s="48">
        <f>data!BM62</f>
        <v>1737.0593071485896</v>
      </c>
      <c r="H78" s="48">
        <f>data!BN62</f>
        <v>5509.4229083540995</v>
      </c>
      <c r="I78" s="48">
        <f>data!BO62</f>
        <v>7593.9406311408566</v>
      </c>
      <c r="J78" s="48">
        <f>data!BP62</f>
        <v>7998.1396285353221</v>
      </c>
      <c r="K78" s="48">
        <f>data!BQ62</f>
        <v>6786.7699407841319</v>
      </c>
      <c r="L78" s="48">
        <f>data!BR62</f>
        <v>4072.4522139261117</v>
      </c>
      <c r="M78" s="48">
        <f>data!BS62</f>
        <v>0</v>
      </c>
    </row>
    <row r="79" spans="2:13" x14ac:dyDescent="0.2">
      <c r="B79" s="4" t="s">
        <v>96</v>
      </c>
      <c r="C79" s="48">
        <f>data!BI63</f>
        <v>0</v>
      </c>
      <c r="D79" s="48">
        <f>data!BJ63</f>
        <v>0</v>
      </c>
      <c r="E79" s="48">
        <f>data!BK63</f>
        <v>0</v>
      </c>
      <c r="F79" s="48">
        <f>data!BL63</f>
        <v>0</v>
      </c>
      <c r="G79" s="48">
        <f>data!BM63</f>
        <v>0</v>
      </c>
      <c r="H79" s="48">
        <f>data!BN63</f>
        <v>3489.1683148293646</v>
      </c>
      <c r="I79" s="48">
        <f>data!BO63</f>
        <v>6054.6107259639548</v>
      </c>
      <c r="J79" s="48">
        <f>data!BP63</f>
        <v>6903.3395397256691</v>
      </c>
      <c r="K79" s="48">
        <f>data!BQ63</f>
        <v>6097.6119437700381</v>
      </c>
      <c r="L79" s="48">
        <f>data!BR63</f>
        <v>3748.4360226596737</v>
      </c>
      <c r="M79" s="48">
        <f>data!BS63</f>
        <v>0</v>
      </c>
    </row>
    <row r="80" spans="2:13" x14ac:dyDescent="0.2">
      <c r="B80" s="4" t="s">
        <v>97</v>
      </c>
      <c r="C80" s="48">
        <f>data!BI64</f>
        <v>0</v>
      </c>
      <c r="D80" s="48">
        <f>data!BJ64</f>
        <v>0</v>
      </c>
      <c r="E80" s="48">
        <f>data!BK64</f>
        <v>0</v>
      </c>
      <c r="F80" s="48">
        <f>data!BL64</f>
        <v>0</v>
      </c>
      <c r="G80" s="48">
        <f>data!BM64</f>
        <v>0</v>
      </c>
      <c r="H80" s="48">
        <f>data!BN64</f>
        <v>2730.9625420287252</v>
      </c>
      <c r="I80" s="48">
        <f>data!BO64</f>
        <v>5457.1776693505672</v>
      </c>
      <c r="J80" s="48">
        <f>data!BP64</f>
        <v>6466.0824844927565</v>
      </c>
      <c r="K80" s="48">
        <f>data!BQ64</f>
        <v>5815.6929935660992</v>
      </c>
      <c r="L80" s="48">
        <f>data!BR64</f>
        <v>3613.2850427845133</v>
      </c>
      <c r="M80" s="48">
        <f>data!BS64</f>
        <v>0</v>
      </c>
    </row>
    <row r="81" spans="2:13" x14ac:dyDescent="0.2">
      <c r="B81" s="4" t="s">
        <v>98</v>
      </c>
      <c r="C81" s="48">
        <f>data!BI65</f>
        <v>0</v>
      </c>
      <c r="D81" s="48">
        <f>data!BJ65</f>
        <v>0</v>
      </c>
      <c r="E81" s="48">
        <f>data!BK65</f>
        <v>0</v>
      </c>
      <c r="F81" s="48">
        <f>data!BL65</f>
        <v>0</v>
      </c>
      <c r="G81" s="48">
        <f>data!BM65</f>
        <v>0</v>
      </c>
      <c r="H81" s="48">
        <f>data!BN65</f>
        <v>2925.0881608994478</v>
      </c>
      <c r="I81" s="48">
        <f>data!BO65</f>
        <v>5565.9543091587002</v>
      </c>
      <c r="J81" s="48">
        <f>data!BP65</f>
        <v>6515.5603031045812</v>
      </c>
      <c r="K81" s="48">
        <f>data!BQ65</f>
        <v>5829.3231370210506</v>
      </c>
      <c r="L81" s="48">
        <f>data!BR65</f>
        <v>3611.5041502300483</v>
      </c>
      <c r="M81" s="48">
        <f>data!BS65</f>
        <v>0</v>
      </c>
    </row>
    <row r="82" spans="2:13" x14ac:dyDescent="0.2">
      <c r="B82" s="4" t="s">
        <v>99</v>
      </c>
      <c r="C82" s="48">
        <f>data!BI66</f>
        <v>0</v>
      </c>
      <c r="D82" s="48">
        <f>data!BJ66</f>
        <v>0</v>
      </c>
      <c r="E82" s="48">
        <f>data!BK66</f>
        <v>0</v>
      </c>
      <c r="F82" s="48">
        <f>data!BL66</f>
        <v>0</v>
      </c>
      <c r="G82" s="48">
        <f>data!BM66</f>
        <v>331.00823523986492</v>
      </c>
      <c r="H82" s="48">
        <f>data!BN66</f>
        <v>4328.8754373091924</v>
      </c>
      <c r="I82" s="48">
        <f>data!BO66</f>
        <v>6655.1253286456276</v>
      </c>
      <c r="J82" s="48">
        <f>data!BP66</f>
        <v>7307.0900786624097</v>
      </c>
      <c r="K82" s="48">
        <f>data!BQ66</f>
        <v>6340.2031071374631</v>
      </c>
      <c r="L82" s="48">
        <f>data!BR66</f>
        <v>3858.6088022984054</v>
      </c>
      <c r="M82" s="48">
        <f>data!BS66</f>
        <v>0</v>
      </c>
    </row>
    <row r="83" spans="2:13" x14ac:dyDescent="0.2">
      <c r="B83" s="4" t="s">
        <v>100</v>
      </c>
      <c r="C83" s="48">
        <f>data!BI67</f>
        <v>0</v>
      </c>
      <c r="D83" s="48">
        <f>data!BJ67</f>
        <v>0</v>
      </c>
      <c r="E83" s="48">
        <f>data!BK67</f>
        <v>0</v>
      </c>
      <c r="F83" s="48">
        <f>data!BL67</f>
        <v>0</v>
      </c>
      <c r="G83" s="48">
        <f>data!BM67</f>
        <v>851.91001103238386</v>
      </c>
      <c r="H83" s="48">
        <f>data!BN67</f>
        <v>4748.0842142932579</v>
      </c>
      <c r="I83" s="48">
        <f>data!BO67</f>
        <v>6978.0647064272389</v>
      </c>
      <c r="J83" s="48">
        <f>data!BP67</f>
        <v>7539.7008797858989</v>
      </c>
      <c r="K83" s="48">
        <f>data!BQ67</f>
        <v>6488.8162472829063</v>
      </c>
      <c r="L83" s="48">
        <f>data!BR67</f>
        <v>3929.6981317682753</v>
      </c>
      <c r="M83" s="48">
        <f>data!BS67</f>
        <v>0</v>
      </c>
    </row>
    <row r="84" spans="2:13" x14ac:dyDescent="0.2">
      <c r="B84" s="4" t="s">
        <v>101</v>
      </c>
      <c r="C84" s="48">
        <f>data!BI68</f>
        <v>0</v>
      </c>
      <c r="D84" s="48">
        <f>data!BJ68</f>
        <v>0</v>
      </c>
      <c r="E84" s="48">
        <f>data!BK68</f>
        <v>0</v>
      </c>
      <c r="F84" s="48">
        <f>data!BL68</f>
        <v>0</v>
      </c>
      <c r="G84" s="48">
        <f>data!BM68</f>
        <v>481.63443107533067</v>
      </c>
      <c r="H84" s="48">
        <f>data!BN68</f>
        <v>4391.9674421427599</v>
      </c>
      <c r="I84" s="48">
        <f>data!BO68</f>
        <v>6662.757207088398</v>
      </c>
      <c r="J84" s="48">
        <f>data!BP68</f>
        <v>7285.9875542499231</v>
      </c>
      <c r="K84" s="48">
        <f>data!BQ68</f>
        <v>6311.7593073682219</v>
      </c>
      <c r="L84" s="48">
        <f>data!BR68</f>
        <v>3838.8793234798613</v>
      </c>
      <c r="M84" s="48">
        <f>data!BS68</f>
        <v>0</v>
      </c>
    </row>
    <row r="85" spans="2:13" x14ac:dyDescent="0.2">
      <c r="B85" s="4" t="s">
        <v>102</v>
      </c>
      <c r="C85" s="48">
        <f>data!BI69</f>
        <v>0</v>
      </c>
      <c r="D85" s="48">
        <f>data!BJ69</f>
        <v>0</v>
      </c>
      <c r="E85" s="48">
        <f>data!BK69</f>
        <v>0</v>
      </c>
      <c r="F85" s="48">
        <f>data!BL69</f>
        <v>0</v>
      </c>
      <c r="G85" s="48">
        <f>data!BM69</f>
        <v>1531.2561018130241</v>
      </c>
      <c r="H85" s="48">
        <f>data!BN69</f>
        <v>5274.5346453271704</v>
      </c>
      <c r="I85" s="48">
        <f>data!BO69</f>
        <v>7373.4102684936934</v>
      </c>
      <c r="J85" s="48">
        <f>data!BP69</f>
        <v>7820.9904622466102</v>
      </c>
      <c r="K85" s="48">
        <f>data!BQ69</f>
        <v>6668.7664343816832</v>
      </c>
      <c r="L85" s="48">
        <f>data!BR69</f>
        <v>4017.0290424963887</v>
      </c>
      <c r="M85" s="48">
        <f>data!BS69</f>
        <v>0</v>
      </c>
    </row>
    <row r="86" spans="2:13" x14ac:dyDescent="0.2">
      <c r="B86" s="4" t="s">
        <v>103</v>
      </c>
      <c r="C86" s="48">
        <f>data!BI70</f>
        <v>0</v>
      </c>
      <c r="D86" s="48">
        <f>data!BJ70</f>
        <v>0</v>
      </c>
      <c r="E86" s="48">
        <f>data!BK70</f>
        <v>0</v>
      </c>
      <c r="F86" s="48">
        <f>data!BL70</f>
        <v>0</v>
      </c>
      <c r="G86" s="48">
        <f>data!BM70</f>
        <v>0</v>
      </c>
      <c r="H86" s="48">
        <f>data!BN70</f>
        <v>3153.2758694916647</v>
      </c>
      <c r="I86" s="48">
        <f>data!BO70</f>
        <v>5713.2240751298032</v>
      </c>
      <c r="J86" s="48">
        <f>data!BP70</f>
        <v>6609.4468268630844</v>
      </c>
      <c r="K86" s="48">
        <f>data!BQ70</f>
        <v>5887.0243915781302</v>
      </c>
      <c r="L86" s="48">
        <f>data!BR70</f>
        <v>3640.6479285170963</v>
      </c>
      <c r="M86" s="48">
        <f>data!BS70</f>
        <v>0</v>
      </c>
    </row>
    <row r="87" spans="2:13" x14ac:dyDescent="0.2">
      <c r="B87" s="4" t="s">
        <v>104</v>
      </c>
      <c r="C87" s="48">
        <f>data!BI71</f>
        <v>0</v>
      </c>
      <c r="D87" s="48">
        <f>data!BJ71</f>
        <v>0</v>
      </c>
      <c r="E87" s="48">
        <f>data!BK71</f>
        <v>0</v>
      </c>
      <c r="F87" s="48">
        <f>data!BL71</f>
        <v>0</v>
      </c>
      <c r="G87" s="48">
        <f>data!BM71</f>
        <v>0</v>
      </c>
      <c r="H87" s="48">
        <f>data!BN71</f>
        <v>3004.8705745301172</v>
      </c>
      <c r="I87" s="48">
        <f>data!BO71</f>
        <v>5632.8232419793458</v>
      </c>
      <c r="J87" s="48">
        <f>data!BP71</f>
        <v>6575.9909531654666</v>
      </c>
      <c r="K87" s="48">
        <f>data!BQ71</f>
        <v>5881.2668517897455</v>
      </c>
      <c r="L87" s="48">
        <f>data!BR71</f>
        <v>3645.3260204684266</v>
      </c>
      <c r="M87" s="48">
        <f>data!BS71</f>
        <v>0</v>
      </c>
    </row>
    <row r="88" spans="2:13" x14ac:dyDescent="0.2">
      <c r="B88" s="4" t="s">
        <v>105</v>
      </c>
      <c r="C88" s="48">
        <f>data!BI72</f>
        <v>0</v>
      </c>
      <c r="D88" s="48">
        <f>data!BJ72</f>
        <v>0</v>
      </c>
      <c r="E88" s="48">
        <f>data!BK72</f>
        <v>0</v>
      </c>
      <c r="F88" s="48">
        <f>data!BL72</f>
        <v>0</v>
      </c>
      <c r="G88" s="48">
        <f>data!BM72</f>
        <v>0</v>
      </c>
      <c r="H88" s="48">
        <f>data!BN72</f>
        <v>2774.1074022118792</v>
      </c>
      <c r="I88" s="48">
        <f>data!BO72</f>
        <v>5485.7630209877952</v>
      </c>
      <c r="J88" s="48">
        <f>data!BP72</f>
        <v>6491.1040164394299</v>
      </c>
      <c r="K88" s="48">
        <f>data!BQ72</f>
        <v>5839.8113281866154</v>
      </c>
      <c r="L88" s="48">
        <f>data!BR72</f>
        <v>3631.2848136030871</v>
      </c>
      <c r="M88" s="48">
        <f>data!BS72</f>
        <v>0</v>
      </c>
    </row>
    <row r="89" spans="2:13" x14ac:dyDescent="0.2">
      <c r="B89" s="4" t="s">
        <v>106</v>
      </c>
      <c r="C89" s="48">
        <f>data!BI73</f>
        <v>0</v>
      </c>
      <c r="D89" s="48">
        <f>data!BJ73</f>
        <v>0</v>
      </c>
      <c r="E89" s="48">
        <f>data!BK73</f>
        <v>0</v>
      </c>
      <c r="F89" s="48">
        <f>data!BL73</f>
        <v>0</v>
      </c>
      <c r="G89" s="48">
        <f>data!BM73</f>
        <v>0</v>
      </c>
      <c r="H89" s="48">
        <f>data!BN73</f>
        <v>3451.134539910438</v>
      </c>
      <c r="I89" s="48">
        <f>data!BO73</f>
        <v>6052.9572499761689</v>
      </c>
      <c r="J89" s="48">
        <f>data!BP73</f>
        <v>6931.0221320676465</v>
      </c>
      <c r="K89" s="48">
        <f>data!BQ73</f>
        <v>6139.7991401736163</v>
      </c>
      <c r="L89" s="48">
        <f>data!BR73</f>
        <v>3783.2306543443342</v>
      </c>
      <c r="M89" s="48">
        <f>data!BS73</f>
        <v>0</v>
      </c>
    </row>
    <row r="90" spans="2:13" x14ac:dyDescent="0.2">
      <c r="B90" s="4" t="s">
        <v>107</v>
      </c>
      <c r="C90" s="48">
        <f>data!BI74</f>
        <v>0</v>
      </c>
      <c r="D90" s="48">
        <f>data!BJ74</f>
        <v>0</v>
      </c>
      <c r="E90" s="48">
        <f>data!BK74</f>
        <v>0</v>
      </c>
      <c r="F90" s="48">
        <f>data!BL74</f>
        <v>0</v>
      </c>
      <c r="G90" s="48">
        <f>data!BM74</f>
        <v>0</v>
      </c>
      <c r="H90" s="48">
        <f>data!BN74</f>
        <v>1055.9776074390511</v>
      </c>
      <c r="I90" s="48">
        <f>data!BO74</f>
        <v>4179.4035451184473</v>
      </c>
      <c r="J90" s="48">
        <f>data!BP74</f>
        <v>5561.0327278984769</v>
      </c>
      <c r="K90" s="48">
        <f>data!BQ74</f>
        <v>5251.9612720265868</v>
      </c>
      <c r="L90" s="48">
        <f>data!BR74</f>
        <v>3352.9705844649261</v>
      </c>
      <c r="M90" s="48">
        <f>data!BS74</f>
        <v>0</v>
      </c>
    </row>
    <row r="91" spans="2:13" x14ac:dyDescent="0.2">
      <c r="B91" s="4" t="s">
        <v>108</v>
      </c>
      <c r="C91" s="48">
        <f>data!BI75</f>
        <v>0</v>
      </c>
      <c r="D91" s="48">
        <f>data!BJ75</f>
        <v>0</v>
      </c>
      <c r="E91" s="48">
        <f>data!BK75</f>
        <v>0</v>
      </c>
      <c r="F91" s="48">
        <f>data!BL75</f>
        <v>0</v>
      </c>
      <c r="G91" s="48">
        <f>data!BM75</f>
        <v>0</v>
      </c>
      <c r="H91" s="48">
        <f>data!BN75</f>
        <v>0</v>
      </c>
      <c r="I91" s="48">
        <f>data!BO75</f>
        <v>3246.5461963919452</v>
      </c>
      <c r="J91" s="48">
        <f>data!BP75</f>
        <v>4905.5655340070734</v>
      </c>
      <c r="K91" s="48">
        <f>data!BQ75</f>
        <v>4844.1862634133231</v>
      </c>
      <c r="L91" s="48">
        <f>data!BR75</f>
        <v>3163.4346340081556</v>
      </c>
      <c r="M91" s="48">
        <f>data!BS75</f>
        <v>0</v>
      </c>
    </row>
    <row r="92" spans="2:13" x14ac:dyDescent="0.2">
      <c r="B92" s="4" t="s">
        <v>109</v>
      </c>
      <c r="C92" s="48">
        <f>data!BI76</f>
        <v>0</v>
      </c>
      <c r="D92" s="48">
        <f>data!BJ76</f>
        <v>0</v>
      </c>
      <c r="E92" s="48">
        <f>data!BK76</f>
        <v>0</v>
      </c>
      <c r="F92" s="48">
        <f>data!BL76</f>
        <v>0</v>
      </c>
      <c r="G92" s="48">
        <f>data!BM76</f>
        <v>0</v>
      </c>
      <c r="H92" s="48">
        <f>data!BN76</f>
        <v>0</v>
      </c>
      <c r="I92" s="48">
        <f>data!BO76</f>
        <v>3216.8812639185858</v>
      </c>
      <c r="J92" s="48">
        <f>data!BP76</f>
        <v>4881.7286029419502</v>
      </c>
      <c r="K92" s="48">
        <f>data!BQ76</f>
        <v>4827.8267073274237</v>
      </c>
      <c r="L92" s="48">
        <f>data!BR76</f>
        <v>3155.3018346005742</v>
      </c>
      <c r="M92" s="48">
        <f>data!BS76</f>
        <v>0</v>
      </c>
    </row>
    <row r="93" spans="2:13" x14ac:dyDescent="0.2">
      <c r="B93" s="4" t="s">
        <v>110</v>
      </c>
      <c r="C93" s="48">
        <f>data!BI77</f>
        <v>0</v>
      </c>
      <c r="D93" s="48">
        <f>data!BJ77</f>
        <v>0</v>
      </c>
      <c r="E93" s="48">
        <f>data!BK77</f>
        <v>0</v>
      </c>
      <c r="F93" s="48">
        <f>data!BL77</f>
        <v>0</v>
      </c>
      <c r="G93" s="48">
        <f>data!BM77</f>
        <v>0</v>
      </c>
      <c r="H93" s="48">
        <f>data!BN77</f>
        <v>1932.7199891166802</v>
      </c>
      <c r="I93" s="48">
        <f>data!BO77</f>
        <v>4885.1431234858246</v>
      </c>
      <c r="J93" s="48">
        <f>data!BP77</f>
        <v>6089.1598710832113</v>
      </c>
      <c r="K93" s="48">
        <f>data!BQ77</f>
        <v>5600.6987522894669</v>
      </c>
      <c r="L93" s="48">
        <f>data!BR77</f>
        <v>3524.5666292600977</v>
      </c>
      <c r="M93" s="48">
        <f>data!BS77</f>
        <v>0</v>
      </c>
    </row>
    <row r="94" spans="2:13" x14ac:dyDescent="0.2">
      <c r="B94" s="4" t="s">
        <v>111</v>
      </c>
      <c r="C94" s="48">
        <f>data!BI78</f>
        <v>0</v>
      </c>
      <c r="D94" s="48">
        <f>data!BJ78</f>
        <v>0</v>
      </c>
      <c r="E94" s="48">
        <f>data!BK78</f>
        <v>0</v>
      </c>
      <c r="F94" s="48">
        <f>data!BL78</f>
        <v>0</v>
      </c>
      <c r="G94" s="48">
        <f>data!BM78</f>
        <v>0</v>
      </c>
      <c r="H94" s="48">
        <f>data!BN78</f>
        <v>0</v>
      </c>
      <c r="I94" s="48">
        <f>data!BO78</f>
        <v>3034.0941909588619</v>
      </c>
      <c r="J94" s="48">
        <f>data!BP78</f>
        <v>4788.8112581755086</v>
      </c>
      <c r="K94" s="48">
        <f>data!BQ78</f>
        <v>4791.6635972616778</v>
      </c>
      <c r="L94" s="48">
        <f>data!BR78</f>
        <v>3148.3483011806529</v>
      </c>
      <c r="M94" s="48">
        <f>data!BS78</f>
        <v>0</v>
      </c>
    </row>
    <row r="95" spans="2:13" x14ac:dyDescent="0.2">
      <c r="B95" s="4" t="s">
        <v>112</v>
      </c>
      <c r="C95" s="48">
        <f>data!BI79</f>
        <v>0</v>
      </c>
      <c r="D95" s="48">
        <f>data!BJ79</f>
        <v>0</v>
      </c>
      <c r="E95" s="48">
        <f>data!BK79</f>
        <v>0</v>
      </c>
      <c r="F95" s="48">
        <f>data!BL79</f>
        <v>0</v>
      </c>
      <c r="G95" s="48">
        <f>data!BM79</f>
        <v>0</v>
      </c>
      <c r="H95" s="48">
        <f>data!BN79</f>
        <v>0</v>
      </c>
      <c r="I95" s="48">
        <f>data!BO79</f>
        <v>2465.4613107649407</v>
      </c>
      <c r="J95" s="48">
        <f>data!BP79</f>
        <v>4336.0589086792343</v>
      </c>
      <c r="K95" s="48">
        <f>data!BQ79</f>
        <v>4478.3054704526494</v>
      </c>
      <c r="L95" s="48">
        <f>data!BR79</f>
        <v>2988.6867399475086</v>
      </c>
      <c r="M95" s="48">
        <f>data!BS79</f>
        <v>0</v>
      </c>
    </row>
    <row r="96" spans="2:13" x14ac:dyDescent="0.2">
      <c r="B96" s="4" t="s">
        <v>113</v>
      </c>
      <c r="C96" s="48">
        <f>data!BI80</f>
        <v>0</v>
      </c>
      <c r="D96" s="48">
        <f>data!BJ80</f>
        <v>0</v>
      </c>
      <c r="E96" s="48">
        <f>data!BK80</f>
        <v>0</v>
      </c>
      <c r="F96" s="48">
        <f>data!BL80</f>
        <v>0</v>
      </c>
      <c r="G96" s="48">
        <f>data!BM80</f>
        <v>0</v>
      </c>
      <c r="H96" s="48">
        <f>data!BN80</f>
        <v>634.3771516165616</v>
      </c>
      <c r="I96" s="48">
        <f>data!BO80</f>
        <v>3916.3931515510658</v>
      </c>
      <c r="J96" s="48">
        <f>data!BP80</f>
        <v>5414.5660805686111</v>
      </c>
      <c r="K96" s="48">
        <f>data!BQ80</f>
        <v>5185.1338275025328</v>
      </c>
      <c r="L96" s="48">
        <f>data!BR80</f>
        <v>3333.5084458347214</v>
      </c>
      <c r="M96" s="48">
        <f>data!BS80</f>
        <v>0</v>
      </c>
    </row>
    <row r="97" spans="2:13" x14ac:dyDescent="0.2">
      <c r="B97" s="4" t="s">
        <v>114</v>
      </c>
      <c r="C97" s="48">
        <f>data!BI81</f>
        <v>0</v>
      </c>
      <c r="D97" s="48">
        <f>data!BJ81</f>
        <v>0</v>
      </c>
      <c r="E97" s="48">
        <f>data!BK81</f>
        <v>0</v>
      </c>
      <c r="F97" s="48">
        <f>data!BL81</f>
        <v>0</v>
      </c>
      <c r="G97" s="48">
        <f>data!BM81</f>
        <v>0</v>
      </c>
      <c r="H97" s="48">
        <f>data!BN81</f>
        <v>0</v>
      </c>
      <c r="I97" s="48">
        <f>data!BO81</f>
        <v>1124.2207394735583</v>
      </c>
      <c r="J97" s="48">
        <f>data!BP81</f>
        <v>3386.8818010031337</v>
      </c>
      <c r="K97" s="48">
        <f>data!BQ81</f>
        <v>3882.4523468663051</v>
      </c>
      <c r="L97" s="48">
        <f>data!BR81</f>
        <v>2708.7014621832109</v>
      </c>
      <c r="M97" s="48">
        <f>data!BS81</f>
        <v>0</v>
      </c>
    </row>
    <row r="98" spans="2:13" x14ac:dyDescent="0.2">
      <c r="B98" s="4" t="s">
        <v>115</v>
      </c>
      <c r="C98" s="48">
        <f>data!BI82</f>
        <v>0</v>
      </c>
      <c r="D98" s="48">
        <f>data!BJ82</f>
        <v>0</v>
      </c>
      <c r="E98" s="48">
        <f>data!BK82</f>
        <v>0</v>
      </c>
      <c r="F98" s="48">
        <f>data!BL82</f>
        <v>0</v>
      </c>
      <c r="G98" s="48">
        <f>data!BM82</f>
        <v>0</v>
      </c>
      <c r="H98" s="48">
        <f>data!BN82</f>
        <v>0</v>
      </c>
      <c r="I98" s="48">
        <f>data!BO82</f>
        <v>1199.2959105789021</v>
      </c>
      <c r="J98" s="48">
        <f>data!BP82</f>
        <v>3451.1975959310184</v>
      </c>
      <c r="K98" s="48">
        <f>data!BQ82</f>
        <v>3928.4281812017134</v>
      </c>
      <c r="L98" s="48">
        <f>data!BR82</f>
        <v>2732.2631408898669</v>
      </c>
      <c r="M98" s="48">
        <f>data!BS82</f>
        <v>0</v>
      </c>
    </row>
    <row r="99" spans="2:13" x14ac:dyDescent="0.2">
      <c r="B99" s="4" t="s">
        <v>116</v>
      </c>
      <c r="C99" s="48">
        <f>data!BI83</f>
        <v>0</v>
      </c>
      <c r="D99" s="48">
        <f>data!BJ83</f>
        <v>0</v>
      </c>
      <c r="E99" s="48">
        <f>data!BK83</f>
        <v>0</v>
      </c>
      <c r="F99" s="48">
        <f>data!BL83</f>
        <v>0</v>
      </c>
      <c r="G99" s="48">
        <f>data!BM83</f>
        <v>0</v>
      </c>
      <c r="H99" s="48">
        <f>data!BN83</f>
        <v>0</v>
      </c>
      <c r="I99" s="48">
        <f>data!BO83</f>
        <v>1679.3116739916745</v>
      </c>
      <c r="J99" s="48">
        <f>data!BP83</f>
        <v>3828.2809990210962</v>
      </c>
      <c r="K99" s="48">
        <f>data!BQ83</f>
        <v>4189.2238341640477</v>
      </c>
      <c r="L99" s="48">
        <f>data!BR83</f>
        <v>2866.3644178138325</v>
      </c>
      <c r="M99" s="48">
        <f>data!BS83</f>
        <v>0</v>
      </c>
    </row>
    <row r="100" spans="2:13" x14ac:dyDescent="0.2">
      <c r="B100" s="4" t="s">
        <v>117</v>
      </c>
      <c r="C100" s="48">
        <f>data!BI84</f>
        <v>0</v>
      </c>
      <c r="D100" s="48">
        <f>data!BJ84</f>
        <v>0</v>
      </c>
      <c r="E100" s="48">
        <f>data!BK84</f>
        <v>0</v>
      </c>
      <c r="F100" s="48">
        <f>data!BL84</f>
        <v>0</v>
      </c>
      <c r="G100" s="48">
        <f>data!BM84</f>
        <v>0</v>
      </c>
      <c r="H100" s="48">
        <f>data!BN84</f>
        <v>0</v>
      </c>
      <c r="I100" s="48">
        <f>data!BO84</f>
        <v>2458.9875378953857</v>
      </c>
      <c r="J100" s="48">
        <f>data!BP84</f>
        <v>4394.1791294831764</v>
      </c>
      <c r="K100" s="48">
        <f>data!BQ84</f>
        <v>4551.6583912415772</v>
      </c>
      <c r="L100" s="48">
        <f>data!BR84</f>
        <v>3039.2651142674272</v>
      </c>
      <c r="M100" s="48">
        <f>data!BS84</f>
        <v>0</v>
      </c>
    </row>
    <row r="101" spans="2:13" x14ac:dyDescent="0.2">
      <c r="B101" s="4" t="s">
        <v>118</v>
      </c>
      <c r="C101" s="48">
        <f>data!BI85</f>
        <v>0</v>
      </c>
      <c r="D101" s="48">
        <f>data!BJ85</f>
        <v>0</v>
      </c>
      <c r="E101" s="48">
        <f>data!BK85</f>
        <v>0</v>
      </c>
      <c r="F101" s="48">
        <f>data!BL85</f>
        <v>0</v>
      </c>
      <c r="G101" s="48">
        <f>data!BM85</f>
        <v>0</v>
      </c>
      <c r="H101" s="48">
        <f>data!BN85</f>
        <v>195.99639829539865</v>
      </c>
      <c r="I101" s="48">
        <f>data!BO85</f>
        <v>3614.2669444933772</v>
      </c>
      <c r="J101" s="48">
        <f>data!BP85</f>
        <v>5219.4436586867578</v>
      </c>
      <c r="K101" s="48">
        <f>data!BQ85</f>
        <v>5073.1550897406596</v>
      </c>
      <c r="L101" s="48">
        <f>data!BR85</f>
        <v>3285.304877581872</v>
      </c>
      <c r="M101" s="48">
        <f>data!BS85</f>
        <v>0</v>
      </c>
    </row>
    <row r="102" spans="2:13" x14ac:dyDescent="0.2">
      <c r="B102" s="4" t="s">
        <v>119</v>
      </c>
      <c r="C102" s="48">
        <f>data!BI86</f>
        <v>0</v>
      </c>
      <c r="D102" s="48">
        <f>data!BJ86</f>
        <v>0</v>
      </c>
      <c r="E102" s="48">
        <f>data!BK86</f>
        <v>0</v>
      </c>
      <c r="F102" s="48">
        <f>data!BL86</f>
        <v>0</v>
      </c>
      <c r="G102" s="48">
        <f>data!BM86</f>
        <v>0</v>
      </c>
      <c r="H102" s="48">
        <f>data!BN86</f>
        <v>241.37227718672011</v>
      </c>
      <c r="I102" s="48">
        <f>data!BO86</f>
        <v>3693.0793802293956</v>
      </c>
      <c r="J102" s="48">
        <f>data!BP86</f>
        <v>5305.3755199681136</v>
      </c>
      <c r="K102" s="48">
        <f>data!BQ86</f>
        <v>5145.0983740904212</v>
      </c>
      <c r="L102" s="48">
        <f>data!BR86</f>
        <v>3327.0846395120593</v>
      </c>
      <c r="M102" s="48">
        <f>data!BS86</f>
        <v>0</v>
      </c>
    </row>
    <row r="103" spans="2:13" x14ac:dyDescent="0.2">
      <c r="B103" s="4" t="s">
        <v>120</v>
      </c>
      <c r="C103" s="48">
        <f>data!BI87</f>
        <v>0</v>
      </c>
      <c r="D103" s="48">
        <f>data!BJ87</f>
        <v>0</v>
      </c>
      <c r="E103" s="48">
        <f>data!BK87</f>
        <v>0</v>
      </c>
      <c r="F103" s="48">
        <f>data!BL87</f>
        <v>0</v>
      </c>
      <c r="G103" s="48">
        <f>data!BM87</f>
        <v>0</v>
      </c>
      <c r="H103" s="48">
        <f>data!BN87</f>
        <v>538.2822033238208</v>
      </c>
      <c r="I103" s="48">
        <f>data!BO87</f>
        <v>3925.8766992288156</v>
      </c>
      <c r="J103" s="48">
        <f>data!BP87</f>
        <v>5471.6118278698868</v>
      </c>
      <c r="K103" s="48">
        <f>data!BQ87</f>
        <v>5247.6871738744248</v>
      </c>
      <c r="L103" s="48">
        <f>data!BR87</f>
        <v>3373.211851582239</v>
      </c>
      <c r="M103" s="48">
        <f>data!BS87</f>
        <v>0</v>
      </c>
    </row>
    <row r="104" spans="2:13" x14ac:dyDescent="0.2">
      <c r="B104" s="4" t="s">
        <v>121</v>
      </c>
      <c r="C104" s="48">
        <f>data!BI88</f>
        <v>0</v>
      </c>
      <c r="D104" s="48">
        <f>data!BJ88</f>
        <v>0</v>
      </c>
      <c r="E104" s="48">
        <f>data!BK88</f>
        <v>0</v>
      </c>
      <c r="F104" s="48">
        <f>data!BL88</f>
        <v>0</v>
      </c>
      <c r="G104" s="48">
        <f>data!BM88</f>
        <v>0</v>
      </c>
      <c r="H104" s="48">
        <f>data!BN88</f>
        <v>0</v>
      </c>
      <c r="I104" s="48">
        <f>data!BO88</f>
        <v>2690.1855474174195</v>
      </c>
      <c r="J104" s="48">
        <f>data!BP88</f>
        <v>4568.6591609438983</v>
      </c>
      <c r="K104" s="48">
        <f>data!BQ88</f>
        <v>4663.3852512184085</v>
      </c>
      <c r="L104" s="48">
        <f>data!BR88</f>
        <v>3090.6776562930954</v>
      </c>
      <c r="M104" s="48">
        <f>data!BS88</f>
        <v>0</v>
      </c>
    </row>
    <row r="105" spans="2:13" x14ac:dyDescent="0.2">
      <c r="B105" s="4" t="s">
        <v>122</v>
      </c>
      <c r="C105" s="48">
        <f>data!BI89</f>
        <v>0</v>
      </c>
      <c r="D105" s="48">
        <f>data!BJ89</f>
        <v>0</v>
      </c>
      <c r="E105" s="48">
        <f>data!BK89</f>
        <v>0</v>
      </c>
      <c r="F105" s="48">
        <f>data!BL89</f>
        <v>0</v>
      </c>
      <c r="G105" s="48">
        <f>data!BM89</f>
        <v>0</v>
      </c>
      <c r="H105" s="48">
        <f>data!BN89</f>
        <v>2575.4816895449567</v>
      </c>
      <c r="I105" s="48">
        <f>data!BO89</f>
        <v>5519.9004072715215</v>
      </c>
      <c r="J105" s="48">
        <f>data!BP89</f>
        <v>6636.6740892155394</v>
      </c>
      <c r="K105" s="48">
        <f>data!BQ89</f>
        <v>6002.0287763254855</v>
      </c>
      <c r="L105" s="48">
        <f>data!BR89</f>
        <v>3738.350041461581</v>
      </c>
      <c r="M105" s="48">
        <f>data!BS89</f>
        <v>0</v>
      </c>
    </row>
    <row r="106" spans="2:13" x14ac:dyDescent="0.2">
      <c r="B106" s="4" t="s">
        <v>123</v>
      </c>
      <c r="C106" s="48">
        <f>data!BI90</f>
        <v>0</v>
      </c>
      <c r="D106" s="48">
        <f>data!BJ90</f>
        <v>0</v>
      </c>
      <c r="E106" s="48">
        <f>data!BK90</f>
        <v>0</v>
      </c>
      <c r="F106" s="48">
        <f>data!BL90</f>
        <v>0</v>
      </c>
      <c r="G106" s="48">
        <f>data!BM90</f>
        <v>0</v>
      </c>
      <c r="H106" s="48">
        <f>data!BN90</f>
        <v>1296.5131445301367</v>
      </c>
      <c r="I106" s="48">
        <f>data!BO90</f>
        <v>4526.806177624836</v>
      </c>
      <c r="J106" s="48">
        <f>data!BP90</f>
        <v>5916.6066697135229</v>
      </c>
      <c r="K106" s="48">
        <f>data!BQ90</f>
        <v>5539.7710928773022</v>
      </c>
      <c r="L106" s="48">
        <f>data!BR90</f>
        <v>3516.6433865596973</v>
      </c>
      <c r="M106" s="48">
        <f>data!BS90</f>
        <v>0</v>
      </c>
    </row>
    <row r="107" spans="2:13" x14ac:dyDescent="0.2">
      <c r="B107" s="4" t="s">
        <v>124</v>
      </c>
      <c r="C107" s="48">
        <f>data!BI91</f>
        <v>0</v>
      </c>
      <c r="D107" s="48">
        <f>data!BJ91</f>
        <v>0</v>
      </c>
      <c r="E107" s="48">
        <f>data!BK91</f>
        <v>0</v>
      </c>
      <c r="F107" s="48">
        <f>data!BL91</f>
        <v>0</v>
      </c>
      <c r="G107" s="48">
        <f>data!BM91</f>
        <v>0</v>
      </c>
      <c r="H107" s="48">
        <f>data!BN91</f>
        <v>1696.2702735478579</v>
      </c>
      <c r="I107" s="48">
        <f>data!BO91</f>
        <v>4833.0260781956968</v>
      </c>
      <c r="J107" s="48">
        <f>data!BP91</f>
        <v>6137.4502226746754</v>
      </c>
      <c r="K107" s="48">
        <f>data!BQ91</f>
        <v>5681.980162853426</v>
      </c>
      <c r="L107" s="48">
        <f>data!BR91</f>
        <v>3585.6235511427949</v>
      </c>
      <c r="M107" s="48">
        <f>data!BS91</f>
        <v>0</v>
      </c>
    </row>
    <row r="108" spans="2:13" x14ac:dyDescent="0.2">
      <c r="B108" s="4" t="s">
        <v>125</v>
      </c>
      <c r="C108" s="48">
        <f>data!BI92</f>
        <v>0</v>
      </c>
      <c r="D108" s="48">
        <f>data!BJ92</f>
        <v>0</v>
      </c>
      <c r="E108" s="48">
        <f>data!BK92</f>
        <v>0</v>
      </c>
      <c r="F108" s="48">
        <f>data!BL92</f>
        <v>0</v>
      </c>
      <c r="G108" s="48">
        <f>data!BM92</f>
        <v>0</v>
      </c>
      <c r="H108" s="48">
        <f>data!BN92</f>
        <v>3327.5498477490305</v>
      </c>
      <c r="I108" s="48">
        <f>data!BO92</f>
        <v>6081.4633095493664</v>
      </c>
      <c r="J108" s="48">
        <f>data!BP92</f>
        <v>7031.4697120126839</v>
      </c>
      <c r="K108" s="48">
        <f>data!BQ92</f>
        <v>6250.0948987742177</v>
      </c>
      <c r="L108" s="48">
        <f>data!BR92</f>
        <v>3855.9800534246433</v>
      </c>
      <c r="M108" s="48">
        <f>data!BS92</f>
        <v>0</v>
      </c>
    </row>
    <row r="109" spans="2:13" x14ac:dyDescent="0.2">
      <c r="B109" s="4" t="s">
        <v>126</v>
      </c>
      <c r="C109" s="48">
        <f>data!BI93</f>
        <v>0</v>
      </c>
      <c r="D109" s="48">
        <f>data!BJ93</f>
        <v>0</v>
      </c>
      <c r="E109" s="48">
        <f>data!BK93</f>
        <v>0</v>
      </c>
      <c r="F109" s="48">
        <f>data!BL93</f>
        <v>0</v>
      </c>
      <c r="G109" s="48">
        <f>data!BM93</f>
        <v>0</v>
      </c>
      <c r="H109" s="48">
        <f>data!BN93</f>
        <v>3046.7281457181466</v>
      </c>
      <c r="I109" s="48">
        <f>data!BO93</f>
        <v>5858.5937635473656</v>
      </c>
      <c r="J109" s="48">
        <f>data!BP93</f>
        <v>6864.1750221847069</v>
      </c>
      <c r="K109" s="48">
        <f>data!BQ93</f>
        <v>6137.7492677284899</v>
      </c>
      <c r="L109" s="48">
        <f>data!BR93</f>
        <v>3799.1626054967046</v>
      </c>
      <c r="M109" s="48">
        <f>data!BS93</f>
        <v>0</v>
      </c>
    </row>
    <row r="110" spans="2:13" x14ac:dyDescent="0.2">
      <c r="B110" s="4" t="s">
        <v>127</v>
      </c>
      <c r="C110" s="48">
        <f>data!BI94</f>
        <v>0</v>
      </c>
      <c r="D110" s="48">
        <f>data!BJ94</f>
        <v>0</v>
      </c>
      <c r="E110" s="48">
        <f>data!BK94</f>
        <v>0</v>
      </c>
      <c r="F110" s="48">
        <f>data!BL94</f>
        <v>0</v>
      </c>
      <c r="G110" s="48">
        <f>data!BM94</f>
        <v>0</v>
      </c>
      <c r="H110" s="48">
        <f>data!BN94</f>
        <v>4014.8748964090241</v>
      </c>
      <c r="I110" s="48">
        <f>data!BO94</f>
        <v>6616.2422900746124</v>
      </c>
      <c r="J110" s="48">
        <f>data!BP94</f>
        <v>7417.3166562426777</v>
      </c>
      <c r="K110" s="48">
        <f>data!BQ94</f>
        <v>6495.070842927571</v>
      </c>
      <c r="L110" s="48">
        <f>data!BR94</f>
        <v>3971.541788779527</v>
      </c>
      <c r="M110" s="48">
        <f>data!BS94</f>
        <v>0</v>
      </c>
    </row>
    <row r="111" spans="2:13" x14ac:dyDescent="0.2">
      <c r="B111" s="4" t="s">
        <v>128</v>
      </c>
      <c r="C111" s="48">
        <f>data!BI95</f>
        <v>0</v>
      </c>
      <c r="D111" s="48">
        <f>data!BJ95</f>
        <v>0</v>
      </c>
      <c r="E111" s="48">
        <f>data!BK95</f>
        <v>0</v>
      </c>
      <c r="F111" s="48">
        <f>data!BL95</f>
        <v>0</v>
      </c>
      <c r="G111" s="48">
        <f>data!BM95</f>
        <v>732.83097950987622</v>
      </c>
      <c r="H111" s="48">
        <f>data!BN95</f>
        <v>4861.9423959815576</v>
      </c>
      <c r="I111" s="48">
        <f>data!BO95</f>
        <v>7218.6974260571442</v>
      </c>
      <c r="J111" s="48">
        <f>data!BP95</f>
        <v>7818.2951963881824</v>
      </c>
      <c r="K111" s="48">
        <f>data!BQ95</f>
        <v>6732.1899312742989</v>
      </c>
      <c r="L111" s="48">
        <f>data!BR95</f>
        <v>4076.8157699808876</v>
      </c>
      <c r="M111" s="48">
        <f>data!BS95</f>
        <v>0</v>
      </c>
    </row>
    <row r="112" spans="2:13" x14ac:dyDescent="0.2">
      <c r="B112" s="4" t="s">
        <v>129</v>
      </c>
      <c r="C112" s="48">
        <f>data!BI96</f>
        <v>0</v>
      </c>
      <c r="D112" s="48">
        <f>data!BJ96</f>
        <v>0</v>
      </c>
      <c r="E112" s="48">
        <f>data!BK96</f>
        <v>0</v>
      </c>
      <c r="F112" s="48">
        <f>data!BL96</f>
        <v>0</v>
      </c>
      <c r="G112" s="48">
        <f>data!BM96</f>
        <v>4892.9600283858717</v>
      </c>
      <c r="H112" s="48">
        <f>data!BN96</f>
        <v>8217.2470910953562</v>
      </c>
      <c r="I112" s="48">
        <f>data!BO96</f>
        <v>9808.2026501861492</v>
      </c>
      <c r="J112" s="48">
        <f>data!BP96</f>
        <v>9685.9069878757236</v>
      </c>
      <c r="K112" s="48">
        <f>data!BQ96</f>
        <v>7925.8425500801377</v>
      </c>
      <c r="L112" s="48">
        <f>data!BR96</f>
        <v>4647.3463884797966</v>
      </c>
      <c r="M112" s="48">
        <f>data!BS96</f>
        <v>0</v>
      </c>
    </row>
    <row r="113" spans="2:13" x14ac:dyDescent="0.2">
      <c r="B113" s="4" t="s">
        <v>130</v>
      </c>
      <c r="C113" s="48">
        <f>data!BI97</f>
        <v>0</v>
      </c>
      <c r="D113" s="48">
        <f>data!BJ97</f>
        <v>0</v>
      </c>
      <c r="E113" s="48">
        <f>data!BK97</f>
        <v>0</v>
      </c>
      <c r="F113" s="48">
        <f>data!BL97</f>
        <v>0</v>
      </c>
      <c r="G113" s="48">
        <f>data!BM97</f>
        <v>3752.0309489121028</v>
      </c>
      <c r="H113" s="48">
        <f>data!BN97</f>
        <v>7333.3427624776523</v>
      </c>
      <c r="I113" s="48">
        <f>data!BO97</f>
        <v>9153.4177520690773</v>
      </c>
      <c r="J113" s="48">
        <f>data!BP97</f>
        <v>9232.9770321952237</v>
      </c>
      <c r="K113" s="48">
        <f>data!BQ97</f>
        <v>7648.4497639894671</v>
      </c>
      <c r="L113" s="48">
        <f>data!BR97</f>
        <v>4520.4142762647662</v>
      </c>
      <c r="M113" s="48">
        <f>data!BS97</f>
        <v>0</v>
      </c>
    </row>
    <row r="114" spans="2:13" x14ac:dyDescent="0.2">
      <c r="B114" s="4" t="s">
        <v>131</v>
      </c>
      <c r="C114" s="48">
        <f>data!BI98</f>
        <v>0</v>
      </c>
      <c r="D114" s="48">
        <f>data!BJ98</f>
        <v>0</v>
      </c>
      <c r="E114" s="48">
        <f>data!BK98</f>
        <v>0</v>
      </c>
      <c r="F114" s="48">
        <f>data!BL98</f>
        <v>0</v>
      </c>
      <c r="G114" s="48">
        <f>data!BM98</f>
        <v>2610.3303273595156</v>
      </c>
      <c r="H114" s="48">
        <f>data!BN98</f>
        <v>6398.3406014590555</v>
      </c>
      <c r="I114" s="48">
        <f>data!BO98</f>
        <v>8418.5620062067283</v>
      </c>
      <c r="J114" s="48">
        <f>data!BP98</f>
        <v>8691.9280512565692</v>
      </c>
      <c r="K114" s="48">
        <f>data!BQ98</f>
        <v>7294.7646871011721</v>
      </c>
      <c r="L114" s="48">
        <f>data!BR98</f>
        <v>4347.2666256865114</v>
      </c>
      <c r="M114" s="48">
        <f>data!BS98</f>
        <v>0</v>
      </c>
    </row>
    <row r="115" spans="2:13" x14ac:dyDescent="0.2">
      <c r="B115" s="4" t="s">
        <v>132</v>
      </c>
      <c r="C115" s="48">
        <f>data!BI99</f>
        <v>0</v>
      </c>
      <c r="D115" s="48">
        <f>data!BJ99</f>
        <v>0</v>
      </c>
      <c r="E115" s="48">
        <f>data!BK99</f>
        <v>0</v>
      </c>
      <c r="F115" s="48">
        <f>data!BL99</f>
        <v>0</v>
      </c>
      <c r="G115" s="48">
        <f>data!BM99</f>
        <v>1175.4033533357897</v>
      </c>
      <c r="H115" s="48">
        <f>data!BN99</f>
        <v>5251.3816560974155</v>
      </c>
      <c r="I115" s="48">
        <f>data!BO99</f>
        <v>7539.9623701561886</v>
      </c>
      <c r="J115" s="48">
        <f>data!BP99</f>
        <v>8062.087437348262</v>
      </c>
      <c r="K115" s="48">
        <f>data!BQ99</f>
        <v>6894.1487462391387</v>
      </c>
      <c r="L115" s="48">
        <f>data!BR99</f>
        <v>4156.4956503610874</v>
      </c>
      <c r="M115" s="48">
        <f>data!BS99</f>
        <v>0</v>
      </c>
    </row>
    <row r="116" spans="2:13" x14ac:dyDescent="0.2">
      <c r="B116" s="4" t="s">
        <v>133</v>
      </c>
      <c r="C116" s="48">
        <f>data!BI100</f>
        <v>0</v>
      </c>
      <c r="D116" s="48">
        <f>data!BJ100</f>
        <v>0</v>
      </c>
      <c r="E116" s="48">
        <f>data!BK100</f>
        <v>0</v>
      </c>
      <c r="F116" s="48">
        <f>data!BL100</f>
        <v>0</v>
      </c>
      <c r="G116" s="48">
        <f>data!BM100</f>
        <v>0</v>
      </c>
      <c r="H116" s="48">
        <f>data!BN100</f>
        <v>4029.5264012852367</v>
      </c>
      <c r="I116" s="48">
        <f>data!BO100</f>
        <v>6566.7505033514899</v>
      </c>
      <c r="J116" s="48">
        <f>data!BP100</f>
        <v>7338.5760322124343</v>
      </c>
      <c r="K116" s="48">
        <f>data!BQ100</f>
        <v>6418.16744397809</v>
      </c>
      <c r="L116" s="48">
        <f>data!BR100</f>
        <v>3922.679136894114</v>
      </c>
      <c r="M116" s="48">
        <f>data!BS100</f>
        <v>0</v>
      </c>
    </row>
    <row r="117" spans="2:13" x14ac:dyDescent="0.2">
      <c r="B117" s="4" t="s">
        <v>134</v>
      </c>
      <c r="C117" s="48">
        <f>data!BI101</f>
        <v>0</v>
      </c>
      <c r="D117" s="48">
        <f>data!BJ101</f>
        <v>0</v>
      </c>
      <c r="E117" s="48">
        <f>data!BK101</f>
        <v>0</v>
      </c>
      <c r="F117" s="48">
        <f>data!BL101</f>
        <v>0</v>
      </c>
      <c r="G117" s="48">
        <f>data!BM101</f>
        <v>720.91011641351133</v>
      </c>
      <c r="H117" s="48">
        <f>data!BN101</f>
        <v>4889.9266928306224</v>
      </c>
      <c r="I117" s="48">
        <f>data!BO101</f>
        <v>7266.7928657378798</v>
      </c>
      <c r="J117" s="48">
        <f>data!BP101</f>
        <v>7870.6623970172805</v>
      </c>
      <c r="K117" s="48">
        <f>data!BQ101</f>
        <v>6776.3374135291924</v>
      </c>
      <c r="L117" s="48">
        <f>data!BR101</f>
        <v>4102.8144039035487</v>
      </c>
      <c r="M117" s="48">
        <f>data!BS101</f>
        <v>0</v>
      </c>
    </row>
    <row r="118" spans="2:13" x14ac:dyDescent="0.2">
      <c r="B118" s="4" t="s">
        <v>135</v>
      </c>
      <c r="C118" s="48">
        <f>data!BI102</f>
        <v>0</v>
      </c>
      <c r="D118" s="48">
        <f>data!BJ102</f>
        <v>0</v>
      </c>
      <c r="E118" s="48">
        <f>data!BK102</f>
        <v>0</v>
      </c>
      <c r="F118" s="48">
        <f>data!BL102</f>
        <v>0</v>
      </c>
      <c r="G118" s="48">
        <f>data!BM102</f>
        <v>0</v>
      </c>
      <c r="H118" s="48">
        <f>data!BN102</f>
        <v>3586.5891179450209</v>
      </c>
      <c r="I118" s="48">
        <f>data!BO102</f>
        <v>6234.7440910161004</v>
      </c>
      <c r="J118" s="48">
        <f>data!BP102</f>
        <v>7109.2526133414249</v>
      </c>
      <c r="K118" s="48">
        <f>data!BQ102</f>
        <v>6280.0177646252941</v>
      </c>
      <c r="L118" s="48">
        <f>data!BR102</f>
        <v>3861.5733067048081</v>
      </c>
      <c r="M118" s="48">
        <f>data!BS102</f>
        <v>0</v>
      </c>
    </row>
    <row r="119" spans="2:13" x14ac:dyDescent="0.2">
      <c r="B119" s="4" t="s">
        <v>136</v>
      </c>
      <c r="C119" s="48">
        <f>data!BI103</f>
        <v>0</v>
      </c>
      <c r="D119" s="48">
        <f>data!BJ103</f>
        <v>0</v>
      </c>
      <c r="E119" s="48">
        <f>data!BK103</f>
        <v>0</v>
      </c>
      <c r="F119" s="48">
        <f>data!BL103</f>
        <v>0</v>
      </c>
      <c r="G119" s="48">
        <f>data!BM103</f>
        <v>1542.3836743058096</v>
      </c>
      <c r="H119" s="48">
        <f>data!BN103</f>
        <v>5514.6391176859506</v>
      </c>
      <c r="I119" s="48">
        <f>data!BO103</f>
        <v>7718.0860192442669</v>
      </c>
      <c r="J119" s="48">
        <f>data!BP103</f>
        <v>8172.968648463625</v>
      </c>
      <c r="K119" s="48">
        <f>data!BQ103</f>
        <v>6954.3221480265784</v>
      </c>
      <c r="L119" s="48">
        <f>data!BR103</f>
        <v>4180.4863681855077</v>
      </c>
      <c r="M119" s="48">
        <f>data!BS103</f>
        <v>0</v>
      </c>
    </row>
    <row r="120" spans="2:13" x14ac:dyDescent="0.2">
      <c r="B120" s="4" t="s">
        <v>137</v>
      </c>
      <c r="C120" s="48">
        <f>data!BI104</f>
        <v>0</v>
      </c>
      <c r="D120" s="48">
        <f>data!BJ104</f>
        <v>0</v>
      </c>
      <c r="E120" s="48">
        <f>data!BK104</f>
        <v>0</v>
      </c>
      <c r="F120" s="48">
        <f>data!BL104</f>
        <v>0</v>
      </c>
      <c r="G120" s="48">
        <f>data!BM104</f>
        <v>3388.8254677399445</v>
      </c>
      <c r="H120" s="48">
        <f>data!BN104</f>
        <v>7016.769482287531</v>
      </c>
      <c r="I120" s="48">
        <f>data!BO104</f>
        <v>8884.1244940211927</v>
      </c>
      <c r="J120" s="48">
        <f>data!BP104</f>
        <v>9016.5915148488239</v>
      </c>
      <c r="K120" s="48">
        <f>data!BQ104</f>
        <v>7493.8615564359534</v>
      </c>
      <c r="L120" s="48">
        <f>data!BR104</f>
        <v>4437.9373950663321</v>
      </c>
      <c r="M120" s="48">
        <f>data!BS104</f>
        <v>0</v>
      </c>
    </row>
    <row r="121" spans="2:13" x14ac:dyDescent="0.2">
      <c r="B121" s="4" t="s">
        <v>138</v>
      </c>
      <c r="C121" s="48">
        <f>data!BI105</f>
        <v>0</v>
      </c>
      <c r="D121" s="48">
        <f>data!BJ105</f>
        <v>0</v>
      </c>
      <c r="E121" s="48">
        <f>data!BK105</f>
        <v>0</v>
      </c>
      <c r="F121" s="48">
        <f>data!BL105</f>
        <v>2889.0449030757577</v>
      </c>
      <c r="G121" s="48">
        <f>data!BM105</f>
        <v>7489.5864882249743</v>
      </c>
      <c r="H121" s="48">
        <f>data!BN105</f>
        <v>10363.007439994182</v>
      </c>
      <c r="I121" s="48">
        <f>data!BO105</f>
        <v>11493.285178059181</v>
      </c>
      <c r="J121" s="48">
        <f>data!BP105</f>
        <v>10915.248512553175</v>
      </c>
      <c r="K121" s="48">
        <f>data!BQ105</f>
        <v>8716.6522547820205</v>
      </c>
      <c r="L121" s="48">
        <f>data!BR105</f>
        <v>5026.1423385553117</v>
      </c>
      <c r="M121" s="48">
        <f>data!BS105</f>
        <v>0</v>
      </c>
    </row>
    <row r="122" spans="2:13" x14ac:dyDescent="0.2">
      <c r="B122" s="4" t="s">
        <v>139</v>
      </c>
      <c r="C122" s="48">
        <f>data!BI106</f>
        <v>0</v>
      </c>
      <c r="D122" s="48">
        <f>data!BJ106</f>
        <v>0</v>
      </c>
      <c r="E122" s="48">
        <f>data!BK106</f>
        <v>0</v>
      </c>
      <c r="F122" s="48">
        <f>data!BL106</f>
        <v>4214.2085824740716</v>
      </c>
      <c r="G122" s="48">
        <f>data!BM106</f>
        <v>8559.9769750285359</v>
      </c>
      <c r="H122" s="48">
        <f>data!BN106</f>
        <v>11199.462814042772</v>
      </c>
      <c r="I122" s="48">
        <f>data!BO106</f>
        <v>12117.618869035079</v>
      </c>
      <c r="J122" s="48">
        <f>data!BP106</f>
        <v>11350.010360763779</v>
      </c>
      <c r="K122" s="48">
        <f>data!BQ106</f>
        <v>8984.5492484429487</v>
      </c>
      <c r="L122" s="48">
        <f>data!BR106</f>
        <v>5149.4356630835136</v>
      </c>
      <c r="M122" s="48">
        <f>data!BS106</f>
        <v>0</v>
      </c>
    </row>
    <row r="123" spans="2:13" x14ac:dyDescent="0.2">
      <c r="B123" s="4" t="s">
        <v>140</v>
      </c>
      <c r="C123" s="48">
        <f>data!BI107</f>
        <v>0</v>
      </c>
      <c r="D123" s="48">
        <f>data!BJ107</f>
        <v>0</v>
      </c>
      <c r="E123" s="48">
        <f>data!BK107</f>
        <v>0</v>
      </c>
      <c r="F123" s="48">
        <f>data!BL107</f>
        <v>3514.7831795379589</v>
      </c>
      <c r="G123" s="48">
        <f>data!BM107</f>
        <v>7936.7168123921765</v>
      </c>
      <c r="H123" s="48">
        <f>data!BN107</f>
        <v>10662.532936761709</v>
      </c>
      <c r="I123" s="48">
        <f>data!BO107</f>
        <v>11676.063962622688</v>
      </c>
      <c r="J123" s="48">
        <f>data!BP107</f>
        <v>11011.586129384683</v>
      </c>
      <c r="K123" s="48">
        <f>data!BQ107</f>
        <v>8755.3790716618569</v>
      </c>
      <c r="L123" s="48">
        <f>data!BR107</f>
        <v>5033.7463647306477</v>
      </c>
      <c r="M123" s="48">
        <f>data!BS107</f>
        <v>0</v>
      </c>
    </row>
    <row r="124" spans="2:13" x14ac:dyDescent="0.2">
      <c r="B124" s="4" t="s">
        <v>141</v>
      </c>
      <c r="C124" s="48">
        <f>data!BI108</f>
        <v>0</v>
      </c>
      <c r="D124" s="48">
        <f>data!BJ108</f>
        <v>0</v>
      </c>
      <c r="E124" s="48">
        <f>data!BK108</f>
        <v>0</v>
      </c>
      <c r="F124" s="48">
        <f>data!BL108</f>
        <v>3041.1857223075831</v>
      </c>
      <c r="G124" s="48">
        <f>data!BM108</f>
        <v>7493.3923377009087</v>
      </c>
      <c r="H124" s="48">
        <f>data!BN108</f>
        <v>10269.024042713445</v>
      </c>
      <c r="I124" s="48">
        <f>data!BO108</f>
        <v>11347.449198233337</v>
      </c>
      <c r="J124" s="48">
        <f>data!BP108</f>
        <v>10758.714336432446</v>
      </c>
      <c r="K124" s="48">
        <f>data!BQ108</f>
        <v>8585.0032043049687</v>
      </c>
      <c r="L124" s="48">
        <f>data!BR108</f>
        <v>4948.7916582744347</v>
      </c>
      <c r="M124" s="48">
        <f>data!BS108</f>
        <v>0</v>
      </c>
    </row>
    <row r="125" spans="2:13" x14ac:dyDescent="0.2">
      <c r="B125" s="4" t="s">
        <v>142</v>
      </c>
      <c r="C125" s="48">
        <f>data!BI109</f>
        <v>0</v>
      </c>
      <c r="D125" s="48">
        <f>data!BJ109</f>
        <v>0</v>
      </c>
      <c r="E125" s="48">
        <f>data!BK109</f>
        <v>0</v>
      </c>
      <c r="F125" s="48">
        <f>data!BL109</f>
        <v>3677.2616385102997</v>
      </c>
      <c r="G125" s="48">
        <f>data!BM109</f>
        <v>8164.4549204334198</v>
      </c>
      <c r="H125" s="48">
        <f>data!BN109</f>
        <v>10942.434638025314</v>
      </c>
      <c r="I125" s="48">
        <f>data!BO109</f>
        <v>11983.791659900999</v>
      </c>
      <c r="J125" s="48">
        <f>data!BP109</f>
        <v>11312.856988440171</v>
      </c>
      <c r="K125" s="48">
        <f>data!BQ109</f>
        <v>9007.3673599545418</v>
      </c>
      <c r="L125" s="48">
        <f>data!BR109</f>
        <v>5186.8665918380639</v>
      </c>
      <c r="M125" s="48">
        <f>data!BS109</f>
        <v>0</v>
      </c>
    </row>
    <row r="126" spans="2:13" x14ac:dyDescent="0.2">
      <c r="B126" s="4" t="s">
        <v>143</v>
      </c>
      <c r="C126" s="48">
        <f>data!BI110</f>
        <v>0</v>
      </c>
      <c r="D126" s="48">
        <f>data!BJ110</f>
        <v>0</v>
      </c>
      <c r="E126" s="48">
        <f>data!BK110</f>
        <v>0</v>
      </c>
      <c r="F126" s="48">
        <f>data!BL110</f>
        <v>4332.3822773706443</v>
      </c>
      <c r="G126" s="48">
        <f>data!BM110</f>
        <v>8657.4349383780573</v>
      </c>
      <c r="H126" s="48">
        <f>data!BN110</f>
        <v>11301.075464840123</v>
      </c>
      <c r="I126" s="48">
        <f>data!BO110</f>
        <v>12232.927868487937</v>
      </c>
      <c r="J126" s="48">
        <f>data!BP110</f>
        <v>11474.420068810279</v>
      </c>
      <c r="K126" s="48">
        <f>data!BQ110</f>
        <v>9100.2571612097454</v>
      </c>
      <c r="L126" s="48">
        <f>data!BR110</f>
        <v>5226.8981627053008</v>
      </c>
      <c r="M126" s="48">
        <f>data!BS110</f>
        <v>0</v>
      </c>
    </row>
    <row r="127" spans="2:13" x14ac:dyDescent="0.2">
      <c r="B127" s="4" t="s">
        <v>144</v>
      </c>
      <c r="C127" s="48">
        <f>data!BI111</f>
        <v>0</v>
      </c>
      <c r="D127" s="48">
        <f>data!BJ111</f>
        <v>0</v>
      </c>
      <c r="E127" s="48">
        <f>data!BK111</f>
        <v>0</v>
      </c>
      <c r="F127" s="48">
        <f>data!BL111</f>
        <v>5547.390292101205</v>
      </c>
      <c r="G127" s="48">
        <f>data!BM111</f>
        <v>9636.4436229703533</v>
      </c>
      <c r="H127" s="48">
        <f>data!BN111</f>
        <v>12064.739379046659</v>
      </c>
      <c r="I127" s="48">
        <f>data!BO111</f>
        <v>12802.280848485225</v>
      </c>
      <c r="J127" s="48">
        <f>data!BP111</f>
        <v>11870.715107844622</v>
      </c>
      <c r="K127" s="48">
        <f>data!BQ111</f>
        <v>9344.5103551742723</v>
      </c>
      <c r="L127" s="48">
        <f>data!BR111</f>
        <v>5339.4169566911869</v>
      </c>
      <c r="M127" s="48">
        <f>data!BS111</f>
        <v>0</v>
      </c>
    </row>
    <row r="128" spans="2:13" x14ac:dyDescent="0.2">
      <c r="B128" s="4" t="s">
        <v>145</v>
      </c>
      <c r="C128" s="48">
        <f>data!BI112</f>
        <v>0</v>
      </c>
      <c r="D128" s="48">
        <f>data!BJ112</f>
        <v>0</v>
      </c>
      <c r="E128" s="48">
        <f>data!BK112</f>
        <v>686.59621842468277</v>
      </c>
      <c r="F128" s="48">
        <f>data!BL112</f>
        <v>6047.24904949764</v>
      </c>
      <c r="G128" s="48">
        <f>data!BM112</f>
        <v>9977.7894343247499</v>
      </c>
      <c r="H128" s="48">
        <f>data!BN112</f>
        <v>12285.162586107013</v>
      </c>
      <c r="I128" s="48">
        <f>data!BO112</f>
        <v>12934.110861585094</v>
      </c>
      <c r="J128" s="48">
        <f>data!BP112</f>
        <v>11941.17919669894</v>
      </c>
      <c r="K128" s="48">
        <f>data!BQ112</f>
        <v>9375.7626071120649</v>
      </c>
      <c r="L128" s="48">
        <f>data!BR112</f>
        <v>5348.7000763356691</v>
      </c>
      <c r="M128" s="48">
        <f>data!BS112</f>
        <v>0</v>
      </c>
    </row>
    <row r="129" spans="2:13" x14ac:dyDescent="0.2">
      <c r="B129" s="4" t="s">
        <v>146</v>
      </c>
      <c r="C129" s="48">
        <f>data!BI113</f>
        <v>0</v>
      </c>
      <c r="D129" s="48">
        <f>data!BJ113</f>
        <v>0</v>
      </c>
      <c r="E129" s="48">
        <f>data!BK113</f>
        <v>0</v>
      </c>
      <c r="F129" s="48">
        <f>data!BL113</f>
        <v>2349.0467382649081</v>
      </c>
      <c r="G129" s="48">
        <f>data!BM113</f>
        <v>6899.9341219275593</v>
      </c>
      <c r="H129" s="48">
        <f>data!BN113</f>
        <v>9799.4377503335236</v>
      </c>
      <c r="I129" s="48">
        <f>data!BO113</f>
        <v>11010.714421545345</v>
      </c>
      <c r="J129" s="48">
        <f>data!BP113</f>
        <v>10548.805061676227</v>
      </c>
      <c r="K129" s="48">
        <f>data!BQ113</f>
        <v>8481.687296967737</v>
      </c>
      <c r="L129" s="48">
        <f>data!BR113</f>
        <v>4919.0211175393279</v>
      </c>
      <c r="M129" s="48">
        <f>data!BS113</f>
        <v>0</v>
      </c>
    </row>
    <row r="130" spans="2:13" x14ac:dyDescent="0.2">
      <c r="B130" s="4" t="s">
        <v>147</v>
      </c>
      <c r="C130" s="48">
        <f>data!BI114</f>
        <v>0</v>
      </c>
      <c r="D130" s="48">
        <f>data!BJ114</f>
        <v>0</v>
      </c>
      <c r="E130" s="48">
        <f>data!BK114</f>
        <v>0</v>
      </c>
      <c r="F130" s="48">
        <f>data!BL114</f>
        <v>2833.1130847474951</v>
      </c>
      <c r="G130" s="48">
        <f>data!BM114</f>
        <v>7378.2555234552819</v>
      </c>
      <c r="H130" s="48">
        <f>data!BN114</f>
        <v>10245.970849150719</v>
      </c>
      <c r="I130" s="48">
        <f>data!BO114</f>
        <v>11402.014301031726</v>
      </c>
      <c r="J130" s="48">
        <f>data!BP114</f>
        <v>10864.509129751479</v>
      </c>
      <c r="K130" s="48">
        <f>data!BQ114</f>
        <v>8704.7162176158381</v>
      </c>
      <c r="L130" s="48">
        <f>data!BR114</f>
        <v>5035.676490507436</v>
      </c>
      <c r="M130" s="48">
        <f>data!BS114</f>
        <v>0</v>
      </c>
    </row>
    <row r="131" spans="2:13" x14ac:dyDescent="0.2">
      <c r="B131" s="4" t="s">
        <v>148</v>
      </c>
      <c r="C131" s="48">
        <f>data!BI115</f>
        <v>0</v>
      </c>
      <c r="D131" s="48">
        <f>data!BJ115</f>
        <v>0</v>
      </c>
      <c r="E131" s="48">
        <f>data!BK115</f>
        <v>0</v>
      </c>
      <c r="F131" s="48">
        <f>data!BL115</f>
        <v>0</v>
      </c>
      <c r="G131" s="48">
        <f>data!BM115</f>
        <v>3446.2223455646699</v>
      </c>
      <c r="H131" s="48">
        <f>data!BN115</f>
        <v>7071.3952323246058</v>
      </c>
      <c r="I131" s="48">
        <f>data!BO115</f>
        <v>8951.4775745005245</v>
      </c>
      <c r="J131" s="48">
        <f>data!BP115</f>
        <v>9098.3067839675605</v>
      </c>
      <c r="K131" s="48">
        <f>data!BQ115</f>
        <v>7577.7027923897394</v>
      </c>
      <c r="L131" s="48">
        <f>data!BR115</f>
        <v>4498.3947426349987</v>
      </c>
      <c r="M131" s="48">
        <f>data!BS115</f>
        <v>0</v>
      </c>
    </row>
    <row r="132" spans="2:13" x14ac:dyDescent="0.2">
      <c r="B132" s="4" t="s">
        <v>149</v>
      </c>
      <c r="C132" s="48">
        <f>data!BI116</f>
        <v>0</v>
      </c>
      <c r="D132" s="48">
        <f>data!BJ116</f>
        <v>0</v>
      </c>
      <c r="E132" s="48">
        <f>data!BK116</f>
        <v>0</v>
      </c>
      <c r="F132" s="48">
        <f>data!BL116</f>
        <v>0</v>
      </c>
      <c r="G132" s="48">
        <f>data!BM116</f>
        <v>1544.1173117385561</v>
      </c>
      <c r="H132" s="48">
        <f>data!BN116</f>
        <v>5492.8081595092299</v>
      </c>
      <c r="I132" s="48">
        <f>data!BO116</f>
        <v>7703.9320066621231</v>
      </c>
      <c r="J132" s="48">
        <f>data!BP116</f>
        <v>8181.2045480970992</v>
      </c>
      <c r="K132" s="48">
        <f>data!BQ116</f>
        <v>6982.9178121878622</v>
      </c>
      <c r="L132" s="48">
        <f>data!BR116</f>
        <v>4211.1507597417449</v>
      </c>
      <c r="M132" s="48">
        <f>data!BS116</f>
        <v>0</v>
      </c>
    </row>
    <row r="133" spans="2:13" x14ac:dyDescent="0.2">
      <c r="B133" s="4" t="s">
        <v>150</v>
      </c>
      <c r="C133" s="48">
        <f>data!BI117</f>
        <v>0</v>
      </c>
      <c r="D133" s="48">
        <f>data!BJ117</f>
        <v>0</v>
      </c>
      <c r="E133" s="48">
        <f>data!BK117</f>
        <v>0</v>
      </c>
      <c r="F133" s="48">
        <f>data!BL117</f>
        <v>0</v>
      </c>
      <c r="G133" s="48">
        <f>data!BM117</f>
        <v>3190.6222388488454</v>
      </c>
      <c r="H133" s="48">
        <f>data!BN117</f>
        <v>6818.7777453551607</v>
      </c>
      <c r="I133" s="48">
        <f>data!BO117</f>
        <v>8723.7335136240326</v>
      </c>
      <c r="J133" s="48">
        <f>data!BP117</f>
        <v>8912.7940258424969</v>
      </c>
      <c r="K133" s="48">
        <f>data!BQ117</f>
        <v>7447.1765582065818</v>
      </c>
      <c r="L133" s="48">
        <f>data!BR117</f>
        <v>4431.0971632659339</v>
      </c>
      <c r="M133" s="48">
        <f>data!BS117</f>
        <v>0</v>
      </c>
    </row>
    <row r="134" spans="2:13" x14ac:dyDescent="0.2">
      <c r="B134" s="4" t="s">
        <v>151</v>
      </c>
      <c r="C134" s="48">
        <f>data!BI118</f>
        <v>0</v>
      </c>
      <c r="D134" s="48">
        <f>data!BJ118</f>
        <v>0</v>
      </c>
      <c r="E134" s="48">
        <f>data!BK118</f>
        <v>0</v>
      </c>
      <c r="F134" s="48">
        <f>data!BL118</f>
        <v>4730.7166766395439</v>
      </c>
      <c r="G134" s="48">
        <f>data!BM118</f>
        <v>8960.0436803340381</v>
      </c>
      <c r="H134" s="48">
        <f>data!BN118</f>
        <v>11525.481745018737</v>
      </c>
      <c r="I134" s="48">
        <f>data!BO118</f>
        <v>12393.588221376487</v>
      </c>
      <c r="J134" s="48">
        <f>data!BP118</f>
        <v>11583.694880983541</v>
      </c>
      <c r="K134" s="48">
        <f>data!BQ118</f>
        <v>9167.7722950223197</v>
      </c>
      <c r="L134" s="48">
        <f>data!BR118</f>
        <v>5259.045888951393</v>
      </c>
      <c r="M134" s="48">
        <f>data!BS118</f>
        <v>0</v>
      </c>
    </row>
    <row r="135" spans="2:13" x14ac:dyDescent="0.2">
      <c r="B135" s="4" t="s">
        <v>152</v>
      </c>
      <c r="C135" s="48">
        <f>data!BI119</f>
        <v>0</v>
      </c>
      <c r="D135" s="48">
        <f>data!BJ119</f>
        <v>0</v>
      </c>
      <c r="E135" s="48">
        <f>data!BK119</f>
        <v>388.65564640286357</v>
      </c>
      <c r="F135" s="48">
        <f>data!BL119</f>
        <v>5938.0500910172395</v>
      </c>
      <c r="G135" s="48">
        <f>data!BM119</f>
        <v>10006.144112983187</v>
      </c>
      <c r="H135" s="48">
        <f>data!BN119</f>
        <v>12397.755119317391</v>
      </c>
      <c r="I135" s="48">
        <f>data!BO119</f>
        <v>13085.155231287878</v>
      </c>
      <c r="J135" s="48">
        <f>data!BP119</f>
        <v>12093.16930499999</v>
      </c>
      <c r="K135" s="48">
        <f>data!BQ119</f>
        <v>9498.6604935195082</v>
      </c>
      <c r="L135" s="48">
        <f>data!BR119</f>
        <v>5418.99598706285</v>
      </c>
      <c r="M135" s="48">
        <f>data!BS119</f>
        <v>0</v>
      </c>
    </row>
    <row r="136" spans="2:13" x14ac:dyDescent="0.2">
      <c r="B136" s="4" t="s">
        <v>153</v>
      </c>
      <c r="C136" s="48">
        <f>data!BI120</f>
        <v>0</v>
      </c>
      <c r="D136" s="48">
        <f>data!BJ120</f>
        <v>0</v>
      </c>
      <c r="E136" s="48">
        <f>data!BK120</f>
        <v>1580.5202009625164</v>
      </c>
      <c r="F136" s="48">
        <f>data!BL120</f>
        <v>7079.8710019480968</v>
      </c>
      <c r="G136" s="48">
        <f>data!BM120</f>
        <v>11052.960815410612</v>
      </c>
      <c r="H136" s="48">
        <f>data!BN120</f>
        <v>13313.474630033572</v>
      </c>
      <c r="I136" s="48">
        <f>data!BO120</f>
        <v>13842.000579630636</v>
      </c>
      <c r="J136" s="48">
        <f>data!BP120</f>
        <v>12671.618883349598</v>
      </c>
      <c r="K136" s="48">
        <f>data!BQ120</f>
        <v>9886.9562284741769</v>
      </c>
      <c r="L136" s="48">
        <f>data!BR120</f>
        <v>5612.4183240678094</v>
      </c>
      <c r="M136" s="48">
        <f>data!BS120</f>
        <v>0</v>
      </c>
    </row>
    <row r="137" spans="2:13" x14ac:dyDescent="0.2">
      <c r="B137" s="4" t="s">
        <v>154</v>
      </c>
      <c r="C137" s="48">
        <f>data!BI121</f>
        <v>0</v>
      </c>
      <c r="D137" s="48">
        <f>data!BJ121</f>
        <v>0</v>
      </c>
      <c r="E137" s="48">
        <f>data!BK121</f>
        <v>0</v>
      </c>
      <c r="F137" s="48">
        <f>data!BL121</f>
        <v>1084.3312944217719</v>
      </c>
      <c r="G137" s="48">
        <f>data!BM121</f>
        <v>6081.7185279206915</v>
      </c>
      <c r="H137" s="48">
        <f>data!BN121</f>
        <v>9322.4187380951917</v>
      </c>
      <c r="I137" s="48">
        <f>data!BO121</f>
        <v>10778.731564594133</v>
      </c>
      <c r="J137" s="48">
        <f>data!BP121</f>
        <v>10476.468514882701</v>
      </c>
      <c r="K137" s="48">
        <f>data!BQ121</f>
        <v>8494.3042339225613</v>
      </c>
      <c r="L137" s="48">
        <f>data!BR121</f>
        <v>4952.3240263870084</v>
      </c>
      <c r="M137" s="48">
        <f>data!BS121</f>
        <v>0</v>
      </c>
    </row>
    <row r="138" spans="2:13" x14ac:dyDescent="0.2">
      <c r="B138" s="4" t="s">
        <v>155</v>
      </c>
      <c r="C138" s="48">
        <f>data!BI122</f>
        <v>0</v>
      </c>
      <c r="D138" s="48">
        <f>data!BJ122</f>
        <v>0</v>
      </c>
      <c r="E138" s="48">
        <f>data!BK122</f>
        <v>0</v>
      </c>
      <c r="F138" s="48">
        <f>data!BL122</f>
        <v>1364.2496570135904</v>
      </c>
      <c r="G138" s="48">
        <f>data!BM122</f>
        <v>6297.0105246973817</v>
      </c>
      <c r="H138" s="48">
        <f>data!BN122</f>
        <v>9479.9500154930429</v>
      </c>
      <c r="I138" s="48">
        <f>data!BO122</f>
        <v>10886.493550596346</v>
      </c>
      <c r="J138" s="48">
        <f>data!BP122</f>
        <v>10543.353369240536</v>
      </c>
      <c r="K138" s="48">
        <f>data!BQ122</f>
        <v>8529.6587047273952</v>
      </c>
      <c r="L138" s="48">
        <f>data!BR122</f>
        <v>4965.5045027216302</v>
      </c>
      <c r="M138" s="48">
        <f>data!BS122</f>
        <v>0</v>
      </c>
    </row>
    <row r="139" spans="2:13" x14ac:dyDescent="0.2">
      <c r="B139" s="4" t="s">
        <v>156</v>
      </c>
      <c r="C139" s="48">
        <f>data!BI123</f>
        <v>0</v>
      </c>
      <c r="D139" s="48">
        <f>data!BJ123</f>
        <v>0</v>
      </c>
      <c r="E139" s="48">
        <f>data!BK123</f>
        <v>239.00910762736385</v>
      </c>
      <c r="F139" s="48">
        <f>data!BL123</f>
        <v>5881.2050142413191</v>
      </c>
      <c r="G139" s="48">
        <f>data!BM123</f>
        <v>10014.563353419453</v>
      </c>
      <c r="H139" s="48">
        <f>data!BN123</f>
        <v>12444.295199227023</v>
      </c>
      <c r="I139" s="48">
        <f>data!BO123</f>
        <v>13147.753386666296</v>
      </c>
      <c r="J139" s="48">
        <f>data!BP123</f>
        <v>12154.980521022968</v>
      </c>
      <c r="K139" s="48">
        <f>data!BQ123</f>
        <v>9547.3647041162476</v>
      </c>
      <c r="L139" s="48">
        <f>data!BR123</f>
        <v>5446.0456059666358</v>
      </c>
      <c r="M139" s="48">
        <f>data!BS123</f>
        <v>0</v>
      </c>
    </row>
    <row r="140" spans="2:13" x14ac:dyDescent="0.2">
      <c r="B140" s="4" t="s">
        <v>157</v>
      </c>
      <c r="C140" s="48">
        <f>data!BI124</f>
        <v>0</v>
      </c>
      <c r="D140" s="48">
        <f>data!BJ124</f>
        <v>0</v>
      </c>
      <c r="E140" s="48">
        <f>data!BK124</f>
        <v>1558.6913801373639</v>
      </c>
      <c r="F140" s="48">
        <f>data!BL124</f>
        <v>6989.1364883521273</v>
      </c>
      <c r="G140" s="48">
        <f>data!BM124</f>
        <v>10915.848996749326</v>
      </c>
      <c r="H140" s="48">
        <f>data!BN124</f>
        <v>13151.1529165227</v>
      </c>
      <c r="I140" s="48">
        <f>data!BO124</f>
        <v>13675.339062498802</v>
      </c>
      <c r="J140" s="48">
        <f>data!BP124</f>
        <v>12520.923082646759</v>
      </c>
      <c r="K140" s="48">
        <f>data!BQ124</f>
        <v>9771.0097387480564</v>
      </c>
      <c r="L140" s="48">
        <f>data!BR124</f>
        <v>5547.6535682040139</v>
      </c>
      <c r="M140" s="48">
        <f>data!BS124</f>
        <v>0</v>
      </c>
    </row>
    <row r="141" spans="2:13" x14ac:dyDescent="0.2">
      <c r="B141" s="4" t="s">
        <v>158</v>
      </c>
      <c r="C141" s="48">
        <f>data!BI125</f>
        <v>0</v>
      </c>
      <c r="D141" s="48">
        <f>data!BJ125</f>
        <v>0</v>
      </c>
      <c r="E141" s="48">
        <f>data!BK125</f>
        <v>1172.3492915827437</v>
      </c>
      <c r="F141" s="48">
        <f>data!BL125</f>
        <v>6601.3657174169666</v>
      </c>
      <c r="G141" s="48">
        <f>data!BM125</f>
        <v>10550.501909839819</v>
      </c>
      <c r="H141" s="48">
        <f>data!BN125</f>
        <v>12826.507392572275</v>
      </c>
      <c r="I141" s="48">
        <f>data!BO125</f>
        <v>13405.025825559685</v>
      </c>
      <c r="J141" s="48">
        <f>data!BP125</f>
        <v>12314.192183844778</v>
      </c>
      <c r="K141" s="48">
        <f>data!BQ125</f>
        <v>9632.9590098110275</v>
      </c>
      <c r="L141" s="48">
        <f>data!BR125</f>
        <v>5479.5990331855637</v>
      </c>
      <c r="M141" s="48">
        <f>data!BS125</f>
        <v>0</v>
      </c>
    </row>
    <row r="142" spans="2:13" x14ac:dyDescent="0.2">
      <c r="B142" s="4" t="s">
        <v>159</v>
      </c>
      <c r="C142" s="48">
        <f>data!BI126</f>
        <v>0</v>
      </c>
      <c r="D142" s="48">
        <f>data!BJ126</f>
        <v>0</v>
      </c>
      <c r="E142" s="48">
        <f>data!BK126</f>
        <v>2519.1007443284052</v>
      </c>
      <c r="F142" s="48">
        <f>data!BL126</f>
        <v>7823.5786457695285</v>
      </c>
      <c r="G142" s="48">
        <f>data!BM126</f>
        <v>11620.507100991657</v>
      </c>
      <c r="H142" s="48">
        <f>data!BN126</f>
        <v>13726.02410207536</v>
      </c>
      <c r="I142" s="48">
        <f>data!BO126</f>
        <v>14122.773974905293</v>
      </c>
      <c r="J142" s="48">
        <f>data!BP126</f>
        <v>12845.570777989666</v>
      </c>
      <c r="K142" s="48">
        <f>data!BQ126</f>
        <v>9979.3440794872331</v>
      </c>
      <c r="L142" s="48">
        <f>data!BR126</f>
        <v>5647.4714608637305</v>
      </c>
      <c r="M142" s="48">
        <f>data!BS126</f>
        <v>0</v>
      </c>
    </row>
    <row r="143" spans="2:13" x14ac:dyDescent="0.2">
      <c r="B143" s="4" t="s">
        <v>160</v>
      </c>
      <c r="C143" s="48">
        <f>data!BI127</f>
        <v>0</v>
      </c>
      <c r="D143" s="48">
        <f>data!BJ127</f>
        <v>0</v>
      </c>
      <c r="E143" s="48">
        <f>data!BK127</f>
        <v>4529.968708639467</v>
      </c>
      <c r="F143" s="48">
        <f>data!BL127</f>
        <v>9645.8938701505067</v>
      </c>
      <c r="G143" s="48">
        <f>data!BM127</f>
        <v>13221.687143691368</v>
      </c>
      <c r="H143" s="48">
        <f>data!BN127</f>
        <v>15082.976672399818</v>
      </c>
      <c r="I143" s="48">
        <f>data!BO127</f>
        <v>15218.48196826506</v>
      </c>
      <c r="J143" s="48">
        <f>data!BP127</f>
        <v>13669.227374899594</v>
      </c>
      <c r="K143" s="48">
        <f>data!BQ127</f>
        <v>10526.107789160662</v>
      </c>
      <c r="L143" s="48">
        <f>data!BR127</f>
        <v>5918.0267175587678</v>
      </c>
      <c r="M143" s="48">
        <f>data!BS127</f>
        <v>0</v>
      </c>
    </row>
    <row r="144" spans="2:13" x14ac:dyDescent="0.2">
      <c r="B144" s="4" t="s">
        <v>161</v>
      </c>
      <c r="C144" s="48">
        <f>data!BI128</f>
        <v>0</v>
      </c>
      <c r="D144" s="48">
        <f>data!BJ128</f>
        <v>0</v>
      </c>
      <c r="E144" s="48">
        <f>data!BK128</f>
        <v>5804.3162524309564</v>
      </c>
      <c r="F144" s="48">
        <f>data!BL128</f>
        <v>10904.329875223739</v>
      </c>
      <c r="G144" s="48">
        <f>data!BM128</f>
        <v>14405.340793584084</v>
      </c>
      <c r="H144" s="48">
        <f>data!BN128</f>
        <v>16141.756415982098</v>
      </c>
      <c r="I144" s="48">
        <f>data!BO128</f>
        <v>16111.383644836384</v>
      </c>
      <c r="J144" s="48">
        <f>data!BP128</f>
        <v>14364.533570637388</v>
      </c>
      <c r="K144" s="48">
        <f>data!BQ128</f>
        <v>11001.154813179526</v>
      </c>
      <c r="L144" s="48">
        <f>data!BR128</f>
        <v>6158.6954301317828</v>
      </c>
      <c r="M144" s="48">
        <f>data!BS128</f>
        <v>0</v>
      </c>
    </row>
    <row r="145" spans="2:13" x14ac:dyDescent="0.2">
      <c r="B145" s="4" t="s">
        <v>162</v>
      </c>
      <c r="C145" s="48">
        <f>data!BI129</f>
        <v>0</v>
      </c>
      <c r="D145" s="48">
        <f>data!BJ129</f>
        <v>0</v>
      </c>
      <c r="E145" s="48">
        <f>data!BK129</f>
        <v>5389.4929126550796</v>
      </c>
      <c r="F145" s="48">
        <f>data!BL129</f>
        <v>10536.683325537599</v>
      </c>
      <c r="G145" s="48">
        <f>data!BM129</f>
        <v>14084.362707924725</v>
      </c>
      <c r="H145" s="48">
        <f>data!BN129</f>
        <v>15867.297176006239</v>
      </c>
      <c r="I145" s="48">
        <f>data!BO129</f>
        <v>15884.973986147097</v>
      </c>
      <c r="J145" s="48">
        <f>data!BP129</f>
        <v>14189.035165073401</v>
      </c>
      <c r="K145" s="48">
        <f>data!BQ129</f>
        <v>10880.234655697348</v>
      </c>
      <c r="L145" s="48">
        <f>data!BR129</f>
        <v>6096.3190150307364</v>
      </c>
      <c r="M145" s="48">
        <f>data!BS129</f>
        <v>0</v>
      </c>
    </row>
    <row r="146" spans="2:13" x14ac:dyDescent="0.2">
      <c r="B146" s="4" t="s">
        <v>163</v>
      </c>
      <c r="C146" s="48">
        <f>data!BI130</f>
        <v>0</v>
      </c>
      <c r="D146" s="48">
        <f>data!BJ130</f>
        <v>0</v>
      </c>
      <c r="E146" s="48">
        <f>data!BK130</f>
        <v>3676.0422779298751</v>
      </c>
      <c r="F146" s="48">
        <f>data!BL130</f>
        <v>9201.4428239852787</v>
      </c>
      <c r="G146" s="48">
        <f>data!BM130</f>
        <v>13079.227139224769</v>
      </c>
      <c r="H146" s="48">
        <f>data!BN130</f>
        <v>15138.901072881512</v>
      </c>
      <c r="I146" s="48">
        <f>data!BO130</f>
        <v>15383.677861552473</v>
      </c>
      <c r="J146" s="48">
        <f>data!BP130</f>
        <v>13869.450986537244</v>
      </c>
      <c r="K146" s="48">
        <f>data!BQ130</f>
        <v>10701.552376574637</v>
      </c>
      <c r="L146" s="48">
        <f>data!BR130</f>
        <v>6022.5281200089903</v>
      </c>
      <c r="M146" s="48">
        <f>data!BS130</f>
        <v>0</v>
      </c>
    </row>
    <row r="147" spans="2:13" x14ac:dyDescent="0.2">
      <c r="B147" s="4" t="s">
        <v>164</v>
      </c>
      <c r="C147" s="48">
        <f>data!BI131</f>
        <v>0</v>
      </c>
      <c r="D147" s="48">
        <f>data!BJ131</f>
        <v>0</v>
      </c>
      <c r="E147" s="48">
        <f>data!BK131</f>
        <v>2449.9441177282042</v>
      </c>
      <c r="F147" s="48">
        <f>data!BL131</f>
        <v>8084.7392967629985</v>
      </c>
      <c r="G147" s="48">
        <f>data!BM131</f>
        <v>12099.435691428147</v>
      </c>
      <c r="H147" s="48">
        <f>data!BN131</f>
        <v>14313.725726502676</v>
      </c>
      <c r="I147" s="48">
        <f>data!BO131</f>
        <v>14724.27378446012</v>
      </c>
      <c r="J147" s="48">
        <f>data!BP131</f>
        <v>13380.807621770195</v>
      </c>
      <c r="K147" s="48">
        <f>data!BQ131</f>
        <v>10382.949718809792</v>
      </c>
      <c r="L147" s="48">
        <f>data!BR131</f>
        <v>5868.2034572118482</v>
      </c>
      <c r="M147" s="48">
        <f>data!BS131</f>
        <v>0</v>
      </c>
    </row>
    <row r="148" spans="2:13" x14ac:dyDescent="0.2">
      <c r="B148" s="4" t="s">
        <v>165</v>
      </c>
      <c r="C148" s="48">
        <f>data!BI132</f>
        <v>0</v>
      </c>
      <c r="D148" s="48">
        <f>data!BJ132</f>
        <v>0</v>
      </c>
      <c r="E148" s="48">
        <f>data!BK132</f>
        <v>5122.3606087291118</v>
      </c>
      <c r="F148" s="48">
        <f>data!BL132</f>
        <v>10573.063575290238</v>
      </c>
      <c r="G148" s="48">
        <f>data!BM132</f>
        <v>14328.718597739702</v>
      </c>
      <c r="H148" s="48">
        <f>data!BN132</f>
        <v>16227.799272182034</v>
      </c>
      <c r="I148" s="48">
        <f>data!BO132</f>
        <v>16282.050733260785</v>
      </c>
      <c r="J148" s="48">
        <f>data!BP132</f>
        <v>14555.961919971771</v>
      </c>
      <c r="K148" s="48">
        <f>data!BQ132</f>
        <v>11162.953231826303</v>
      </c>
      <c r="L148" s="48">
        <f>data!BR132</f>
        <v>6252.9237757624969</v>
      </c>
      <c r="M148" s="48">
        <f>data!BS132</f>
        <v>0</v>
      </c>
    </row>
    <row r="149" spans="2:13" x14ac:dyDescent="0.2">
      <c r="B149" s="4" t="s">
        <v>166</v>
      </c>
      <c r="C149" s="48">
        <f>data!BI133</f>
        <v>0</v>
      </c>
      <c r="D149" s="48">
        <f>data!BJ133</f>
        <v>0</v>
      </c>
      <c r="E149" s="48">
        <f>data!BK133</f>
        <v>6090.7267554362761</v>
      </c>
      <c r="F149" s="48">
        <f>data!BL133</f>
        <v>11341.174908131019</v>
      </c>
      <c r="G149" s="48">
        <f>data!BM133</f>
        <v>14927.496937638392</v>
      </c>
      <c r="H149" s="48">
        <f>data!BN133</f>
        <v>16685.741206984898</v>
      </c>
      <c r="I149" s="48">
        <f>data!BO133</f>
        <v>16622.01502213546</v>
      </c>
      <c r="J149" s="48">
        <f>data!BP133</f>
        <v>14795.609559903565</v>
      </c>
      <c r="K149" s="48">
        <f>data!BQ133</f>
        <v>11315.176300005573</v>
      </c>
      <c r="L149" s="48">
        <f>data!BR133</f>
        <v>6326.4211782361244</v>
      </c>
      <c r="M149" s="48">
        <f>data!BS133</f>
        <v>0</v>
      </c>
    </row>
    <row r="150" spans="2:13" x14ac:dyDescent="0.2">
      <c r="B150" s="4" t="s">
        <v>167</v>
      </c>
      <c r="C150" s="48">
        <f>data!BI134</f>
        <v>0</v>
      </c>
      <c r="D150" s="48">
        <f>data!BJ134</f>
        <v>0</v>
      </c>
      <c r="E150" s="48">
        <f>data!BK134</f>
        <v>8195.6683501268926</v>
      </c>
      <c r="F150" s="48">
        <f>data!BL134</f>
        <v>13231.122714275156</v>
      </c>
      <c r="G150" s="48">
        <f>data!BM134</f>
        <v>16571.147786022782</v>
      </c>
      <c r="H150" s="48">
        <f>data!BN134</f>
        <v>18063.497621337137</v>
      </c>
      <c r="I150" s="48">
        <f>data!BO134</f>
        <v>17721.689287144683</v>
      </c>
      <c r="J150" s="48">
        <f>data!BP134</f>
        <v>15612.23950042238</v>
      </c>
      <c r="K150" s="48">
        <f>data!BQ134</f>
        <v>11850.436643331797</v>
      </c>
      <c r="L150" s="48">
        <f>data!BR134</f>
        <v>6587.8273206203494</v>
      </c>
      <c r="M150" s="48">
        <f>data!BS134</f>
        <v>0</v>
      </c>
    </row>
    <row r="151" spans="2:13" x14ac:dyDescent="0.2">
      <c r="B151" s="4" t="s">
        <v>168</v>
      </c>
      <c r="C151" s="48">
        <f>data!BI135</f>
        <v>0</v>
      </c>
      <c r="D151" s="48">
        <f>data!BJ135</f>
        <v>0</v>
      </c>
      <c r="E151" s="48">
        <f>data!BK135</f>
        <v>7726.5422878059544</v>
      </c>
      <c r="F151" s="48">
        <f>data!BL135</f>
        <v>12842.301346349446</v>
      </c>
      <c r="G151" s="48">
        <f>data!BM135</f>
        <v>16260.914370844706</v>
      </c>
      <c r="H151" s="48">
        <f>data!BN135</f>
        <v>17826.061503757854</v>
      </c>
      <c r="I151" s="48">
        <f>data!BO135</f>
        <v>17549.795524213077</v>
      </c>
      <c r="J151" s="48">
        <f>data!BP135</f>
        <v>15497.525087649472</v>
      </c>
      <c r="K151" s="48">
        <f>data!BQ135</f>
        <v>11783.706955809696</v>
      </c>
      <c r="L151" s="48">
        <f>data!BR135</f>
        <v>6559.3808157909825</v>
      </c>
      <c r="M151" s="48">
        <f>data!BS135</f>
        <v>0</v>
      </c>
    </row>
    <row r="152" spans="2:13" x14ac:dyDescent="0.2">
      <c r="B152" s="4" t="s">
        <v>169</v>
      </c>
      <c r="C152" s="48">
        <f>data!BI136</f>
        <v>0</v>
      </c>
      <c r="D152" s="48">
        <f>data!BJ136</f>
        <v>0</v>
      </c>
      <c r="E152" s="48">
        <f>data!BK136</f>
        <v>8241.6125209269667</v>
      </c>
      <c r="F152" s="48">
        <f>data!BL136</f>
        <v>13244.466379809062</v>
      </c>
      <c r="G152" s="48">
        <f>data!BM136</f>
        <v>16560.326752429675</v>
      </c>
      <c r="H152" s="48">
        <f>data!BN136</f>
        <v>18036.540299654378</v>
      </c>
      <c r="I152" s="48">
        <f>data!BO136</f>
        <v>17686.49335417731</v>
      </c>
      <c r="J152" s="48">
        <f>data!BP136</f>
        <v>15576.428140119871</v>
      </c>
      <c r="K152" s="48">
        <f>data!BQ136</f>
        <v>11820.965356342194</v>
      </c>
      <c r="L152" s="48">
        <f>data!BR136</f>
        <v>6570.6730678518497</v>
      </c>
      <c r="M152" s="48">
        <f>data!BS136</f>
        <v>0</v>
      </c>
    </row>
    <row r="153" spans="2:13" x14ac:dyDescent="0.2">
      <c r="B153" s="4" t="s">
        <v>170</v>
      </c>
      <c r="C153" s="48">
        <f>data!BI137</f>
        <v>0</v>
      </c>
      <c r="D153" s="48">
        <f>data!BJ137</f>
        <v>0</v>
      </c>
      <c r="E153" s="48">
        <f>data!BK137</f>
        <v>15869.178077646604</v>
      </c>
      <c r="F153" s="48">
        <f>data!BL137</f>
        <v>19826.388201397414</v>
      </c>
      <c r="G153" s="48">
        <f>data!BM137</f>
        <v>22084.63939779342</v>
      </c>
      <c r="H153" s="48">
        <f>data!BN137</f>
        <v>22526.14051565282</v>
      </c>
      <c r="I153" s="48">
        <f>data!BO137</f>
        <v>21175.038624572986</v>
      </c>
      <c r="J153" s="48">
        <f>data!BP137</f>
        <v>18107.629620107433</v>
      </c>
      <c r="K153" s="48">
        <f>data!BQ137</f>
        <v>13447.241361077535</v>
      </c>
      <c r="L153" s="48">
        <f>data!BR137</f>
        <v>7351.4730067915052</v>
      </c>
      <c r="M153" s="48">
        <f>data!BS137</f>
        <v>0</v>
      </c>
    </row>
    <row r="154" spans="2:13" x14ac:dyDescent="0.2">
      <c r="B154" s="4" t="s">
        <v>171</v>
      </c>
      <c r="C154" s="48">
        <f>data!BI138</f>
        <v>0</v>
      </c>
      <c r="D154" s="48">
        <f>data!BJ138</f>
        <v>0</v>
      </c>
      <c r="E154" s="48">
        <f>data!BK138</f>
        <v>12668.975913835187</v>
      </c>
      <c r="F154" s="48">
        <f>data!BL138</f>
        <v>17223.363758594136</v>
      </c>
      <c r="G154" s="48">
        <f>data!BM138</f>
        <v>20021.869775839201</v>
      </c>
      <c r="H154" s="48">
        <f>data!BN138</f>
        <v>20937.833630629066</v>
      </c>
      <c r="I154" s="48">
        <f>data!BO138</f>
        <v>20001.139550761396</v>
      </c>
      <c r="J154" s="48">
        <f>data!BP138</f>
        <v>17293.985089062968</v>
      </c>
      <c r="K154" s="48">
        <f>data!BQ138</f>
        <v>12945.565025225751</v>
      </c>
      <c r="L154" s="48">
        <f>data!BR138</f>
        <v>7119.194579840575</v>
      </c>
      <c r="M154" s="48">
        <f>data!BS138</f>
        <v>0</v>
      </c>
    </row>
    <row r="155" spans="2:13" x14ac:dyDescent="0.2">
      <c r="B155" s="4" t="s">
        <v>172</v>
      </c>
      <c r="C155" s="48">
        <f>data!BI139</f>
        <v>0</v>
      </c>
      <c r="D155" s="48">
        <f>data!BJ139</f>
        <v>0</v>
      </c>
      <c r="E155" s="48">
        <f>data!BK139</f>
        <v>13831.64227498943</v>
      </c>
      <c r="F155" s="48">
        <f>data!BL139</f>
        <v>18245.555557450443</v>
      </c>
      <c r="G155" s="48">
        <f>data!BM139</f>
        <v>20897.928097021329</v>
      </c>
      <c r="H155" s="48">
        <f>data!BN139</f>
        <v>21665.768350139591</v>
      </c>
      <c r="I155" s="48">
        <f>data!BO139</f>
        <v>20580.08668850693</v>
      </c>
      <c r="J155" s="48">
        <f>data!BP139</f>
        <v>17724.380958237805</v>
      </c>
      <c r="K155" s="48">
        <f>data!BQ139</f>
        <v>13229.13348054513</v>
      </c>
      <c r="L155" s="48">
        <f>data!BR139</f>
        <v>7258.8999533609967</v>
      </c>
      <c r="M155" s="48">
        <f>data!BS139</f>
        <v>0</v>
      </c>
    </row>
    <row r="156" spans="2:13" x14ac:dyDescent="0.2">
      <c r="B156" s="4" t="s">
        <v>173</v>
      </c>
      <c r="C156" s="48">
        <f>data!BI140</f>
        <v>0</v>
      </c>
      <c r="D156" s="48">
        <f>data!BJ140</f>
        <v>0</v>
      </c>
      <c r="E156" s="48">
        <f>data!BK140</f>
        <v>13722.009200197115</v>
      </c>
      <c r="F156" s="48">
        <f>data!BL140</f>
        <v>18200.637812073859</v>
      </c>
      <c r="G156" s="48">
        <f>data!BM140</f>
        <v>20898.862502182827</v>
      </c>
      <c r="H156" s="48">
        <f>data!BN140</f>
        <v>21694.650505554044</v>
      </c>
      <c r="I156" s="48">
        <f>data!BO140</f>
        <v>20621.960056988377</v>
      </c>
      <c r="J156" s="48">
        <f>data!BP140</f>
        <v>17767.238800098392</v>
      </c>
      <c r="K156" s="48">
        <f>data!BQ140</f>
        <v>13263.721184688198</v>
      </c>
      <c r="L156" s="48">
        <f>data!BR140</f>
        <v>7278.4607658514433</v>
      </c>
      <c r="M156" s="48">
        <f>data!BS140</f>
        <v>0</v>
      </c>
    </row>
    <row r="157" spans="2:13" x14ac:dyDescent="0.2">
      <c r="B157" s="4" t="s">
        <v>174</v>
      </c>
      <c r="C157" s="48">
        <f>data!BI141</f>
        <v>0</v>
      </c>
      <c r="D157" s="48">
        <f>data!BJ141</f>
        <v>0</v>
      </c>
      <c r="E157" s="48">
        <f>data!BK141</f>
        <v>14567.556315795176</v>
      </c>
      <c r="F157" s="48">
        <f>data!BL141</f>
        <v>19004.182613550747</v>
      </c>
      <c r="G157" s="48">
        <f>data!BM141</f>
        <v>21636.495082763751</v>
      </c>
      <c r="H157" s="48">
        <f>data!BN141</f>
        <v>22345.19477103911</v>
      </c>
      <c r="I157" s="48">
        <f>data!BO141</f>
        <v>21166.870343265829</v>
      </c>
      <c r="J157" s="48">
        <f>data!BP141</f>
        <v>18191.013593776086</v>
      </c>
      <c r="K157" s="48">
        <f>data!BQ141</f>
        <v>13554.089662538179</v>
      </c>
      <c r="L157" s="48">
        <f>data!BR141</f>
        <v>7426.4657189435165</v>
      </c>
      <c r="M157" s="48">
        <f>data!BS141</f>
        <v>0</v>
      </c>
    </row>
    <row r="158" spans="2:13" x14ac:dyDescent="0.2">
      <c r="B158" s="4" t="s">
        <v>175</v>
      </c>
      <c r="C158" s="48">
        <f>data!BI142</f>
        <v>0</v>
      </c>
      <c r="D158" s="48">
        <f>data!BJ142</f>
        <v>0</v>
      </c>
      <c r="E158" s="48">
        <f>data!BK142</f>
        <v>19694.223997899404</v>
      </c>
      <c r="F158" s="48">
        <f>data!BL142</f>
        <v>23319.995864480792</v>
      </c>
      <c r="G158" s="48">
        <f>data!BM142</f>
        <v>25176.790930441537</v>
      </c>
      <c r="H158" s="48">
        <f>data!BN142</f>
        <v>25164.081578595775</v>
      </c>
      <c r="I158" s="48">
        <f>data!BO142</f>
        <v>23318.172670137414</v>
      </c>
      <c r="J158" s="48">
        <f>data!BP142</f>
        <v>19727.977645931467</v>
      </c>
      <c r="K158" s="48">
        <f>data!BQ142</f>
        <v>14528.86244038833</v>
      </c>
      <c r="L158" s="48">
        <f>data!BR142</f>
        <v>7889.5869602297771</v>
      </c>
      <c r="M158" s="48">
        <f>data!BS142</f>
        <v>0</v>
      </c>
    </row>
    <row r="159" spans="2:13" x14ac:dyDescent="0.2">
      <c r="B159" s="4" t="s">
        <v>176</v>
      </c>
      <c r="C159" s="48">
        <f>data!BI143</f>
        <v>0</v>
      </c>
      <c r="D159" s="48">
        <f>data!BJ143</f>
        <v>0</v>
      </c>
      <c r="E159" s="48">
        <f>data!BK143</f>
        <v>19388.123426331149</v>
      </c>
      <c r="F159" s="48">
        <f>data!BL143</f>
        <v>23162.155192389906</v>
      </c>
      <c r="G159" s="48">
        <f>data!BM143</f>
        <v>25126.773965034612</v>
      </c>
      <c r="H159" s="48">
        <f>data!BN143</f>
        <v>25183.486811886614</v>
      </c>
      <c r="I159" s="48">
        <f>data!BO143</f>
        <v>23374.747755253789</v>
      </c>
      <c r="J159" s="48">
        <f>data!BP143</f>
        <v>19795.600885060616</v>
      </c>
      <c r="K159" s="48">
        <f>data!BQ143</f>
        <v>14587.243411709296</v>
      </c>
      <c r="L159" s="48">
        <f>data!BR143</f>
        <v>7923.8173731484858</v>
      </c>
      <c r="M159" s="48">
        <f>data!BS143</f>
        <v>0</v>
      </c>
    </row>
    <row r="160" spans="2:13" x14ac:dyDescent="0.2">
      <c r="B160" s="4" t="s">
        <v>177</v>
      </c>
      <c r="C160" s="48">
        <f>data!BI144</f>
        <v>0</v>
      </c>
      <c r="D160" s="48">
        <f>data!BJ144</f>
        <v>0</v>
      </c>
      <c r="E160" s="48">
        <f>data!BK144</f>
        <v>19297.033905632081</v>
      </c>
      <c r="F160" s="48">
        <f>data!BL144</f>
        <v>23076.222942210508</v>
      </c>
      <c r="G160" s="48">
        <f>data!BM144</f>
        <v>25046.119687380731</v>
      </c>
      <c r="H160" s="48">
        <f>data!BN144</f>
        <v>25109.024478369542</v>
      </c>
      <c r="I160" s="48">
        <f>data!BO144</f>
        <v>23308.556095438325</v>
      </c>
      <c r="J160" s="48">
        <f>data!BP144</f>
        <v>19740.657059429348</v>
      </c>
      <c r="K160" s="48">
        <f>data!BQ144</f>
        <v>14547.031809321983</v>
      </c>
      <c r="L160" s="48">
        <f>data!BR144</f>
        <v>7901.9689231352995</v>
      </c>
      <c r="M160" s="48">
        <f>data!BS144</f>
        <v>0</v>
      </c>
    </row>
    <row r="161" spans="2:13" x14ac:dyDescent="0.2">
      <c r="B161" s="4" t="s">
        <v>178</v>
      </c>
      <c r="C161" s="48">
        <f>data!BI145</f>
        <v>0</v>
      </c>
      <c r="D161" s="48">
        <f>data!BJ145</f>
        <v>0</v>
      </c>
      <c r="E161" s="48">
        <f>data!BK145</f>
        <v>17127.034833939681</v>
      </c>
      <c r="F161" s="48">
        <f>data!BL145</f>
        <v>21307.938425900531</v>
      </c>
      <c r="G161" s="48">
        <f>data!BM145</f>
        <v>23646.344461452914</v>
      </c>
      <c r="H161" s="48">
        <f>data!BN145</f>
        <v>24035.7007673099</v>
      </c>
      <c r="I161" s="48">
        <f>data!BO145</f>
        <v>22521.261510048418</v>
      </c>
      <c r="J161" s="48">
        <f>data!BP145</f>
        <v>19201.081390035739</v>
      </c>
      <c r="K161" s="48">
        <f>data!BQ145</f>
        <v>14219.340112598806</v>
      </c>
      <c r="L161" s="48">
        <f>data!BR145</f>
        <v>7753.1199060919953</v>
      </c>
      <c r="M161" s="48">
        <f>data!BS145</f>
        <v>0</v>
      </c>
    </row>
    <row r="162" spans="2:13" x14ac:dyDescent="0.2">
      <c r="B162" s="4" t="s">
        <v>179</v>
      </c>
      <c r="C162" s="48">
        <f>data!BI146</f>
        <v>0</v>
      </c>
      <c r="D162" s="48">
        <f>data!BJ146</f>
        <v>0</v>
      </c>
      <c r="E162" s="48">
        <f>data!BK146</f>
        <v>13734.627964868476</v>
      </c>
      <c r="F162" s="48">
        <f>data!BL146</f>
        <v>18446.142480361908</v>
      </c>
      <c r="G162" s="48">
        <f>data!BM146</f>
        <v>21291.177897157977</v>
      </c>
      <c r="H162" s="48">
        <f>data!BN146</f>
        <v>22152.135576304579</v>
      </c>
      <c r="I162" s="48">
        <f>data!BO146</f>
        <v>21075.786270524273</v>
      </c>
      <c r="J162" s="48">
        <f>data!BP146</f>
        <v>18161.664343635064</v>
      </c>
      <c r="K162" s="48">
        <f>data!BQ146</f>
        <v>13555.327947656206</v>
      </c>
      <c r="L162" s="48">
        <f>data!BR146</f>
        <v>7435.1631027660969</v>
      </c>
      <c r="M162" s="48">
        <f>data!BS146</f>
        <v>0</v>
      </c>
    </row>
    <row r="163" spans="2:13" x14ac:dyDescent="0.2">
      <c r="B163" s="4" t="s">
        <v>180</v>
      </c>
      <c r="C163" s="48">
        <f>data!BI147</f>
        <v>0</v>
      </c>
      <c r="D163" s="48">
        <f>data!BJ147</f>
        <v>0</v>
      </c>
      <c r="E163" s="48">
        <f>data!BK147</f>
        <v>11657.682735902072</v>
      </c>
      <c r="F163" s="48">
        <f>data!BL147</f>
        <v>16601.737530727696</v>
      </c>
      <c r="G163" s="48">
        <f>data!BM147</f>
        <v>19708.469148729007</v>
      </c>
      <c r="H163" s="48">
        <f>data!BN147</f>
        <v>20845.17458226877</v>
      </c>
      <c r="I163" s="48">
        <f>data!BO147</f>
        <v>20049.728691025775</v>
      </c>
      <c r="J163" s="48">
        <f>data!BP147</f>
        <v>17413.455929437117</v>
      </c>
      <c r="K163" s="48">
        <f>data!BQ147</f>
        <v>13074.607971013658</v>
      </c>
      <c r="L163" s="48">
        <f>data!BR147</f>
        <v>7205.4372399057183</v>
      </c>
      <c r="M163" s="48">
        <f>data!BS147</f>
        <v>0</v>
      </c>
    </row>
    <row r="164" spans="2:13" x14ac:dyDescent="0.2">
      <c r="B164" s="4" t="s">
        <v>181</v>
      </c>
      <c r="C164" s="48">
        <f>data!BI148</f>
        <v>0</v>
      </c>
      <c r="D164" s="48">
        <f>data!BJ148</f>
        <v>0</v>
      </c>
      <c r="E164" s="48">
        <f>data!BK148</f>
        <v>13139.288472093704</v>
      </c>
      <c r="F164" s="48">
        <f>data!BL148</f>
        <v>17886.008357904298</v>
      </c>
      <c r="G164" s="48">
        <f>data!BM148</f>
        <v>20794.244530906224</v>
      </c>
      <c r="H164" s="48">
        <f>data!BN148</f>
        <v>21735.953650799376</v>
      </c>
      <c r="I164" s="48">
        <f>data!BO148</f>
        <v>20749.871840782176</v>
      </c>
      <c r="J164" s="48">
        <f>data!BP148</f>
        <v>17928.300355504594</v>
      </c>
      <c r="K164" s="48">
        <f>data!BQ148</f>
        <v>13410.42425293421</v>
      </c>
      <c r="L164" s="48">
        <f>data!BR148</f>
        <v>7369.3662212661975</v>
      </c>
      <c r="M164" s="48">
        <f>data!BS148</f>
        <v>0</v>
      </c>
    </row>
    <row r="165" spans="2:13" x14ac:dyDescent="0.2">
      <c r="B165" s="4" t="s">
        <v>182</v>
      </c>
      <c r="C165" s="48">
        <f>data!BI149</f>
        <v>0</v>
      </c>
      <c r="D165" s="48">
        <f>data!BJ149</f>
        <v>0</v>
      </c>
      <c r="E165" s="48">
        <f>data!BK149</f>
        <v>10366.606120250433</v>
      </c>
      <c r="F165" s="48">
        <f>data!BL149</f>
        <v>15419.994095217935</v>
      </c>
      <c r="G165" s="48">
        <f>data!BM149</f>
        <v>18672.662484240325</v>
      </c>
      <c r="H165" s="48">
        <f>data!BN149</f>
        <v>19977.969945156998</v>
      </c>
      <c r="I165" s="48">
        <f>data!BO149</f>
        <v>19363.85824672614</v>
      </c>
      <c r="J165" s="48">
        <f>data!BP149</f>
        <v>16912.516279135947</v>
      </c>
      <c r="K165" s="48">
        <f>data!BQ149</f>
        <v>12753.998047902311</v>
      </c>
      <c r="L165" s="48">
        <f>data!BR149</f>
        <v>7053.6167404226353</v>
      </c>
      <c r="M165" s="48">
        <f>data!BS149</f>
        <v>0</v>
      </c>
    </row>
    <row r="166" spans="2:13" x14ac:dyDescent="0.2">
      <c r="B166" s="4" t="s">
        <v>183</v>
      </c>
      <c r="C166" s="48">
        <f>data!BI150</f>
        <v>0</v>
      </c>
      <c r="D166" s="48">
        <f>data!BJ150</f>
        <v>0</v>
      </c>
      <c r="E166" s="48">
        <f>data!BK150</f>
        <v>12420.227371026536</v>
      </c>
      <c r="F166" s="48">
        <f>data!BL150</f>
        <v>17338.184577806627</v>
      </c>
      <c r="G166" s="48">
        <f>data!BM150</f>
        <v>20396.626814463798</v>
      </c>
      <c r="H166" s="48">
        <f>data!BN150</f>
        <v>21462.91936856963</v>
      </c>
      <c r="I166" s="48">
        <f>data!BO150</f>
        <v>20576.327316240648</v>
      </c>
      <c r="J166" s="48">
        <f>data!BP150</f>
        <v>17830.219679979331</v>
      </c>
      <c r="K166" s="48">
        <f>data!BQ150</f>
        <v>13365.192221283472</v>
      </c>
      <c r="L166" s="48">
        <f>data!BR150</f>
        <v>7356.1250706313622</v>
      </c>
      <c r="M166" s="48">
        <f>data!BS150</f>
        <v>0</v>
      </c>
    </row>
    <row r="167" spans="2:13" x14ac:dyDescent="0.2">
      <c r="B167" s="4" t="s">
        <v>184</v>
      </c>
      <c r="C167" s="48">
        <f>data!BI151</f>
        <v>0</v>
      </c>
      <c r="D167" s="48">
        <f>data!BJ151</f>
        <v>0</v>
      </c>
      <c r="E167" s="48">
        <f>data!BK151</f>
        <v>17779.990999409914</v>
      </c>
      <c r="F167" s="48">
        <f>data!BL151</f>
        <v>21937.015294160316</v>
      </c>
      <c r="G167" s="48">
        <f>data!BM151</f>
        <v>24225.325460754051</v>
      </c>
      <c r="H167" s="48">
        <f>data!BN151</f>
        <v>24542.343174038826</v>
      </c>
      <c r="I167" s="48">
        <f>data!BO151</f>
        <v>22939.236672626233</v>
      </c>
      <c r="J167" s="48">
        <f>data!BP151</f>
        <v>19519.7553796053</v>
      </c>
      <c r="K167" s="48">
        <f>data!BQ151</f>
        <v>14432.816847492466</v>
      </c>
      <c r="L167" s="48">
        <f>data!BR151</f>
        <v>7859.3332019641748</v>
      </c>
      <c r="M167" s="48">
        <f>data!BS151</f>
        <v>0</v>
      </c>
    </row>
    <row r="168" spans="2:13" x14ac:dyDescent="0.2">
      <c r="B168" s="4" t="s">
        <v>185</v>
      </c>
      <c r="C168" s="48">
        <f>data!BI152</f>
        <v>0</v>
      </c>
      <c r="D168" s="48">
        <f>data!BJ152</f>
        <v>0</v>
      </c>
      <c r="E168" s="48">
        <f>data!BK152</f>
        <v>13221.418371014846</v>
      </c>
      <c r="F168" s="48">
        <f>data!BL152</f>
        <v>18099.674666182778</v>
      </c>
      <c r="G168" s="48">
        <f>data!BM152</f>
        <v>21085.132084904009</v>
      </c>
      <c r="H168" s="48">
        <f>data!BN152</f>
        <v>22053.970221896001</v>
      </c>
      <c r="I168" s="48">
        <f>data!BO152</f>
        <v>21053.746108520605</v>
      </c>
      <c r="J168" s="48">
        <f>data!BP152</f>
        <v>18185.559806712074</v>
      </c>
      <c r="K168" s="48">
        <f>data!BQ152</f>
        <v>13596.739203708317</v>
      </c>
      <c r="L168" s="48">
        <f>data!BR152</f>
        <v>7467.7543068767955</v>
      </c>
      <c r="M168" s="48">
        <f>data!BS152</f>
        <v>0</v>
      </c>
    </row>
    <row r="169" spans="2:13" x14ac:dyDescent="0.2">
      <c r="B169" s="4" t="s">
        <v>186</v>
      </c>
      <c r="C169" s="48">
        <f>data!BI153</f>
        <v>0</v>
      </c>
      <c r="D169" s="48">
        <f>data!BJ153</f>
        <v>0</v>
      </c>
      <c r="E169" s="48">
        <f>data!BK153</f>
        <v>19866.628637700582</v>
      </c>
      <c r="F169" s="48">
        <f>data!BL153</f>
        <v>23875.811328337302</v>
      </c>
      <c r="G169" s="48">
        <f>data!BM153</f>
        <v>25962.128958540547</v>
      </c>
      <c r="H169" s="48">
        <f>data!BN153</f>
        <v>26035.799814222395</v>
      </c>
      <c r="I169" s="48">
        <f>data!BO153</f>
        <v>24158.128815585562</v>
      </c>
      <c r="J169" s="48">
        <f>data!BP153</f>
        <v>20442.957014343279</v>
      </c>
      <c r="K169" s="48">
        <f>data!BQ153</f>
        <v>15048.708741338603</v>
      </c>
      <c r="L169" s="48">
        <f>data!BR153</f>
        <v>8164.9482078587316</v>
      </c>
      <c r="M169" s="48">
        <f>data!BS153</f>
        <v>0</v>
      </c>
    </row>
    <row r="170" spans="2:13" x14ac:dyDescent="0.2">
      <c r="B170" s="4" t="s">
        <v>187</v>
      </c>
      <c r="C170" s="48">
        <f>data!BI154</f>
        <v>0</v>
      </c>
      <c r="D170" s="48">
        <f>data!BJ154</f>
        <v>0</v>
      </c>
      <c r="E170" s="48">
        <f>data!BK154</f>
        <v>21173.63862367249</v>
      </c>
      <c r="F170" s="48">
        <f>data!BL154</f>
        <v>25034.441224140104</v>
      </c>
      <c r="G170" s="48">
        <f>data!BM154</f>
        <v>26954.159121291599</v>
      </c>
      <c r="H170" s="48">
        <f>data!BN154</f>
        <v>26852.652547938902</v>
      </c>
      <c r="I170" s="48">
        <f>data!BO154</f>
        <v>24797.272843812359</v>
      </c>
      <c r="J170" s="48">
        <f>data!BP154</f>
        <v>20907.360547629305</v>
      </c>
      <c r="K170" s="48">
        <f>data!BQ154</f>
        <v>15346.010944520574</v>
      </c>
      <c r="L170" s="48">
        <f>data!BR154</f>
        <v>8306.5237334309095</v>
      </c>
      <c r="M170" s="48">
        <f>data!BS154</f>
        <v>0</v>
      </c>
    </row>
    <row r="171" spans="2:13" x14ac:dyDescent="0.2">
      <c r="B171" s="4" t="s">
        <v>188</v>
      </c>
      <c r="C171" s="48">
        <f>data!BI155</f>
        <v>0</v>
      </c>
      <c r="D171" s="48">
        <f>data!BJ155</f>
        <v>0</v>
      </c>
      <c r="E171" s="48">
        <f>data!BK155</f>
        <v>21829.826310479439</v>
      </c>
      <c r="F171" s="48">
        <f>data!BL155</f>
        <v>25573.87561865797</v>
      </c>
      <c r="G171" s="48">
        <f>data!BM155</f>
        <v>27382.290187041719</v>
      </c>
      <c r="H171" s="48">
        <f>data!BN155</f>
        <v>27179.234993901893</v>
      </c>
      <c r="I171" s="48">
        <f>data!BO155</f>
        <v>25033.549194252068</v>
      </c>
      <c r="J171" s="48">
        <f>data!BP155</f>
        <v>21065.610236532517</v>
      </c>
      <c r="K171" s="48">
        <f>data!BQ155</f>
        <v>15438.984176223043</v>
      </c>
      <c r="L171" s="48">
        <f>data!BR155</f>
        <v>8346.9137539722688</v>
      </c>
      <c r="M171" s="48">
        <f>data!BS155</f>
        <v>0</v>
      </c>
    </row>
    <row r="172" spans="2:13" x14ac:dyDescent="0.2">
      <c r="B172" s="4" t="s">
        <v>189</v>
      </c>
      <c r="C172" s="48">
        <f>data!BI156</f>
        <v>0</v>
      </c>
      <c r="D172" s="48">
        <f>data!BJ156</f>
        <v>0</v>
      </c>
      <c r="E172" s="48">
        <f>data!BK156</f>
        <v>21227.786606716494</v>
      </c>
      <c r="F172" s="48">
        <f>data!BL156</f>
        <v>25024.014761634142</v>
      </c>
      <c r="G172" s="48">
        <f>data!BM156</f>
        <v>26898.150298731896</v>
      </c>
      <c r="H172" s="48">
        <f>data!BN156</f>
        <v>26769.71699099688</v>
      </c>
      <c r="I172" s="48">
        <f>data!BO156</f>
        <v>24704.644907560512</v>
      </c>
      <c r="J172" s="48">
        <f>data!BP156</f>
        <v>20820.501713341888</v>
      </c>
      <c r="K172" s="48">
        <f>data!BQ156</f>
        <v>15278.175908831869</v>
      </c>
      <c r="L172" s="48">
        <f>data!BR156</f>
        <v>8268.4914373425581</v>
      </c>
      <c r="M172" s="48">
        <f>data!BS156</f>
        <v>0</v>
      </c>
    </row>
    <row r="173" spans="2:13" x14ac:dyDescent="0.2">
      <c r="B173" s="4" t="s">
        <v>190</v>
      </c>
      <c r="C173" s="48">
        <f>data!BI157</f>
        <v>0</v>
      </c>
      <c r="D173" s="48">
        <f>data!BJ157</f>
        <v>0</v>
      </c>
      <c r="E173" s="48">
        <f>data!BK157</f>
        <v>18928.234255081596</v>
      </c>
      <c r="F173" s="48">
        <f>data!BL157</f>
        <v>22992.101095722981</v>
      </c>
      <c r="G173" s="48">
        <f>data!BM157</f>
        <v>25160.253705580846</v>
      </c>
      <c r="H173" s="48">
        <f>data!BN157</f>
        <v>25336.865842688709</v>
      </c>
      <c r="I173" s="48">
        <f>data!BO157</f>
        <v>23579.789244986412</v>
      </c>
      <c r="J173" s="48">
        <f>data!BP157</f>
        <v>19999.090899506249</v>
      </c>
      <c r="K173" s="48">
        <f>data!BQ157</f>
        <v>14748.95535703267</v>
      </c>
      <c r="L173" s="48">
        <f>data!BR157</f>
        <v>8014.55222513642</v>
      </c>
      <c r="M173" s="48">
        <f>data!BS157</f>
        <v>0</v>
      </c>
    </row>
    <row r="174" spans="2:13" x14ac:dyDescent="0.2">
      <c r="B174" s="4" t="s">
        <v>191</v>
      </c>
      <c r="C174" s="48">
        <f>data!BI158</f>
        <v>0</v>
      </c>
      <c r="D174" s="48">
        <f>data!BJ158</f>
        <v>0</v>
      </c>
      <c r="E174" s="48">
        <f>data!BK158</f>
        <v>17814.900294824103</v>
      </c>
      <c r="F174" s="48">
        <f>data!BL158</f>
        <v>22049.994844608489</v>
      </c>
      <c r="G174" s="48">
        <f>data!BM158</f>
        <v>24379.766188063946</v>
      </c>
      <c r="H174" s="48">
        <f>data!BN158</f>
        <v>24706.241285686992</v>
      </c>
      <c r="I174" s="48">
        <f>data!BO158</f>
        <v>23089.260150123311</v>
      </c>
      <c r="J174" s="48">
        <f>data!BP158</f>
        <v>19640.574938081074</v>
      </c>
      <c r="K174" s="48">
        <f>data!BQ158</f>
        <v>14515.654237343313</v>
      </c>
      <c r="L174" s="48">
        <f>data!BR158</f>
        <v>7900.5688429841075</v>
      </c>
      <c r="M174" s="48">
        <f>data!BS158</f>
        <v>0</v>
      </c>
    </row>
    <row r="175" spans="2:13" x14ac:dyDescent="0.2">
      <c r="B175" s="4" t="s">
        <v>192</v>
      </c>
      <c r="C175" s="48">
        <f>data!BI159</f>
        <v>0</v>
      </c>
      <c r="D175" s="48">
        <f>data!BJ159</f>
        <v>0</v>
      </c>
      <c r="E175" s="48">
        <f>data!BK159</f>
        <v>0</v>
      </c>
      <c r="F175" s="48">
        <f>data!BL159</f>
        <v>25552.224431363022</v>
      </c>
      <c r="G175" s="48">
        <f>data!BM159</f>
        <v>27423.917735789619</v>
      </c>
      <c r="H175" s="48">
        <f>data!BN159</f>
        <v>27333.161939302325</v>
      </c>
      <c r="I175" s="48">
        <f>data!BO159</f>
        <v>25268.275303669874</v>
      </c>
      <c r="J175" s="48">
        <f>data!BP159</f>
        <v>21336.930034079531</v>
      </c>
      <c r="K175" s="48">
        <f>data!BQ159</f>
        <v>15689.523870607372</v>
      </c>
      <c r="L175" s="48">
        <f>data!BR159</f>
        <v>8509.2190668113362</v>
      </c>
      <c r="M175" s="48">
        <f>data!BS159</f>
        <v>0</v>
      </c>
    </row>
    <row r="176" spans="2:13" x14ac:dyDescent="0.2">
      <c r="B176" s="4" t="s">
        <v>193</v>
      </c>
      <c r="C176" s="48">
        <f>data!BI160</f>
        <v>0</v>
      </c>
      <c r="D176" s="48">
        <f>data!BJ160</f>
        <v>0</v>
      </c>
      <c r="E176" s="48">
        <f>data!BK160</f>
        <v>0</v>
      </c>
      <c r="F176" s="48">
        <f>data!BL160</f>
        <v>33094.572708161671</v>
      </c>
      <c r="G176" s="48">
        <f>data!BM160</f>
        <v>33692.868023734845</v>
      </c>
      <c r="H176" s="48">
        <f>data!BN160</f>
        <v>32399.902790428147</v>
      </c>
      <c r="I176" s="48">
        <f>data!BO160</f>
        <v>29164.8219249295</v>
      </c>
      <c r="J176" s="48">
        <f>data!BP160</f>
        <v>24139.709707007718</v>
      </c>
      <c r="K176" s="48">
        <f>data!BQ160</f>
        <v>17477.554668529894</v>
      </c>
      <c r="L176" s="48">
        <f>data!BR160</f>
        <v>9362.9152340282744</v>
      </c>
      <c r="M176" s="48">
        <f>data!BS160</f>
        <v>0</v>
      </c>
    </row>
    <row r="177" spans="2:13" x14ac:dyDescent="0.2">
      <c r="B177" s="4" t="s">
        <v>194</v>
      </c>
      <c r="C177" s="48">
        <f>data!BI161</f>
        <v>0</v>
      </c>
      <c r="D177" s="48">
        <f>data!BJ161</f>
        <v>0</v>
      </c>
      <c r="E177" s="48">
        <f>data!BK161</f>
        <v>0</v>
      </c>
      <c r="F177" s="48">
        <f>data!BL161</f>
        <v>35603.255761140783</v>
      </c>
      <c r="G177" s="48">
        <f>data!BM161</f>
        <v>35858.24989811227</v>
      </c>
      <c r="H177" s="48">
        <f>data!BN161</f>
        <v>34203.504240584916</v>
      </c>
      <c r="I177" s="48">
        <f>data!BO161</f>
        <v>30585.22629906148</v>
      </c>
      <c r="J177" s="48">
        <f>data!BP161</f>
        <v>25179.325283463295</v>
      </c>
      <c r="K177" s="48">
        <f>data!BQ161</f>
        <v>18148.43926756387</v>
      </c>
      <c r="L177" s="48">
        <f>data!BR161</f>
        <v>9685.1646148622604</v>
      </c>
      <c r="M177" s="48">
        <f>data!BS161</f>
        <v>0</v>
      </c>
    </row>
    <row r="178" spans="2:13" x14ac:dyDescent="0.2">
      <c r="B178" s="4" t="s">
        <v>195</v>
      </c>
      <c r="C178" s="48">
        <f>data!BI162</f>
        <v>0</v>
      </c>
      <c r="D178" s="48">
        <f>data!BJ162</f>
        <v>0</v>
      </c>
      <c r="E178" s="48">
        <f>data!BK162</f>
        <v>0</v>
      </c>
      <c r="F178" s="48">
        <f>data!BL162</f>
        <v>36282.104051801653</v>
      </c>
      <c r="G178" s="48">
        <f>data!BM162</f>
        <v>36452.548930685181</v>
      </c>
      <c r="H178" s="48">
        <f>data!BN162</f>
        <v>34706.527733275288</v>
      </c>
      <c r="I178" s="48">
        <f>data!BO162</f>
        <v>30988.776435974534</v>
      </c>
      <c r="J178" s="48">
        <f>data!BP162</f>
        <v>25480.811966736517</v>
      </c>
      <c r="K178" s="48">
        <f>data!BQ162</f>
        <v>18347.413288153173</v>
      </c>
      <c r="L178" s="48">
        <f>data!BR162</f>
        <v>9783.0872376005082</v>
      </c>
      <c r="M178" s="48">
        <f>data!BS162</f>
        <v>0</v>
      </c>
    </row>
    <row r="179" spans="2:13" x14ac:dyDescent="0.2">
      <c r="B179" s="4" t="s">
        <v>196</v>
      </c>
      <c r="C179" s="48">
        <f>data!BI163</f>
        <v>0</v>
      </c>
      <c r="D179" s="48">
        <f>data!BJ163</f>
        <v>0</v>
      </c>
      <c r="E179" s="48">
        <f>data!BK163</f>
        <v>0</v>
      </c>
      <c r="F179" s="48">
        <f>data!BL163</f>
        <v>40790.092303673286</v>
      </c>
      <c r="G179" s="48">
        <f>data!BM163</f>
        <v>40219.770384831572</v>
      </c>
      <c r="H179" s="48">
        <f>data!BN163</f>
        <v>37759.838538432101</v>
      </c>
      <c r="I179" s="48">
        <f>data!BO163</f>
        <v>33335.898813668784</v>
      </c>
      <c r="J179" s="48">
        <f>data!BP163</f>
        <v>27163.962957531101</v>
      </c>
      <c r="K179" s="48">
        <f>data!BQ163</f>
        <v>19415.263217684245</v>
      </c>
      <c r="L179" s="48">
        <f>data!BR163</f>
        <v>10288.947845890452</v>
      </c>
      <c r="M179" s="48">
        <f>data!BS163</f>
        <v>0</v>
      </c>
    </row>
    <row r="180" spans="2:13" x14ac:dyDescent="0.2">
      <c r="B180" s="4" t="s">
        <v>197</v>
      </c>
      <c r="C180" s="48">
        <f>data!BI164</f>
        <v>0</v>
      </c>
      <c r="D180" s="48">
        <f>data!BJ164</f>
        <v>0</v>
      </c>
      <c r="E180" s="48">
        <f>data!BK164</f>
        <v>0</v>
      </c>
      <c r="F180" s="48">
        <f>data!BL164</f>
        <v>43096.733145146201</v>
      </c>
      <c r="G180" s="48">
        <f>data!BM164</f>
        <v>42168.109397951506</v>
      </c>
      <c r="H180" s="48">
        <f>data!BN164</f>
        <v>39354.438562466574</v>
      </c>
      <c r="I180" s="48">
        <f>data!BO164</f>
        <v>34572.836613955085</v>
      </c>
      <c r="J180" s="48">
        <f>data!BP164</f>
        <v>28058.425496945667</v>
      </c>
      <c r="K180" s="48">
        <f>data!BQ164</f>
        <v>19987.142924299504</v>
      </c>
      <c r="L180" s="48">
        <f>data!BR164</f>
        <v>10561.803889115954</v>
      </c>
      <c r="M180" s="48">
        <f>data!BS164</f>
        <v>0</v>
      </c>
    </row>
    <row r="181" spans="2:13" x14ac:dyDescent="0.2">
      <c r="B181" s="4" t="s">
        <v>198</v>
      </c>
      <c r="C181" s="48">
        <f>data!BI165</f>
        <v>0</v>
      </c>
      <c r="D181" s="48">
        <f>data!BJ165</f>
        <v>0</v>
      </c>
      <c r="E181" s="48">
        <f>data!BK165</f>
        <v>0</v>
      </c>
      <c r="F181" s="48">
        <f>data!BL165</f>
        <v>42944.232880221352</v>
      </c>
      <c r="G181" s="48">
        <f>data!BM165</f>
        <v>42048.354091014116</v>
      </c>
      <c r="H181" s="48">
        <f>data!BN165</f>
        <v>39264.122228485983</v>
      </c>
      <c r="I181" s="48">
        <f>data!BO165</f>
        <v>34509.310257771038</v>
      </c>
      <c r="J181" s="48">
        <f>data!BP165</f>
        <v>28017.533407707957</v>
      </c>
      <c r="K181" s="48">
        <f>data!BQ165</f>
        <v>19964.452603080099</v>
      </c>
      <c r="L181" s="48">
        <f>data!BR165</f>
        <v>10552.737171579021</v>
      </c>
      <c r="M181" s="48">
        <f>data!BS165</f>
        <v>0</v>
      </c>
    </row>
    <row r="182" spans="2:13" x14ac:dyDescent="0.2">
      <c r="B182" s="4" t="s">
        <v>199</v>
      </c>
      <c r="C182" s="48">
        <f>data!BI166</f>
        <v>0</v>
      </c>
      <c r="D182" s="48">
        <f>data!BJ166</f>
        <v>0</v>
      </c>
      <c r="E182" s="48">
        <f>data!BK166</f>
        <v>0</v>
      </c>
      <c r="F182" s="48">
        <f>data!BL166</f>
        <v>46105.788552244507</v>
      </c>
      <c r="G182" s="48">
        <f>data!BM166</f>
        <v>44762.275270115504</v>
      </c>
      <c r="H182" s="48">
        <f>data!BN166</f>
        <v>41515.913142888778</v>
      </c>
      <c r="I182" s="48">
        <f>data!BO166</f>
        <v>36276.929572528104</v>
      </c>
      <c r="J182" s="48">
        <f>data!BP166</f>
        <v>29308.578566928372</v>
      </c>
      <c r="K182" s="48">
        <f>data!BQ166</f>
        <v>20796.735518618945</v>
      </c>
      <c r="L182" s="48">
        <f>data!BR166</f>
        <v>10952.499253771724</v>
      </c>
      <c r="M182" s="48">
        <f>data!BS166</f>
        <v>0</v>
      </c>
    </row>
    <row r="183" spans="2:13" x14ac:dyDescent="0.2">
      <c r="B183" s="4" t="s">
        <v>200</v>
      </c>
      <c r="C183" s="48">
        <f>data!BI167</f>
        <v>0</v>
      </c>
      <c r="D183" s="48">
        <f>data!BJ167</f>
        <v>0</v>
      </c>
      <c r="E183" s="48">
        <f>data!BK167</f>
        <v>0</v>
      </c>
      <c r="F183" s="48">
        <f>data!BL167</f>
        <v>47922.844765505026</v>
      </c>
      <c r="G183" s="48">
        <f>data!BM167</f>
        <v>46352.382224820736</v>
      </c>
      <c r="H183" s="48">
        <f>data!BN167</f>
        <v>42864.004733864327</v>
      </c>
      <c r="I183" s="48">
        <f>data!BO167</f>
        <v>37361.349174180788</v>
      </c>
      <c r="J183" s="48">
        <f>data!BP167</f>
        <v>30121.856923744126</v>
      </c>
      <c r="K183" s="48">
        <f>data!BQ167</f>
        <v>21336.009245334961</v>
      </c>
      <c r="L183" s="48">
        <f>data!BR167</f>
        <v>11219.313834990147</v>
      </c>
      <c r="M183" s="48">
        <f>data!BS167</f>
        <v>0</v>
      </c>
    </row>
    <row r="184" spans="2:13" x14ac:dyDescent="0.2">
      <c r="B184" s="4" t="s">
        <v>201</v>
      </c>
      <c r="C184" s="48">
        <f>data!BI168</f>
        <v>0</v>
      </c>
      <c r="D184" s="48">
        <f>data!BJ168</f>
        <v>0</v>
      </c>
      <c r="E184" s="48">
        <f>data!BK168</f>
        <v>0</v>
      </c>
      <c r="F184" s="48">
        <f>data!BL168</f>
        <v>47564.200925302561</v>
      </c>
      <c r="G184" s="48">
        <f>data!BM168</f>
        <v>46062.235348805378</v>
      </c>
      <c r="H184" s="48">
        <f>data!BN168</f>
        <v>42638.43648314329</v>
      </c>
      <c r="I184" s="48">
        <f>data!BO168</f>
        <v>37197.260192165544</v>
      </c>
      <c r="J184" s="48">
        <f>data!BP168</f>
        <v>30012.021814132378</v>
      </c>
      <c r="K184" s="48">
        <f>data!BQ168</f>
        <v>21272.028403485267</v>
      </c>
      <c r="L184" s="48">
        <f>data!BR168</f>
        <v>11192.040798005695</v>
      </c>
      <c r="M184" s="48">
        <f>data!BS168</f>
        <v>0</v>
      </c>
    </row>
    <row r="185" spans="2:13" x14ac:dyDescent="0.2">
      <c r="B185" s="4" t="s">
        <v>202</v>
      </c>
      <c r="C185" s="48">
        <f>data!BI169</f>
        <v>0</v>
      </c>
      <c r="D185" s="48">
        <f>data!BJ169</f>
        <v>0</v>
      </c>
      <c r="E185" s="48">
        <f>data!BK169</f>
        <v>0</v>
      </c>
      <c r="F185" s="48">
        <f>data!BL169</f>
        <v>44915.114539016831</v>
      </c>
      <c r="G185" s="48">
        <f>data!BM169</f>
        <v>43787.152501090728</v>
      </c>
      <c r="H185" s="48">
        <f>data!BN169</f>
        <v>40750.802082743954</v>
      </c>
      <c r="I185" s="48">
        <f>data!BO169</f>
        <v>35716.459658267529</v>
      </c>
      <c r="J185" s="48">
        <f>data!BP169</f>
        <v>28931.826499384799</v>
      </c>
      <c r="K185" s="48">
        <f>data!BQ169</f>
        <v>20576.995234537189</v>
      </c>
      <c r="L185" s="48">
        <f>data!BR169</f>
        <v>10859.05156699707</v>
      </c>
      <c r="M185" s="48">
        <f>data!BS169</f>
        <v>0</v>
      </c>
    </row>
    <row r="186" spans="2:13" x14ac:dyDescent="0.2">
      <c r="B186" s="4" t="s">
        <v>203</v>
      </c>
      <c r="C186" s="48">
        <f>data!BI170</f>
        <v>0</v>
      </c>
      <c r="D186" s="48">
        <f>data!BJ170</f>
        <v>0</v>
      </c>
      <c r="E186" s="48">
        <f>data!BK170</f>
        <v>0</v>
      </c>
      <c r="F186" s="48">
        <f>data!BL170</f>
        <v>47837.880778695449</v>
      </c>
      <c r="G186" s="48">
        <f>data!BM170</f>
        <v>46221.938145912027</v>
      </c>
      <c r="H186" s="48">
        <f>data!BN170</f>
        <v>42714.519515425811</v>
      </c>
      <c r="I186" s="48">
        <f>data!BO170</f>
        <v>37214.702038003292</v>
      </c>
      <c r="J186" s="48">
        <f>data!BP170</f>
        <v>29996.16845145791</v>
      </c>
      <c r="K186" s="48">
        <f>data!BQ170</f>
        <v>21244.690886427379</v>
      </c>
      <c r="L186" s="48">
        <f>data!BR170</f>
        <v>11171.251630067507</v>
      </c>
      <c r="M186" s="48">
        <f>data!BS170</f>
        <v>0</v>
      </c>
    </row>
    <row r="187" spans="2:13" x14ac:dyDescent="0.2">
      <c r="B187" s="4" t="s">
        <v>204</v>
      </c>
      <c r="C187" s="48">
        <f>data!BI171</f>
        <v>0</v>
      </c>
      <c r="D187" s="48">
        <f>data!BJ171</f>
        <v>0</v>
      </c>
      <c r="E187" s="48">
        <f>data!BK171</f>
        <v>0</v>
      </c>
      <c r="F187" s="48">
        <f>data!BL171</f>
        <v>47092.30715695543</v>
      </c>
      <c r="G187" s="48">
        <f>data!BM171</f>
        <v>45606.988724569179</v>
      </c>
      <c r="H187" s="48">
        <f>data!BN171</f>
        <v>42220.227732702275</v>
      </c>
      <c r="I187" s="48">
        <f>data!BO171</f>
        <v>36836.550324830954</v>
      </c>
      <c r="J187" s="48">
        <f>data!BP171</f>
        <v>29725.205314248316</v>
      </c>
      <c r="K187" s="48">
        <f>data!BQ171</f>
        <v>21072.290866348649</v>
      </c>
      <c r="L187" s="48">
        <f>data!BR171</f>
        <v>11089.07689949236</v>
      </c>
      <c r="M187" s="48">
        <f>data!BS171</f>
        <v>0</v>
      </c>
    </row>
    <row r="188" spans="2:13" x14ac:dyDescent="0.2">
      <c r="B188" s="4" t="s">
        <v>205</v>
      </c>
      <c r="C188" s="48">
        <f>data!BI172</f>
        <v>0</v>
      </c>
      <c r="D188" s="48">
        <f>data!BJ172</f>
        <v>0</v>
      </c>
      <c r="E188" s="48">
        <f>data!BK172</f>
        <v>0</v>
      </c>
      <c r="F188" s="48">
        <f>data!BL172</f>
        <v>46665.165480063908</v>
      </c>
      <c r="G188" s="48">
        <f>data!BM172</f>
        <v>45237.098340126991</v>
      </c>
      <c r="H188" s="48">
        <f>data!BN172</f>
        <v>41906.782330563568</v>
      </c>
      <c r="I188" s="48">
        <f>data!BO172</f>
        <v>36582.429476770965</v>
      </c>
      <c r="J188" s="48">
        <f>data!BP172</f>
        <v>29531.892188112604</v>
      </c>
      <c r="K188" s="48">
        <f>data!BQ172</f>
        <v>20941.658471348121</v>
      </c>
      <c r="L188" s="48">
        <f>data!BR172</f>
        <v>11022.991256980171</v>
      </c>
      <c r="M188" s="48">
        <f>data!BS172</f>
        <v>0</v>
      </c>
    </row>
    <row r="189" spans="2:13" x14ac:dyDescent="0.2">
      <c r="B189" s="4" t="s">
        <v>206</v>
      </c>
      <c r="C189" s="48">
        <f>data!BI173</f>
        <v>0</v>
      </c>
      <c r="D189" s="48">
        <f>data!BJ173</f>
        <v>0</v>
      </c>
      <c r="E189" s="48">
        <f>data!BK173</f>
        <v>0</v>
      </c>
      <c r="F189" s="48">
        <f>data!BL173</f>
        <v>46284.563840708179</v>
      </c>
      <c r="G189" s="48">
        <f>data!BM173</f>
        <v>44804.001866474289</v>
      </c>
      <c r="H189" s="48">
        <f>data!BN173</f>
        <v>41471.044884367628</v>
      </c>
      <c r="I189" s="48">
        <f>data!BO173</f>
        <v>36185.837137684131</v>
      </c>
      <c r="J189" s="48">
        <f>data!BP173</f>
        <v>29207.134747724947</v>
      </c>
      <c r="K189" s="48">
        <f>data!BQ173</f>
        <v>20712.379424862575</v>
      </c>
      <c r="L189" s="48">
        <f>data!BR173</f>
        <v>10904.448223626481</v>
      </c>
      <c r="M189" s="48">
        <f>data!BS173</f>
        <v>0</v>
      </c>
    </row>
    <row r="190" spans="2:13" x14ac:dyDescent="0.2">
      <c r="B190" s="4" t="s">
        <v>207</v>
      </c>
      <c r="C190" s="48">
        <f>data!BI174</f>
        <v>0</v>
      </c>
      <c r="D190" s="48">
        <f>data!BJ174</f>
        <v>0</v>
      </c>
      <c r="E190" s="48">
        <f>data!BK174</f>
        <v>0</v>
      </c>
      <c r="F190" s="48">
        <f>data!BL174</f>
        <v>45538.103079769746</v>
      </c>
      <c r="G190" s="48">
        <f>data!BM174</f>
        <v>44151.431917642942</v>
      </c>
      <c r="H190" s="48">
        <f>data!BN174</f>
        <v>40919.762900023998</v>
      </c>
      <c r="I190" s="48">
        <f>data!BO174</f>
        <v>35745.049180461923</v>
      </c>
      <c r="J190" s="48">
        <f>data!BP174</f>
        <v>28879.284572856977</v>
      </c>
      <c r="K190" s="48">
        <f>data!BQ174</f>
        <v>20497.222053195415</v>
      </c>
      <c r="L190" s="48">
        <f>data!BR174</f>
        <v>10799.280523180914</v>
      </c>
      <c r="M190" s="48">
        <f>data!BS174</f>
        <v>0</v>
      </c>
    </row>
    <row r="191" spans="2:13" x14ac:dyDescent="0.2">
      <c r="B191" s="4" t="s">
        <v>208</v>
      </c>
      <c r="C191" s="48">
        <f>data!BI175</f>
        <v>0</v>
      </c>
      <c r="D191" s="48">
        <f>data!BJ175</f>
        <v>0</v>
      </c>
      <c r="E191" s="48">
        <f>data!BK175</f>
        <v>0</v>
      </c>
      <c r="F191" s="48">
        <f>data!BL175</f>
        <v>43375.780866215086</v>
      </c>
      <c r="G191" s="48">
        <f>data!BM175</f>
        <v>42288.743369303316</v>
      </c>
      <c r="H191" s="48">
        <f>data!BN175</f>
        <v>39368.180550690435</v>
      </c>
      <c r="I191" s="48">
        <f>data!BO175</f>
        <v>34521.708750636957</v>
      </c>
      <c r="J191" s="48">
        <f>data!BP175</f>
        <v>27981.60630838748</v>
      </c>
      <c r="K191" s="48">
        <f>data!BQ175</f>
        <v>19915.739400536415</v>
      </c>
      <c r="L191" s="48">
        <f>data!BR175</f>
        <v>10518.612542407856</v>
      </c>
      <c r="M191" s="48">
        <f>data!BS175</f>
        <v>0</v>
      </c>
    </row>
    <row r="192" spans="2:13" x14ac:dyDescent="0.2">
      <c r="B192" s="4" t="s">
        <v>209</v>
      </c>
      <c r="C192" s="48">
        <f>data!BI176</f>
        <v>0</v>
      </c>
      <c r="D192" s="48">
        <f>data!BJ176</f>
        <v>0</v>
      </c>
      <c r="E192" s="48">
        <f>data!BK176</f>
        <v>0</v>
      </c>
      <c r="F192" s="48">
        <f>data!BL176</f>
        <v>45121.340339809212</v>
      </c>
      <c r="G192" s="48">
        <f>data!BM176</f>
        <v>43803.904854523906</v>
      </c>
      <c r="H192" s="48">
        <f>data!BN176</f>
        <v>40640.319215058691</v>
      </c>
      <c r="I192" s="48">
        <f>data!BO176</f>
        <v>35533.49210652183</v>
      </c>
      <c r="J192" s="48">
        <f>data!BP176</f>
        <v>28730.990214844722</v>
      </c>
      <c r="K192" s="48">
        <f>data!BQ176</f>
        <v>20406.021751014501</v>
      </c>
      <c r="L192" s="48">
        <f>data!BR176</f>
        <v>10757.781592906838</v>
      </c>
      <c r="M192" s="48">
        <f>data!BS176</f>
        <v>0</v>
      </c>
    </row>
    <row r="193" spans="2:13" x14ac:dyDescent="0.2">
      <c r="B193" s="4" t="s">
        <v>210</v>
      </c>
      <c r="C193" s="48">
        <f>data!BI177</f>
        <v>0</v>
      </c>
      <c r="D193" s="48">
        <f>data!BJ177</f>
        <v>0</v>
      </c>
      <c r="E193" s="48">
        <f>data!BK177</f>
        <v>0</v>
      </c>
      <c r="F193" s="48">
        <f>data!BL177</f>
        <v>47931.352959910648</v>
      </c>
      <c r="G193" s="48">
        <f>data!BM177</f>
        <v>46122.38532436813</v>
      </c>
      <c r="H193" s="48">
        <f>data!BN177</f>
        <v>42496.009858236212</v>
      </c>
      <c r="I193" s="48">
        <f>data!BO177</f>
        <v>36940.663446872939</v>
      </c>
      <c r="J193" s="48">
        <f>data!BP177</f>
        <v>29726.304802675375</v>
      </c>
      <c r="K193" s="48">
        <f>data!BQ177</f>
        <v>21028.794234842549</v>
      </c>
      <c r="L193" s="48">
        <f>data!BR177</f>
        <v>11048.71611961678</v>
      </c>
      <c r="M193" s="48">
        <f>data!BS177</f>
        <v>0</v>
      </c>
    </row>
    <row r="194" spans="2:13" x14ac:dyDescent="0.2">
      <c r="B194" s="4" t="s">
        <v>211</v>
      </c>
      <c r="C194" s="48">
        <f>data!BI178</f>
        <v>0</v>
      </c>
      <c r="D194" s="48">
        <f>data!BJ178</f>
        <v>0</v>
      </c>
      <c r="E194" s="48">
        <f>data!BK178</f>
        <v>0</v>
      </c>
      <c r="F194" s="48">
        <f>data!BL178</f>
        <v>47651.231515566804</v>
      </c>
      <c r="G194" s="48">
        <f>data!BM178</f>
        <v>45911.268069655576</v>
      </c>
      <c r="H194" s="48">
        <f>data!BN178</f>
        <v>42341.349815958361</v>
      </c>
      <c r="I194" s="48">
        <f>data!BO178</f>
        <v>36833.57587577666</v>
      </c>
      <c r="J194" s="48">
        <f>data!BP178</f>
        <v>29657.104416995149</v>
      </c>
      <c r="K194" s="48">
        <f>data!BQ178</f>
        <v>20989.211267997998</v>
      </c>
      <c r="L194" s="48">
        <f>data!BR178</f>
        <v>11031.79465515387</v>
      </c>
      <c r="M194" s="48">
        <f>data!BS178</f>
        <v>0</v>
      </c>
    </row>
    <row r="195" spans="2:13" x14ac:dyDescent="0.2">
      <c r="B195" s="4" t="s">
        <v>212</v>
      </c>
      <c r="C195" s="48">
        <f>data!BI179</f>
        <v>0</v>
      </c>
      <c r="D195" s="48">
        <f>data!BJ179</f>
        <v>0</v>
      </c>
      <c r="E195" s="48">
        <f>data!BK179</f>
        <v>0</v>
      </c>
      <c r="F195" s="48">
        <f>data!BL179</f>
        <v>48044.554956821652</v>
      </c>
      <c r="G195" s="48">
        <f>data!BM179</f>
        <v>46203.394379983423</v>
      </c>
      <c r="H195" s="48">
        <f>data!BN179</f>
        <v>42550.721090397994</v>
      </c>
      <c r="I195" s="48">
        <f>data!BO179</f>
        <v>36974.015259023668</v>
      </c>
      <c r="J195" s="48">
        <f>data!BP179</f>
        <v>29744.104766748838</v>
      </c>
      <c r="K195" s="48">
        <f>data!BQ179</f>
        <v>21036.336770227706</v>
      </c>
      <c r="L195" s="48">
        <f>data!BR179</f>
        <v>11050.58822183659</v>
      </c>
      <c r="M195" s="48">
        <f>data!BS179</f>
        <v>0</v>
      </c>
    </row>
    <row r="196" spans="2:13" x14ac:dyDescent="0.2">
      <c r="B196" s="4" t="s">
        <v>213</v>
      </c>
      <c r="C196" s="48">
        <f>data!BI180</f>
        <v>0</v>
      </c>
      <c r="D196" s="48">
        <f>data!BJ180</f>
        <v>0</v>
      </c>
      <c r="E196" s="48">
        <f>data!BK180</f>
        <v>0</v>
      </c>
      <c r="F196" s="48">
        <f>data!BL180</f>
        <v>53270.692171887393</v>
      </c>
      <c r="G196" s="48">
        <f>data!BM180</f>
        <v>50578.989635231432</v>
      </c>
      <c r="H196" s="48">
        <f>data!BN180</f>
        <v>46110.091006763665</v>
      </c>
      <c r="I196" s="48">
        <f>data!BO180</f>
        <v>39722.493529708874</v>
      </c>
      <c r="J196" s="48">
        <f>data!BP180</f>
        <v>31726.907060310477</v>
      </c>
      <c r="K196" s="48">
        <f>data!BQ180</f>
        <v>22303.61408333182</v>
      </c>
      <c r="L196" s="48">
        <f>data!BR180</f>
        <v>11656.147151838559</v>
      </c>
      <c r="M196" s="48">
        <f>data!BS180</f>
        <v>0</v>
      </c>
    </row>
    <row r="197" spans="2:13" x14ac:dyDescent="0.2">
      <c r="B197" s="4" t="s">
        <v>214</v>
      </c>
      <c r="C197" s="48">
        <f>data!BI181</f>
        <v>0</v>
      </c>
      <c r="D197" s="48">
        <f>data!BJ181</f>
        <v>0</v>
      </c>
      <c r="E197" s="48">
        <f>data!BK181</f>
        <v>0</v>
      </c>
      <c r="F197" s="48">
        <f>data!BL181</f>
        <v>51023.985836895823</v>
      </c>
      <c r="G197" s="48">
        <f>data!BM181</f>
        <v>48709.330831194282</v>
      </c>
      <c r="H197" s="48">
        <f>data!BN181</f>
        <v>44598.133507417617</v>
      </c>
      <c r="I197" s="48">
        <f>data!BO181</f>
        <v>38562.186918387932</v>
      </c>
      <c r="J197" s="48">
        <f>data!BP181</f>
        <v>30895.053413407295</v>
      </c>
      <c r="K197" s="48">
        <f>data!BQ181</f>
        <v>21775.314112415086</v>
      </c>
      <c r="L197" s="48">
        <f>data!BR181</f>
        <v>11405.329414134994</v>
      </c>
      <c r="M197" s="48">
        <f>data!BS181</f>
        <v>0</v>
      </c>
    </row>
    <row r="198" spans="2:13" x14ac:dyDescent="0.2">
      <c r="B198" s="4" t="s">
        <v>215</v>
      </c>
      <c r="C198" s="48">
        <f>data!BI182</f>
        <v>0</v>
      </c>
      <c r="D198" s="48">
        <f>data!BJ182</f>
        <v>0</v>
      </c>
      <c r="E198" s="48">
        <f>data!BK182</f>
        <v>0</v>
      </c>
      <c r="F198" s="48">
        <f>data!BL182</f>
        <v>52529.403505956339</v>
      </c>
      <c r="G198" s="48">
        <f>data!BM182</f>
        <v>49942.390150951738</v>
      </c>
      <c r="H198" s="48">
        <f>data!BN182</f>
        <v>45579.270072938096</v>
      </c>
      <c r="I198" s="48">
        <f>data!BO182</f>
        <v>39302.319176750541</v>
      </c>
      <c r="J198" s="48">
        <f>data!BP182</f>
        <v>31416.536991674839</v>
      </c>
      <c r="K198" s="48">
        <f>data!BQ182</f>
        <v>22100.794970268984</v>
      </c>
      <c r="L198" s="48">
        <f>data!BR182</f>
        <v>11557.213638581632</v>
      </c>
      <c r="M198" s="48">
        <f>data!BS182</f>
        <v>0</v>
      </c>
    </row>
    <row r="199" spans="2:13" x14ac:dyDescent="0.2">
      <c r="B199" s="4" t="s">
        <v>216</v>
      </c>
      <c r="C199" s="48">
        <f>data!BI183</f>
        <v>0</v>
      </c>
      <c r="D199" s="48">
        <f>data!BJ183</f>
        <v>0</v>
      </c>
      <c r="E199" s="48">
        <f>data!BK183</f>
        <v>0</v>
      </c>
      <c r="F199" s="48">
        <f>data!BL183</f>
        <v>56726.580673686702</v>
      </c>
      <c r="G199" s="48">
        <f>data!BM183</f>
        <v>53412.984606104867</v>
      </c>
      <c r="H199" s="48">
        <f>data!BN183</f>
        <v>48370.178892147123</v>
      </c>
      <c r="I199" s="48">
        <f>data!BO183</f>
        <v>41432.860192146305</v>
      </c>
      <c r="J199" s="48">
        <f>data!BP183</f>
        <v>32937.204542136082</v>
      </c>
      <c r="K199" s="48">
        <f>data!BQ183</f>
        <v>23063.126782588359</v>
      </c>
      <c r="L199" s="48">
        <f>data!BR183</f>
        <v>12012.887484334458</v>
      </c>
      <c r="M199" s="48">
        <f>data!BS183</f>
        <v>0</v>
      </c>
    </row>
    <row r="200" spans="2:13" x14ac:dyDescent="0.2">
      <c r="B200" s="4" t="s">
        <v>217</v>
      </c>
      <c r="C200" s="48">
        <f>data!BI184</f>
        <v>0</v>
      </c>
      <c r="D200" s="48">
        <f>data!BJ184</f>
        <v>0</v>
      </c>
      <c r="E200" s="48">
        <f>data!BK184</f>
        <v>0</v>
      </c>
      <c r="F200" s="48">
        <f>data!BL184</f>
        <v>57778.516701641645</v>
      </c>
      <c r="G200" s="48">
        <f>data!BM184</f>
        <v>54223.189801910703</v>
      </c>
      <c r="H200" s="48">
        <f>data!BN184</f>
        <v>48977.049778800989</v>
      </c>
      <c r="I200" s="48">
        <f>data!BO184</f>
        <v>41862.798202305967</v>
      </c>
      <c r="J200" s="48">
        <f>data!BP184</f>
        <v>33221.924285560752</v>
      </c>
      <c r="K200" s="48">
        <f>data!BQ184</f>
        <v>23230.398118778154</v>
      </c>
      <c r="L200" s="48">
        <f>data!BR184</f>
        <v>12086.523762544093</v>
      </c>
      <c r="M200" s="48">
        <f>data!BS184</f>
        <v>0</v>
      </c>
    </row>
    <row r="201" spans="2:13" x14ac:dyDescent="0.2">
      <c r="B201" s="4" t="s">
        <v>218</v>
      </c>
      <c r="C201" s="48">
        <f>data!BI185</f>
        <v>0</v>
      </c>
      <c r="D201" s="48">
        <f>data!BJ185</f>
        <v>0</v>
      </c>
      <c r="E201" s="48">
        <f>data!BK185</f>
        <v>0</v>
      </c>
      <c r="F201" s="48">
        <f>data!BL185</f>
        <v>60095.019902378044</v>
      </c>
      <c r="G201" s="48">
        <f>data!BM185</f>
        <v>56050.894547349097</v>
      </c>
      <c r="H201" s="48">
        <f>data!BN185</f>
        <v>50383.790905344838</v>
      </c>
      <c r="I201" s="48">
        <f>data!BO185</f>
        <v>42891.473038724529</v>
      </c>
      <c r="J201" s="48">
        <f>data!BP185</f>
        <v>33927.618711255644</v>
      </c>
      <c r="K201" s="48">
        <f>data!BQ185</f>
        <v>23661.331329131161</v>
      </c>
      <c r="L201" s="48">
        <f>data!BR185</f>
        <v>12284.288705846504</v>
      </c>
      <c r="M201" s="48">
        <f>data!BS185</f>
        <v>0</v>
      </c>
    </row>
    <row r="202" spans="2:13" x14ac:dyDescent="0.2">
      <c r="B202" s="4" t="s">
        <v>219</v>
      </c>
      <c r="C202" s="48">
        <f>data!BI186</f>
        <v>0</v>
      </c>
      <c r="D202" s="48">
        <f>data!BJ186</f>
        <v>0</v>
      </c>
      <c r="E202" s="48">
        <f>data!BK186</f>
        <v>0</v>
      </c>
      <c r="F202" s="48">
        <f>data!BL186</f>
        <v>65828.290773786692</v>
      </c>
      <c r="G202" s="48">
        <f>data!BM186</f>
        <v>60811.821169800467</v>
      </c>
      <c r="H202" s="48">
        <f>data!BN186</f>
        <v>54222.603724990695</v>
      </c>
      <c r="I202" s="48">
        <f>data!BO186</f>
        <v>45823.242906286359</v>
      </c>
      <c r="J202" s="48">
        <f>data!BP186</f>
        <v>36017.561890293153</v>
      </c>
      <c r="K202" s="48">
        <f>data!BQ186</f>
        <v>24980.126688240147</v>
      </c>
      <c r="L202" s="48">
        <f>data!BR186</f>
        <v>12905.990027478343</v>
      </c>
      <c r="M202" s="48">
        <f>data!BS186</f>
        <v>0</v>
      </c>
    </row>
    <row r="203" spans="2:13" x14ac:dyDescent="0.2">
      <c r="B203" s="4" t="s">
        <v>220</v>
      </c>
      <c r="C203" s="48">
        <f>data!BI187</f>
        <v>0</v>
      </c>
      <c r="D203" s="48">
        <f>data!BJ187</f>
        <v>0</v>
      </c>
      <c r="E203" s="48">
        <f>data!BK187</f>
        <v>0</v>
      </c>
      <c r="F203" s="48">
        <f>data!BL187</f>
        <v>65388.927181272542</v>
      </c>
      <c r="G203" s="48">
        <f>data!BM187</f>
        <v>60306.033337601089</v>
      </c>
      <c r="H203" s="48">
        <f>data!BN187</f>
        <v>53708.654851806168</v>
      </c>
      <c r="I203" s="48">
        <f>data!BO187</f>
        <v>45350.760967014394</v>
      </c>
      <c r="J203" s="48">
        <f>data!BP187</f>
        <v>35626.775644198096</v>
      </c>
      <c r="K203" s="48">
        <f>data!BQ187</f>
        <v>24701.365329015032</v>
      </c>
      <c r="L203" s="48">
        <f>data!BR187</f>
        <v>12760.29423668916</v>
      </c>
      <c r="M203" s="48">
        <f>data!BS187</f>
        <v>0</v>
      </c>
    </row>
    <row r="204" spans="2:13" x14ac:dyDescent="0.2">
      <c r="B204" s="4" t="s">
        <v>221</v>
      </c>
      <c r="C204" s="48">
        <f>data!BI188</f>
        <v>0</v>
      </c>
      <c r="D204" s="48">
        <f>data!BJ188</f>
        <v>0</v>
      </c>
      <c r="E204" s="48">
        <f>data!BK188</f>
        <v>0</v>
      </c>
      <c r="F204" s="48">
        <f>data!BL188</f>
        <v>64130.495396992999</v>
      </c>
      <c r="G204" s="48">
        <f>data!BM188</f>
        <v>59293.287466432666</v>
      </c>
      <c r="H204" s="48">
        <f>data!BN188</f>
        <v>52917.055450155945</v>
      </c>
      <c r="I204" s="48">
        <f>data!BO188</f>
        <v>44765.836422125125</v>
      </c>
      <c r="J204" s="48">
        <f>data!BP188</f>
        <v>35223.641457665261</v>
      </c>
      <c r="K204" s="48">
        <f>data!BQ188</f>
        <v>24455.638778229957</v>
      </c>
      <c r="L204" s="48">
        <f>data!BR188</f>
        <v>12648.507921922988</v>
      </c>
      <c r="M204" s="48">
        <f>data!BS188</f>
        <v>0</v>
      </c>
    </row>
    <row r="205" spans="2:13" x14ac:dyDescent="0.2">
      <c r="B205" s="4" t="s">
        <v>222</v>
      </c>
      <c r="C205" s="48">
        <f>data!BI189</f>
        <v>0</v>
      </c>
      <c r="D205" s="48">
        <f>data!BJ189</f>
        <v>0</v>
      </c>
      <c r="E205" s="48">
        <f>data!BK189</f>
        <v>0</v>
      </c>
      <c r="F205" s="48">
        <f>data!BL189</f>
        <v>67597.892090150621</v>
      </c>
      <c r="G205" s="48">
        <f>data!BM189</f>
        <v>62235.680337344704</v>
      </c>
      <c r="H205" s="48">
        <f>data!BN189</f>
        <v>55331.67494229725</v>
      </c>
      <c r="I205" s="48">
        <f>data!BO189</f>
        <v>46636.910326831668</v>
      </c>
      <c r="J205" s="48">
        <f>data!BP189</f>
        <v>36572.512515286988</v>
      </c>
      <c r="K205" s="48">
        <f>data!BQ189</f>
        <v>25313.776384456331</v>
      </c>
      <c r="L205" s="48">
        <f>data!BR189</f>
        <v>13055.1968300632</v>
      </c>
      <c r="M205" s="48">
        <f>data!BS189</f>
        <v>0</v>
      </c>
    </row>
    <row r="206" spans="2:13" x14ac:dyDescent="0.2">
      <c r="B206" s="4" t="s">
        <v>223</v>
      </c>
      <c r="C206" s="48">
        <f>data!BI190</f>
        <v>0</v>
      </c>
      <c r="D206" s="48">
        <f>data!BJ190</f>
        <v>0</v>
      </c>
      <c r="E206" s="48">
        <f>data!BK190</f>
        <v>0</v>
      </c>
      <c r="F206" s="48">
        <f>data!BL190</f>
        <v>69090.678302946704</v>
      </c>
      <c r="G206" s="48">
        <f>data!BM190</f>
        <v>63365.34734599552</v>
      </c>
      <c r="H206" s="48">
        <f>data!BN190</f>
        <v>56161.978726686626</v>
      </c>
      <c r="I206" s="48">
        <f>data!BO190</f>
        <v>47211.602758809327</v>
      </c>
      <c r="J206" s="48">
        <f>data!BP190</f>
        <v>36943.29461744256</v>
      </c>
      <c r="K206" s="48">
        <f>data!BQ190</f>
        <v>25525.336645407522</v>
      </c>
      <c r="L206" s="48">
        <f>data!BR190</f>
        <v>13145.342854843424</v>
      </c>
      <c r="M206" s="48">
        <f>data!BS190</f>
        <v>0</v>
      </c>
    </row>
    <row r="207" spans="2:13" x14ac:dyDescent="0.2">
      <c r="B207" s="4" t="s">
        <v>224</v>
      </c>
      <c r="C207" s="48">
        <f>data!BI191</f>
        <v>0</v>
      </c>
      <c r="D207" s="48">
        <f>data!BJ191</f>
        <v>0</v>
      </c>
      <c r="E207" s="48">
        <f>data!BK191</f>
        <v>0</v>
      </c>
      <c r="F207" s="48">
        <f>data!BL191</f>
        <v>72228.196533897659</v>
      </c>
      <c r="G207" s="48">
        <f>data!BM191</f>
        <v>65925.126068944955</v>
      </c>
      <c r="H207" s="48">
        <f>data!BN191</f>
        <v>58191.033119767431</v>
      </c>
      <c r="I207" s="48">
        <f>data!BO191</f>
        <v>48733.153255594887</v>
      </c>
      <c r="J207" s="48">
        <f>data!BP191</f>
        <v>38008.451593151156</v>
      </c>
      <c r="K207" s="48">
        <f>data!BQ191</f>
        <v>26185.50174168919</v>
      </c>
      <c r="L207" s="48">
        <f>data!BR191</f>
        <v>13451.073142502071</v>
      </c>
      <c r="M207" s="48">
        <f>data!BS191</f>
        <v>0</v>
      </c>
    </row>
    <row r="208" spans="2:13" x14ac:dyDescent="0.2">
      <c r="B208" s="4" t="s">
        <v>225</v>
      </c>
      <c r="C208" s="48">
        <f>data!BI192</f>
        <v>0</v>
      </c>
      <c r="D208" s="48">
        <f>data!BJ192</f>
        <v>0</v>
      </c>
      <c r="E208" s="48">
        <f>data!BK192</f>
        <v>0</v>
      </c>
      <c r="F208" s="48">
        <f>data!BL192</f>
        <v>73504.050549361753</v>
      </c>
      <c r="G208" s="48">
        <f>data!BM192</f>
        <v>67108.759617414558</v>
      </c>
      <c r="H208" s="48">
        <f>data!BN192</f>
        <v>59243.798789035776</v>
      </c>
      <c r="I208" s="48">
        <f>data!BO192</f>
        <v>49614.94911507942</v>
      </c>
      <c r="J208" s="48">
        <f>data!BP192</f>
        <v>38692.509665503247</v>
      </c>
      <c r="K208" s="48">
        <f>data!BQ192</f>
        <v>26652.161031030217</v>
      </c>
      <c r="L208" s="48">
        <f>data!BR192</f>
        <v>13687.55227269323</v>
      </c>
      <c r="M208" s="48">
        <f>data!BS192</f>
        <v>0</v>
      </c>
    </row>
    <row r="209" spans="2:13" x14ac:dyDescent="0.2">
      <c r="B209" s="4" t="s">
        <v>226</v>
      </c>
      <c r="C209" s="48">
        <f>data!BI193</f>
        <v>0</v>
      </c>
      <c r="D209" s="48">
        <f>data!BJ193</f>
        <v>0</v>
      </c>
      <c r="E209" s="48">
        <f>data!BK193</f>
        <v>0</v>
      </c>
      <c r="F209" s="48">
        <f>data!BL193</f>
        <v>73901.810256895071</v>
      </c>
      <c r="G209" s="48">
        <f>data!BM193</f>
        <v>67504.220583794726</v>
      </c>
      <c r="H209" s="48">
        <f>data!BN193</f>
        <v>59612.903376808033</v>
      </c>
      <c r="I209" s="48">
        <f>data!BO193</f>
        <v>49935.640294108591</v>
      </c>
      <c r="J209" s="48">
        <f>data!BP193</f>
        <v>38948.103148075665</v>
      </c>
      <c r="K209" s="48">
        <f>data!BQ193</f>
        <v>26830.077603857164</v>
      </c>
      <c r="L209" s="48">
        <f>data!BR193</f>
        <v>13779.0821783349</v>
      </c>
      <c r="M209" s="48">
        <f>data!BS193</f>
        <v>0</v>
      </c>
    </row>
    <row r="210" spans="2:13" x14ac:dyDescent="0.2">
      <c r="B210" s="4" t="s">
        <v>227</v>
      </c>
      <c r="C210" s="48">
        <f>data!BI194</f>
        <v>0</v>
      </c>
      <c r="D210" s="48">
        <f>data!BJ194</f>
        <v>0</v>
      </c>
      <c r="E210" s="48">
        <f>data!BK194</f>
        <v>0</v>
      </c>
      <c r="F210" s="48">
        <f>data!BL194</f>
        <v>74312.105629617145</v>
      </c>
      <c r="G210" s="48">
        <f>data!BM194</f>
        <v>67817.660054117398</v>
      </c>
      <c r="H210" s="48">
        <f>data!BN194</f>
        <v>59845.685609061475</v>
      </c>
      <c r="I210" s="48">
        <f>data!BO194</f>
        <v>50098.638840072163</v>
      </c>
      <c r="J210" s="48">
        <f>data!BP194</f>
        <v>39054.690155926757</v>
      </c>
      <c r="K210" s="48">
        <f>data!BQ194</f>
        <v>26891.85971503106</v>
      </c>
      <c r="L210" s="48">
        <f>data!BR194</f>
        <v>13805.898292001479</v>
      </c>
      <c r="M210" s="48">
        <f>data!BS194</f>
        <v>0</v>
      </c>
    </row>
    <row r="211" spans="2:13" x14ac:dyDescent="0.2">
      <c r="B211" s="4" t="s">
        <v>228</v>
      </c>
      <c r="C211" s="48">
        <f>data!BI195</f>
        <v>0</v>
      </c>
      <c r="D211" s="48">
        <f>data!BJ195</f>
        <v>0</v>
      </c>
      <c r="E211" s="48">
        <f>data!BK195</f>
        <v>0</v>
      </c>
      <c r="F211" s="48">
        <f>data!BL195</f>
        <v>72143.512118980434</v>
      </c>
      <c r="G211" s="48">
        <f>data!BM195</f>
        <v>65839.498210946287</v>
      </c>
      <c r="H211" s="48">
        <f>data!BN195</f>
        <v>58124.204354496695</v>
      </c>
      <c r="I211" s="48">
        <f>data!BO195</f>
        <v>48695.105881404648</v>
      </c>
      <c r="J211" s="48">
        <f>data!BP195</f>
        <v>37998.529640690453</v>
      </c>
      <c r="K211" s="48">
        <f>data!BQ195</f>
        <v>26194.970622897024</v>
      </c>
      <c r="L211" s="48">
        <f>data!BR195</f>
        <v>13465.15221955075</v>
      </c>
      <c r="M211" s="48">
        <f>data!BS195</f>
        <v>0</v>
      </c>
    </row>
    <row r="212" spans="2:13" x14ac:dyDescent="0.2">
      <c r="B212" s="4" t="s">
        <v>229</v>
      </c>
      <c r="C212" s="48">
        <f>data!BI196</f>
        <v>0</v>
      </c>
      <c r="D212" s="48">
        <f>data!BJ196</f>
        <v>0</v>
      </c>
      <c r="E212" s="48">
        <f>data!BK196</f>
        <v>0</v>
      </c>
      <c r="F212" s="48">
        <f>data!BL196</f>
        <v>72765.91885470241</v>
      </c>
      <c r="G212" s="48">
        <f>data!BM196</f>
        <v>66301.740078121642</v>
      </c>
      <c r="H212" s="48">
        <f>data!BN196</f>
        <v>58459.153327590509</v>
      </c>
      <c r="I212" s="48">
        <f>data!BO196</f>
        <v>48924.784140362513</v>
      </c>
      <c r="J212" s="48">
        <f>data!BP196</f>
        <v>38146.556788406568</v>
      </c>
      <c r="K212" s="48">
        <f>data!BQ196</f>
        <v>26280.258068745676</v>
      </c>
      <c r="L212" s="48">
        <f>data!BR196</f>
        <v>13502.340806162958</v>
      </c>
      <c r="M212" s="48">
        <f>data!BS196</f>
        <v>0</v>
      </c>
    </row>
    <row r="213" spans="2:13" x14ac:dyDescent="0.2">
      <c r="B213" s="4" t="s">
        <v>230</v>
      </c>
      <c r="C213" s="48">
        <f>data!BI197</f>
        <v>0</v>
      </c>
      <c r="D213" s="48">
        <f>data!BJ197</f>
        <v>0</v>
      </c>
      <c r="E213" s="48">
        <f>data!BK197</f>
        <v>0</v>
      </c>
      <c r="F213" s="48">
        <f>data!BL197</f>
        <v>70576.815723047854</v>
      </c>
      <c r="G213" s="48">
        <f>data!BM197</f>
        <v>64621.771400011101</v>
      </c>
      <c r="H213" s="48">
        <f>data!BN197</f>
        <v>57204.983636689052</v>
      </c>
      <c r="I213" s="48">
        <f>data!BO197</f>
        <v>48041.22740842864</v>
      </c>
      <c r="J213" s="48">
        <f>data!BP197</f>
        <v>37565.29963367086</v>
      </c>
      <c r="K213" s="48">
        <f>data!BQ197</f>
        <v>25941.53146264411</v>
      </c>
      <c r="L213" s="48">
        <f>data!BR197</f>
        <v>13354.710306434084</v>
      </c>
      <c r="M213" s="48">
        <f>data!BS197</f>
        <v>0</v>
      </c>
    </row>
    <row r="214" spans="2:13" x14ac:dyDescent="0.2">
      <c r="B214" s="4" t="s">
        <v>231</v>
      </c>
      <c r="C214" s="48">
        <f>data!BI198</f>
        <v>0</v>
      </c>
      <c r="D214" s="48">
        <f>data!BJ198</f>
        <v>0</v>
      </c>
      <c r="E214" s="48">
        <f>data!BK198</f>
        <v>0</v>
      </c>
      <c r="F214" s="48">
        <f>data!BL198</f>
        <v>73202.05953560998</v>
      </c>
      <c r="G214" s="48">
        <f>data!BM198</f>
        <v>66761.742872416507</v>
      </c>
      <c r="H214" s="48">
        <f>data!BN198</f>
        <v>58898.386567481051</v>
      </c>
      <c r="I214" s="48">
        <f>data!BO198</f>
        <v>49307.545459846413</v>
      </c>
      <c r="J214" s="48">
        <f>data!BP198</f>
        <v>38448.463201549661</v>
      </c>
      <c r="K214" s="48">
        <f>data!BQ198</f>
        <v>26486.312718369903</v>
      </c>
      <c r="L214" s="48">
        <f>data!BR198</f>
        <v>13605.56002323268</v>
      </c>
      <c r="M214" s="48">
        <f>data!BS198</f>
        <v>0</v>
      </c>
    </row>
    <row r="215" spans="2:13" x14ac:dyDescent="0.2">
      <c r="B215" s="4" t="s">
        <v>232</v>
      </c>
      <c r="C215" s="48">
        <f>data!BI199</f>
        <v>0</v>
      </c>
      <c r="D215" s="48">
        <f>data!BJ199</f>
        <v>0</v>
      </c>
      <c r="E215" s="48">
        <f>data!BK199</f>
        <v>0</v>
      </c>
      <c r="F215" s="48">
        <f>data!BL199</f>
        <v>75802.258829755854</v>
      </c>
      <c r="G215" s="48">
        <f>data!BM199</f>
        <v>68923.319355508793</v>
      </c>
      <c r="H215" s="48">
        <f>data!BN199</f>
        <v>60643.662756527658</v>
      </c>
      <c r="I215" s="48">
        <f>data!BO199</f>
        <v>50641.249422791268</v>
      </c>
      <c r="J215" s="48">
        <f>data!BP199</f>
        <v>39399.87720900205</v>
      </c>
      <c r="K215" s="48">
        <f>data!BQ199</f>
        <v>27087.161904471297</v>
      </c>
      <c r="L215" s="48">
        <f>data!BR199</f>
        <v>13889.070723852301</v>
      </c>
      <c r="M215" s="48">
        <f>data!BS199</f>
        <v>0</v>
      </c>
    </row>
    <row r="216" spans="2:13" x14ac:dyDescent="0.2">
      <c r="B216" s="4" t="s">
        <v>233</v>
      </c>
      <c r="C216" s="48">
        <f>data!BI200</f>
        <v>0</v>
      </c>
      <c r="D216" s="48">
        <f>data!BJ200</f>
        <v>0</v>
      </c>
      <c r="E216" s="48">
        <f>data!BK200</f>
        <v>0</v>
      </c>
      <c r="F216" s="48">
        <f>data!BL200</f>
        <v>73364.980377825166</v>
      </c>
      <c r="G216" s="48">
        <f>data!BM200</f>
        <v>66957.455244451587</v>
      </c>
      <c r="H216" s="48">
        <f>data!BN200</f>
        <v>59095.336005031524</v>
      </c>
      <c r="I216" s="48">
        <f>data!BO200</f>
        <v>49482.515454580818</v>
      </c>
      <c r="J216" s="48">
        <f>data!BP200</f>
        <v>38586.276985798046</v>
      </c>
      <c r="K216" s="48">
        <f>data!BQ200</f>
        <v>26578.908588015758</v>
      </c>
      <c r="L216" s="48">
        <f>data!BR200</f>
        <v>13650.700814889922</v>
      </c>
      <c r="M216" s="48">
        <f>data!BS200</f>
        <v>0</v>
      </c>
    </row>
    <row r="217" spans="2:13" x14ac:dyDescent="0.2">
      <c r="B217" s="4" t="s">
        <v>234</v>
      </c>
      <c r="C217" s="48">
        <f>data!BI201</f>
        <v>0</v>
      </c>
      <c r="D217" s="48">
        <f>data!BJ201</f>
        <v>0</v>
      </c>
      <c r="E217" s="48">
        <f>data!BK201</f>
        <v>0</v>
      </c>
      <c r="F217" s="48">
        <f>data!BL201</f>
        <v>70732.664818733028</v>
      </c>
      <c r="G217" s="48">
        <f>data!BM201</f>
        <v>64846.879869959856</v>
      </c>
      <c r="H217" s="48">
        <f>data!BN201</f>
        <v>57449.220489669882</v>
      </c>
      <c r="I217" s="48">
        <f>data!BO201</f>
        <v>48267.863232545351</v>
      </c>
      <c r="J217" s="48">
        <f>data!BP201</f>
        <v>37748.901035029521</v>
      </c>
      <c r="K217" s="48">
        <f>data!BQ201</f>
        <v>26067.422063985716</v>
      </c>
      <c r="L217" s="48">
        <f>data!BR201</f>
        <v>13417.068363915971</v>
      </c>
      <c r="M217" s="48">
        <f>data!BS201</f>
        <v>0</v>
      </c>
    </row>
    <row r="218" spans="2:13" x14ac:dyDescent="0.2">
      <c r="B218" s="4" t="s">
        <v>235</v>
      </c>
      <c r="C218" s="48">
        <f>data!BI202</f>
        <v>0</v>
      </c>
      <c r="D218" s="48">
        <f>data!BJ202</f>
        <v>0</v>
      </c>
      <c r="E218" s="48">
        <f>data!BK202</f>
        <v>0</v>
      </c>
      <c r="F218" s="48">
        <f>data!BL202</f>
        <v>69352.802737175691</v>
      </c>
      <c r="G218" s="48">
        <f>data!BM202</f>
        <v>63651.758811897918</v>
      </c>
      <c r="H218" s="48">
        <f>data!BN202</f>
        <v>56449.625278550746</v>
      </c>
      <c r="I218" s="48">
        <f>data!BO202</f>
        <v>47478.764787821303</v>
      </c>
      <c r="J218" s="48">
        <f>data!BP202</f>
        <v>37169.882255712371</v>
      </c>
      <c r="K218" s="48">
        <f>data!BQ202</f>
        <v>25692.766185730237</v>
      </c>
      <c r="L218" s="48">
        <f>data!BR202</f>
        <v>13236.594224343375</v>
      </c>
      <c r="M218" s="48">
        <f>data!BS202</f>
        <v>0</v>
      </c>
    </row>
    <row r="219" spans="2:13" x14ac:dyDescent="0.2">
      <c r="B219" s="4" t="s">
        <v>236</v>
      </c>
      <c r="C219" s="48">
        <f>data!BI203</f>
        <v>0</v>
      </c>
      <c r="D219" s="48">
        <f>data!BJ203</f>
        <v>0</v>
      </c>
      <c r="E219" s="48">
        <f>data!BK203</f>
        <v>0</v>
      </c>
      <c r="F219" s="48">
        <f>data!BL203</f>
        <v>73352.733091308197</v>
      </c>
      <c r="G219" s="48">
        <f>data!BM203</f>
        <v>67068.576197184972</v>
      </c>
      <c r="H219" s="48">
        <f>data!BN203</f>
        <v>59279.27657850532</v>
      </c>
      <c r="I219" s="48">
        <f>data!BO203</f>
        <v>49696.963398223525</v>
      </c>
      <c r="J219" s="48">
        <f>data!BP203</f>
        <v>38791.224249135317</v>
      </c>
      <c r="K219" s="48">
        <f>data!BQ203</f>
        <v>26740.739265722521</v>
      </c>
      <c r="L219" s="48">
        <f>data!BR203</f>
        <v>13742.146861858857</v>
      </c>
      <c r="M219" s="48">
        <f>data!BS203</f>
        <v>0</v>
      </c>
    </row>
    <row r="220" spans="2:13" x14ac:dyDescent="0.2">
      <c r="B220" s="4" t="s">
        <v>237</v>
      </c>
      <c r="C220" s="48">
        <f>data!BI204</f>
        <v>0</v>
      </c>
      <c r="D220" s="48">
        <f>data!BJ204</f>
        <v>0</v>
      </c>
      <c r="E220" s="48">
        <f>data!BK204</f>
        <v>0</v>
      </c>
      <c r="F220" s="48">
        <f>data!BL204</f>
        <v>72003.297625379055</v>
      </c>
      <c r="G220" s="48">
        <f>data!BM204</f>
        <v>65955.361990060206</v>
      </c>
      <c r="H220" s="48">
        <f>data!BN204</f>
        <v>58383.20997260532</v>
      </c>
      <c r="I220" s="48">
        <f>data!BO204</f>
        <v>49011.254257221815</v>
      </c>
      <c r="J220" s="48">
        <f>data!BP204</f>
        <v>38299.372430915399</v>
      </c>
      <c r="K220" s="48">
        <f>data!BQ204</f>
        <v>26427.240365415506</v>
      </c>
      <c r="L220" s="48">
        <f>data!BR204</f>
        <v>13592.349401130408</v>
      </c>
      <c r="M220" s="48">
        <f>data!BS204</f>
        <v>0</v>
      </c>
    </row>
    <row r="221" spans="2:13" x14ac:dyDescent="0.2">
      <c r="B221" s="4" t="s">
        <v>238</v>
      </c>
      <c r="C221" s="48">
        <f>data!BI205</f>
        <v>0</v>
      </c>
      <c r="D221" s="48">
        <f>data!BJ205</f>
        <v>0</v>
      </c>
      <c r="E221" s="48">
        <f>data!BK205</f>
        <v>0</v>
      </c>
      <c r="F221" s="48">
        <f>data!BL205</f>
        <v>70718.636937246541</v>
      </c>
      <c r="G221" s="48">
        <f>data!BM205</f>
        <v>64931.875169883351</v>
      </c>
      <c r="H221" s="48">
        <f>data!BN205</f>
        <v>57590.618129957395</v>
      </c>
      <c r="I221" s="48">
        <f>data!BO205</f>
        <v>48431.242232495191</v>
      </c>
      <c r="J221" s="48">
        <f>data!BP205</f>
        <v>37903.253428761702</v>
      </c>
      <c r="K221" s="48">
        <f>data!BQ205</f>
        <v>26187.827254467353</v>
      </c>
      <c r="L221" s="48">
        <f>data!BR205</f>
        <v>13484.275899261924</v>
      </c>
      <c r="M221" s="48">
        <f>data!BS205</f>
        <v>0</v>
      </c>
    </row>
    <row r="222" spans="2:13" x14ac:dyDescent="0.2">
      <c r="B222" s="4" t="s">
        <v>239</v>
      </c>
      <c r="C222" s="48">
        <f>data!BI206</f>
        <v>0</v>
      </c>
      <c r="D222" s="48">
        <f>data!BJ206</f>
        <v>0</v>
      </c>
      <c r="E222" s="48">
        <f>data!BK206</f>
        <v>0</v>
      </c>
      <c r="F222" s="48">
        <f>data!BL206</f>
        <v>69630.767083958199</v>
      </c>
      <c r="G222" s="48">
        <f>data!BM206</f>
        <v>63961.131546590404</v>
      </c>
      <c r="H222" s="48">
        <f>data!BN206</f>
        <v>56754.317099570209</v>
      </c>
      <c r="I222" s="48">
        <f>data!BO206</f>
        <v>47750.215266506479</v>
      </c>
      <c r="J222" s="48">
        <f>data!BP206</f>
        <v>37387.661710034859</v>
      </c>
      <c r="K222" s="48">
        <f>data!BQ206</f>
        <v>25843.554376279622</v>
      </c>
      <c r="L222" s="48">
        <f>data!BR206</f>
        <v>13313.116398525117</v>
      </c>
      <c r="M222" s="48">
        <f>data!BS206</f>
        <v>0</v>
      </c>
    </row>
    <row r="223" spans="2:13" x14ac:dyDescent="0.2">
      <c r="B223" s="4" t="s">
        <v>240</v>
      </c>
      <c r="C223" s="48">
        <f>data!BI207</f>
        <v>0</v>
      </c>
      <c r="D223" s="48">
        <f>data!BJ207</f>
        <v>0</v>
      </c>
      <c r="E223" s="48">
        <f>data!BK207</f>
        <v>0</v>
      </c>
      <c r="F223" s="48">
        <f>data!BL207</f>
        <v>70428.544565147371</v>
      </c>
      <c r="G223" s="48">
        <f>data!BM207</f>
        <v>64616.436748263644</v>
      </c>
      <c r="H223" s="48">
        <f>data!BN207</f>
        <v>57281.686351803233</v>
      </c>
      <c r="I223" s="48">
        <f>data!BO207</f>
        <v>48155.524093520944</v>
      </c>
      <c r="J223" s="48">
        <f>data!BP207</f>
        <v>37680.910239561519</v>
      </c>
      <c r="K223" s="48">
        <f>data!BQ207</f>
        <v>26032.852215692918</v>
      </c>
      <c r="L223" s="48">
        <f>data!BR207</f>
        <v>13405.044149390294</v>
      </c>
      <c r="M223" s="48">
        <f>data!BS207</f>
        <v>0</v>
      </c>
    </row>
    <row r="224" spans="2:13" x14ac:dyDescent="0.2">
      <c r="B224" s="4" t="s">
        <v>241</v>
      </c>
      <c r="C224" s="48">
        <f>data!BI208</f>
        <v>0</v>
      </c>
      <c r="D224" s="48">
        <f>data!BJ208</f>
        <v>0</v>
      </c>
      <c r="E224" s="48">
        <f>data!BK208</f>
        <v>0</v>
      </c>
      <c r="F224" s="48">
        <f>data!BL208</f>
        <v>70457.981007307317</v>
      </c>
      <c r="G224" s="48">
        <f>data!BM208</f>
        <v>64669.88339630398</v>
      </c>
      <c r="H224" s="48">
        <f>data!BN208</f>
        <v>57344.598641759541</v>
      </c>
      <c r="I224" s="48">
        <f>data!BO208</f>
        <v>48216.973649389736</v>
      </c>
      <c r="J224" s="48">
        <f>data!BP208</f>
        <v>37732.686000268266</v>
      </c>
      <c r="K224" s="48">
        <f>data!BQ208</f>
        <v>26069.614325402075</v>
      </c>
      <c r="L224" s="48">
        <f>data!BR208</f>
        <v>13423.884352298246</v>
      </c>
      <c r="M224" s="48">
        <f>data!BS208</f>
        <v>0</v>
      </c>
    </row>
    <row r="225" spans="2:13" x14ac:dyDescent="0.2">
      <c r="B225" s="4" t="s">
        <v>242</v>
      </c>
      <c r="C225" s="48">
        <f>data!BI209</f>
        <v>0</v>
      </c>
      <c r="D225" s="48">
        <f>data!BJ209</f>
        <v>0</v>
      </c>
      <c r="E225" s="48">
        <f>data!BK209</f>
        <v>0</v>
      </c>
      <c r="F225" s="48">
        <f>data!BL209</f>
        <v>0</v>
      </c>
      <c r="G225" s="48">
        <f>data!BM209</f>
        <v>65359.214954827796</v>
      </c>
      <c r="H225" s="48">
        <f>data!BN209</f>
        <v>58245.681316459224</v>
      </c>
      <c r="I225" s="48">
        <f>data!BO209</f>
        <v>49199.74243210721</v>
      </c>
      <c r="J225" s="48">
        <f>data!BP209</f>
        <v>38658.328994129326</v>
      </c>
      <c r="K225" s="48">
        <f>data!BQ209</f>
        <v>26806.048163268049</v>
      </c>
      <c r="L225" s="48">
        <f>data!BR209</f>
        <v>13848.096397271975</v>
      </c>
      <c r="M225" s="48">
        <f>data!BS209</f>
        <v>0</v>
      </c>
    </row>
    <row r="226" spans="2:13" x14ac:dyDescent="0.2">
      <c r="B226" s="4" t="s">
        <v>243</v>
      </c>
      <c r="C226" s="48">
        <f>data!BI210</f>
        <v>0</v>
      </c>
      <c r="D226" s="48">
        <f>data!BJ210</f>
        <v>0</v>
      </c>
      <c r="E226" s="48">
        <f>data!BK210</f>
        <v>0</v>
      </c>
      <c r="F226" s="48">
        <f>data!BL210</f>
        <v>0</v>
      </c>
      <c r="G226" s="48">
        <f>data!BM210</f>
        <v>60474.058275007897</v>
      </c>
      <c r="H226" s="48">
        <f>data!BN210</f>
        <v>54202.071391459242</v>
      </c>
      <c r="I226" s="48">
        <f>data!BO210</f>
        <v>46029.95906137221</v>
      </c>
      <c r="J226" s="48">
        <f>data!BP210</f>
        <v>36341.436065035639</v>
      </c>
      <c r="K226" s="48">
        <f>data!BQ210</f>
        <v>25308.528255907237</v>
      </c>
      <c r="L226" s="48">
        <f>data!BR210</f>
        <v>13125.72724934916</v>
      </c>
      <c r="M226" s="48">
        <f>data!BS210</f>
        <v>0</v>
      </c>
    </row>
    <row r="227" spans="2:13" x14ac:dyDescent="0.2">
      <c r="B227" s="4" t="s">
        <v>244</v>
      </c>
      <c r="C227" s="48">
        <f>data!BI211</f>
        <v>0</v>
      </c>
      <c r="D227" s="48">
        <f>data!BJ211</f>
        <v>0</v>
      </c>
      <c r="E227" s="48">
        <f>data!BK211</f>
        <v>0</v>
      </c>
      <c r="F227" s="48">
        <f>data!BL211</f>
        <v>0</v>
      </c>
      <c r="G227" s="48">
        <f>data!BM211</f>
        <v>57747.33685994293</v>
      </c>
      <c r="H227" s="48">
        <f>data!BN211</f>
        <v>51968.690647359661</v>
      </c>
      <c r="I227" s="48">
        <f>data!BO211</f>
        <v>44298.923262613251</v>
      </c>
      <c r="J227" s="48">
        <f>data!BP211</f>
        <v>35091.201833953113</v>
      </c>
      <c r="K227" s="48">
        <f>data!BQ211</f>
        <v>24510.535040982078</v>
      </c>
      <c r="L227" s="48">
        <f>data!BR211</f>
        <v>12745.824878757887</v>
      </c>
      <c r="M227" s="48">
        <f>data!BS211</f>
        <v>0</v>
      </c>
    </row>
    <row r="228" spans="2:13" x14ac:dyDescent="0.2">
      <c r="B228" s="4" t="s">
        <v>245</v>
      </c>
      <c r="C228" s="48">
        <f>data!BI212</f>
        <v>0</v>
      </c>
      <c r="D228" s="48">
        <f>data!BJ212</f>
        <v>0</v>
      </c>
      <c r="E228" s="48">
        <f>data!BK212</f>
        <v>0</v>
      </c>
      <c r="F228" s="48">
        <f>data!BL212</f>
        <v>0</v>
      </c>
      <c r="G228" s="48">
        <f>data!BM212</f>
        <v>55031.019941013656</v>
      </c>
      <c r="H228" s="48">
        <f>data!BN212</f>
        <v>49697.526701841671</v>
      </c>
      <c r="I228" s="48">
        <f>data!BO212</f>
        <v>42504.010835284054</v>
      </c>
      <c r="J228" s="48">
        <f>data!BP212</f>
        <v>33771.779430875024</v>
      </c>
      <c r="K228" s="48">
        <f>data!BQ212</f>
        <v>23654.77902536171</v>
      </c>
      <c r="L228" s="48">
        <f>data!BR212</f>
        <v>12332.431570326369</v>
      </c>
      <c r="M228" s="48">
        <f>data!BS212</f>
        <v>0</v>
      </c>
    </row>
    <row r="229" spans="2:13" x14ac:dyDescent="0.2">
      <c r="B229" s="4" t="s">
        <v>246</v>
      </c>
      <c r="C229" s="48">
        <f>data!BI213</f>
        <v>0</v>
      </c>
      <c r="D229" s="48">
        <f>data!BJ213</f>
        <v>0</v>
      </c>
      <c r="E229" s="48">
        <f>data!BK213</f>
        <v>0</v>
      </c>
      <c r="F229" s="48">
        <f>data!BL213</f>
        <v>0</v>
      </c>
      <c r="G229" s="48">
        <f>data!BM213</f>
        <v>54165.033795307419</v>
      </c>
      <c r="H229" s="48">
        <f>data!BN213</f>
        <v>48929.941074971051</v>
      </c>
      <c r="I229" s="48">
        <f>data!BO213</f>
        <v>41861.790101618259</v>
      </c>
      <c r="J229" s="48">
        <f>data!BP213</f>
        <v>33273.489411854011</v>
      </c>
      <c r="K229" s="48">
        <f>data!BQ213</f>
        <v>23314.504908323972</v>
      </c>
      <c r="L229" s="48">
        <f>data!BR213</f>
        <v>12159.723856596178</v>
      </c>
      <c r="M229" s="48">
        <f>data!BS213</f>
        <v>0</v>
      </c>
    </row>
    <row r="230" spans="2:13" x14ac:dyDescent="0.2">
      <c r="B230" s="4" t="s">
        <v>247</v>
      </c>
      <c r="C230" s="48">
        <f>data!BI214</f>
        <v>0</v>
      </c>
      <c r="D230" s="48">
        <f>data!BJ214</f>
        <v>0</v>
      </c>
      <c r="E230" s="48">
        <f>data!BK214</f>
        <v>0</v>
      </c>
      <c r="F230" s="48">
        <f>data!BL214</f>
        <v>0</v>
      </c>
      <c r="G230" s="48">
        <f>data!BM214</f>
        <v>51926.903441369112</v>
      </c>
      <c r="H230" s="48">
        <f>data!BN214</f>
        <v>47025.011985470992</v>
      </c>
      <c r="I230" s="48">
        <f>data!BO214</f>
        <v>40329.754683064457</v>
      </c>
      <c r="J230" s="48">
        <f>data!BP214</f>
        <v>32128.453561051141</v>
      </c>
      <c r="K230" s="48">
        <f>data!BQ214</f>
        <v>22559.954408754431</v>
      </c>
      <c r="L230" s="48">
        <f>data!BR214</f>
        <v>11789.592612765602</v>
      </c>
      <c r="M230" s="48">
        <f>data!BS214</f>
        <v>0</v>
      </c>
    </row>
    <row r="231" spans="2:13" x14ac:dyDescent="0.2">
      <c r="B231" s="4" t="s">
        <v>248</v>
      </c>
      <c r="C231" s="48">
        <f>data!BI215</f>
        <v>0</v>
      </c>
      <c r="D231" s="48">
        <f>data!BJ215</f>
        <v>0</v>
      </c>
      <c r="E231" s="48">
        <f>data!BK215</f>
        <v>0</v>
      </c>
      <c r="F231" s="48">
        <f>data!BL215</f>
        <v>0</v>
      </c>
      <c r="G231" s="48">
        <f>data!BM215</f>
        <v>56009.193929679845</v>
      </c>
      <c r="H231" s="48">
        <f>data!BN215</f>
        <v>50431.481795520747</v>
      </c>
      <c r="I231" s="48">
        <f>data!BO215</f>
        <v>43023.14782056454</v>
      </c>
      <c r="J231" s="48">
        <f>data!BP215</f>
        <v>34113.675869985018</v>
      </c>
      <c r="K231" s="48">
        <f>data!BQ215</f>
        <v>23853.61427521822</v>
      </c>
      <c r="L231" s="48">
        <f>data!BR215</f>
        <v>12418.613007083639</v>
      </c>
      <c r="M231" s="48">
        <f>data!BS215</f>
        <v>0</v>
      </c>
    </row>
    <row r="232" spans="2:13" x14ac:dyDescent="0.2">
      <c r="B232" s="4" t="s">
        <v>249</v>
      </c>
      <c r="C232" s="48">
        <f>data!BI216</f>
        <v>0</v>
      </c>
      <c r="D232" s="48">
        <f>data!BJ216</f>
        <v>0</v>
      </c>
      <c r="E232" s="48">
        <f>data!BK216</f>
        <v>0</v>
      </c>
      <c r="F232" s="48">
        <f>data!BL216</f>
        <v>0</v>
      </c>
      <c r="G232" s="48">
        <f>data!BM216</f>
        <v>55920.214787262717</v>
      </c>
      <c r="H232" s="48">
        <f>data!BN216</f>
        <v>50349.713004848767</v>
      </c>
      <c r="I232" s="48">
        <f>data!BO216</f>
        <v>42953.761191808633</v>
      </c>
      <c r="J232" s="48">
        <f>data!BP216</f>
        <v>34060.030931209738</v>
      </c>
      <c r="K232" s="48">
        <f>data!BQ216</f>
        <v>23817.616777521398</v>
      </c>
      <c r="L232" s="48">
        <f>data!BR216</f>
        <v>12400.863627313818</v>
      </c>
      <c r="M232" s="48">
        <f>data!BS216</f>
        <v>0</v>
      </c>
    </row>
    <row r="233" spans="2:13" x14ac:dyDescent="0.2">
      <c r="B233" s="4" t="s">
        <v>250</v>
      </c>
      <c r="C233" s="48">
        <f>data!BI217</f>
        <v>0</v>
      </c>
      <c r="D233" s="48">
        <f>data!BJ217</f>
        <v>0</v>
      </c>
      <c r="E233" s="48">
        <f>data!BK217</f>
        <v>0</v>
      </c>
      <c r="F233" s="48">
        <f>data!BL217</f>
        <v>0</v>
      </c>
      <c r="G233" s="48">
        <f>data!BM217</f>
        <v>57277.659771495979</v>
      </c>
      <c r="H233" s="48">
        <f>data!BN217</f>
        <v>51451.96094422054</v>
      </c>
      <c r="I233" s="48">
        <f>data!BO217</f>
        <v>43803.207570030478</v>
      </c>
      <c r="J233" s="48">
        <f>data!BP217</f>
        <v>34671.93516590233</v>
      </c>
      <c r="K233" s="48">
        <f>data!BQ217</f>
        <v>24208.321467224043</v>
      </c>
      <c r="L233" s="48">
        <f>data!BR217</f>
        <v>12587.459292903413</v>
      </c>
      <c r="M233" s="48">
        <f>data!BS217</f>
        <v>0</v>
      </c>
    </row>
    <row r="234" spans="2:13" x14ac:dyDescent="0.2">
      <c r="B234" s="4" t="s">
        <v>251</v>
      </c>
      <c r="C234" s="48">
        <f>data!BI218</f>
        <v>0</v>
      </c>
      <c r="D234" s="48">
        <f>data!BJ218</f>
        <v>0</v>
      </c>
      <c r="E234" s="48">
        <f>data!BK218</f>
        <v>0</v>
      </c>
      <c r="F234" s="48">
        <f>data!BL218</f>
        <v>0</v>
      </c>
      <c r="G234" s="48">
        <f>data!BM218</f>
        <v>55285.718451440713</v>
      </c>
      <c r="H234" s="48">
        <f>data!BN218</f>
        <v>49848.327942752498</v>
      </c>
      <c r="I234" s="48">
        <f>data!BO218</f>
        <v>42575.388641555939</v>
      </c>
      <c r="J234" s="48">
        <f>data!BP218</f>
        <v>33791.251423198657</v>
      </c>
      <c r="K234" s="48">
        <f>data!BQ218</f>
        <v>23647.248750951214</v>
      </c>
      <c r="L234" s="48">
        <f>data!BR218</f>
        <v>12319.58258250188</v>
      </c>
      <c r="M234" s="48">
        <f>data!BS218</f>
        <v>0</v>
      </c>
    </row>
    <row r="235" spans="2:13" x14ac:dyDescent="0.2">
      <c r="B235" s="4" t="s">
        <v>252</v>
      </c>
      <c r="C235" s="48">
        <f>data!BI219</f>
        <v>0</v>
      </c>
      <c r="D235" s="48">
        <f>data!BJ219</f>
        <v>0</v>
      </c>
      <c r="E235" s="48">
        <f>data!BK219</f>
        <v>0</v>
      </c>
      <c r="F235" s="48">
        <f>data!BL219</f>
        <v>0</v>
      </c>
      <c r="G235" s="48">
        <f>data!BM219</f>
        <v>58083.158805893196</v>
      </c>
      <c r="H235" s="48">
        <f>data!BN219</f>
        <v>52193.975691449792</v>
      </c>
      <c r="I235" s="48">
        <f>data!BO219</f>
        <v>44435.306509151182</v>
      </c>
      <c r="J235" s="48">
        <f>data!BP219</f>
        <v>35163.592955328888</v>
      </c>
      <c r="K235" s="48">
        <f>data!BQ219</f>
        <v>24541.077058341518</v>
      </c>
      <c r="L235" s="48">
        <f>data!BR219</f>
        <v>12753.379664455928</v>
      </c>
      <c r="M235" s="48">
        <f>data!BS219</f>
        <v>0</v>
      </c>
    </row>
    <row r="236" spans="2:13" x14ac:dyDescent="0.2">
      <c r="B236" s="4" t="s">
        <v>253</v>
      </c>
      <c r="C236" s="48">
        <f>data!BI220</f>
        <v>0</v>
      </c>
      <c r="D236" s="48">
        <f>data!BJ220</f>
        <v>0</v>
      </c>
      <c r="E236" s="48">
        <f>data!BK220</f>
        <v>0</v>
      </c>
      <c r="F236" s="48">
        <f>data!BL220</f>
        <v>0</v>
      </c>
      <c r="G236" s="48">
        <f>data!BM220</f>
        <v>54876.173178047182</v>
      </c>
      <c r="H236" s="48">
        <f>data!BN220</f>
        <v>49656.264647703378</v>
      </c>
      <c r="I236" s="48">
        <f>data!BO220</f>
        <v>42532.712745709883</v>
      </c>
      <c r="J236" s="48">
        <f>data!BP220</f>
        <v>33831.365778362822</v>
      </c>
      <c r="K236" s="48">
        <f>data!BQ220</f>
        <v>23714.883723416813</v>
      </c>
      <c r="L236" s="48">
        <f>data!BR220</f>
        <v>12370.407121536722</v>
      </c>
      <c r="M236" s="48">
        <f>data!BS220</f>
        <v>0</v>
      </c>
    </row>
    <row r="237" spans="2:13" x14ac:dyDescent="0.2">
      <c r="B237" s="4" t="s">
        <v>254</v>
      </c>
      <c r="C237" s="48">
        <f>data!BI221</f>
        <v>0</v>
      </c>
      <c r="D237" s="48">
        <f>data!BJ221</f>
        <v>0</v>
      </c>
      <c r="E237" s="48">
        <f>data!BK221</f>
        <v>0</v>
      </c>
      <c r="F237" s="48">
        <f>data!BL221</f>
        <v>0</v>
      </c>
      <c r="G237" s="48">
        <f>data!BM221</f>
        <v>53008.262031072431</v>
      </c>
      <c r="H237" s="48">
        <f>data!BN221</f>
        <v>48183.122130115982</v>
      </c>
      <c r="I237" s="48">
        <f>data!BO221</f>
        <v>41435.279320785412</v>
      </c>
      <c r="J237" s="48">
        <f>data!BP221</f>
        <v>33070.378117065389</v>
      </c>
      <c r="K237" s="48">
        <f>data!BQ221</f>
        <v>23249.190067794792</v>
      </c>
      <c r="L237" s="48">
        <f>data!BR221</f>
        <v>12158.193672376354</v>
      </c>
      <c r="M237" s="48">
        <f>data!BS221</f>
        <v>0</v>
      </c>
    </row>
    <row r="238" spans="2:13" x14ac:dyDescent="0.2">
      <c r="B238" s="4" t="s">
        <v>255</v>
      </c>
      <c r="C238" s="48">
        <f>data!BI222</f>
        <v>0</v>
      </c>
      <c r="D238" s="48">
        <f>data!BJ222</f>
        <v>0</v>
      </c>
      <c r="E238" s="48">
        <f>data!BK222</f>
        <v>0</v>
      </c>
      <c r="F238" s="48">
        <f>data!BL222</f>
        <v>0</v>
      </c>
      <c r="G238" s="48">
        <f>data!BM222</f>
        <v>53617.322325633279</v>
      </c>
      <c r="H238" s="48">
        <f>data!BN222</f>
        <v>48699.02532942011</v>
      </c>
      <c r="I238" s="48">
        <f>data!BO222</f>
        <v>41849.143657961511</v>
      </c>
      <c r="J238" s="48">
        <f>data!BP222</f>
        <v>33379.58579983667</v>
      </c>
      <c r="K238" s="48">
        <f>data!BQ222</f>
        <v>23453.272675172127</v>
      </c>
      <c r="L238" s="48">
        <f>data!BR222</f>
        <v>12258.632384125753</v>
      </c>
      <c r="M238" s="48">
        <f>data!BS222</f>
        <v>0</v>
      </c>
    </row>
    <row r="239" spans="2:13" x14ac:dyDescent="0.2">
      <c r="B239" s="4" t="s">
        <v>256</v>
      </c>
      <c r="C239" s="48">
        <f>data!BI223</f>
        <v>0</v>
      </c>
      <c r="D239" s="48">
        <f>data!BJ223</f>
        <v>0</v>
      </c>
      <c r="E239" s="48">
        <f>data!BK223</f>
        <v>0</v>
      </c>
      <c r="F239" s="48">
        <f>data!BL223</f>
        <v>0</v>
      </c>
      <c r="G239" s="48">
        <f>data!BM223</f>
        <v>54615.454647574894</v>
      </c>
      <c r="H239" s="48">
        <f>data!BN223</f>
        <v>49452.316294391494</v>
      </c>
      <c r="I239" s="48">
        <f>data!BO223</f>
        <v>42383.389672722413</v>
      </c>
      <c r="J239" s="48">
        <f>data!BP223</f>
        <v>33730.735935172401</v>
      </c>
      <c r="K239" s="48">
        <f>data!BQ223</f>
        <v>23655.87092884197</v>
      </c>
      <c r="L239" s="48">
        <f>data!BR223</f>
        <v>12345.089877459042</v>
      </c>
      <c r="M239" s="48">
        <f>data!BS223</f>
        <v>0</v>
      </c>
    </row>
    <row r="240" spans="2:13" x14ac:dyDescent="0.2">
      <c r="B240" s="4" t="s">
        <v>257</v>
      </c>
      <c r="C240" s="48">
        <f>data!BI224</f>
        <v>0</v>
      </c>
      <c r="D240" s="48">
        <f>data!BJ224</f>
        <v>0</v>
      </c>
      <c r="E240" s="48">
        <f>data!BK224</f>
        <v>0</v>
      </c>
      <c r="F240" s="48">
        <f>data!BL224</f>
        <v>0</v>
      </c>
      <c r="G240" s="48">
        <f>data!BM224</f>
        <v>54456.839736703609</v>
      </c>
      <c r="H240" s="48">
        <f>data!BN224</f>
        <v>49320.465960503221</v>
      </c>
      <c r="I240" s="48">
        <f>data!BO224</f>
        <v>42283.862336761282</v>
      </c>
      <c r="J240" s="48">
        <f>data!BP224</f>
        <v>33663.731381438294</v>
      </c>
      <c r="K240" s="48">
        <f>data!BQ224</f>
        <v>23618.01564615083</v>
      </c>
      <c r="L240" s="48">
        <f>data!BR224</f>
        <v>12330.219946411136</v>
      </c>
      <c r="M240" s="48">
        <f>data!BS224</f>
        <v>0</v>
      </c>
    </row>
    <row r="241" spans="2:13" x14ac:dyDescent="0.2">
      <c r="B241" s="4" t="s">
        <v>258</v>
      </c>
      <c r="C241" s="48">
        <f>data!BI225</f>
        <v>0</v>
      </c>
      <c r="D241" s="48">
        <f>data!BJ225</f>
        <v>0</v>
      </c>
      <c r="E241" s="48">
        <f>data!BK225</f>
        <v>0</v>
      </c>
      <c r="F241" s="48">
        <f>data!BL225</f>
        <v>0</v>
      </c>
      <c r="G241" s="48">
        <f>data!BM225</f>
        <v>54333.042292533537</v>
      </c>
      <c r="H241" s="48">
        <f>data!BN225</f>
        <v>49201.62248580587</v>
      </c>
      <c r="I241" s="48">
        <f>data!BO225</f>
        <v>42182.05570919517</v>
      </c>
      <c r="J241" s="48">
        <f>data!BP225</f>
        <v>33586.185395854103</v>
      </c>
      <c r="K241" s="48">
        <f>data!BQ225</f>
        <v>23567.754820595874</v>
      </c>
      <c r="L241" s="48">
        <f>data!BR225</f>
        <v>12306.735031399243</v>
      </c>
      <c r="M241" s="48">
        <f>data!BS225</f>
        <v>0</v>
      </c>
    </row>
    <row r="242" spans="2:13" x14ac:dyDescent="0.2">
      <c r="B242" s="4" t="s">
        <v>259</v>
      </c>
      <c r="C242" s="48">
        <f>data!BI226</f>
        <v>0</v>
      </c>
      <c r="D242" s="48">
        <f>data!BJ226</f>
        <v>0</v>
      </c>
      <c r="E242" s="48">
        <f>data!BK226</f>
        <v>0</v>
      </c>
      <c r="F242" s="48">
        <f>data!BL226</f>
        <v>0</v>
      </c>
      <c r="G242" s="48">
        <f>data!BM226</f>
        <v>53049.499508311543</v>
      </c>
      <c r="H242" s="48">
        <f>data!BN226</f>
        <v>48138.891091817219</v>
      </c>
      <c r="I242" s="48">
        <f>data!BO226</f>
        <v>41351.272800500701</v>
      </c>
      <c r="J242" s="48">
        <f>data!BP226</f>
        <v>32982.692488587658</v>
      </c>
      <c r="K242" s="48">
        <f>data!BQ226</f>
        <v>23181.356319640458</v>
      </c>
      <c r="L242" s="48">
        <f>data!BR226</f>
        <v>12122.664401659234</v>
      </c>
      <c r="M242" s="48">
        <f>data!BS226</f>
        <v>0</v>
      </c>
    </row>
    <row r="243" spans="2:13" x14ac:dyDescent="0.2">
      <c r="B243" s="4" t="s">
        <v>260</v>
      </c>
      <c r="C243" s="48">
        <f>data!BI227</f>
        <v>0</v>
      </c>
      <c r="D243" s="48">
        <f>data!BJ227</f>
        <v>0</v>
      </c>
      <c r="E243" s="48">
        <f>data!BK227</f>
        <v>0</v>
      </c>
      <c r="F243" s="48">
        <f>data!BL227</f>
        <v>0</v>
      </c>
      <c r="G243" s="48">
        <f>data!BM227</f>
        <v>52552.15199587091</v>
      </c>
      <c r="H243" s="48">
        <f>data!BN227</f>
        <v>47722.250432794026</v>
      </c>
      <c r="I243" s="48">
        <f>data!BO227</f>
        <v>41023.91489720509</v>
      </c>
      <c r="J243" s="48">
        <f>data!BP227</f>
        <v>32745.247530748395</v>
      </c>
      <c r="K243" s="48">
        <f>data!BQ227</f>
        <v>23030.486346606558</v>
      </c>
      <c r="L243" s="48">
        <f>data!BR227</f>
        <v>12051.768126992672</v>
      </c>
      <c r="M243" s="48">
        <f>data!BS227</f>
        <v>0</v>
      </c>
    </row>
    <row r="244" spans="2:13" x14ac:dyDescent="0.2">
      <c r="B244" s="4" t="s">
        <v>261</v>
      </c>
      <c r="C244" s="48">
        <f>data!BI228</f>
        <v>0</v>
      </c>
      <c r="D244" s="48">
        <f>data!BJ228</f>
        <v>0</v>
      </c>
      <c r="E244" s="48">
        <f>data!BK228</f>
        <v>0</v>
      </c>
      <c r="F244" s="48">
        <f>data!BL228</f>
        <v>0</v>
      </c>
      <c r="G244" s="48">
        <f>data!BM228</f>
        <v>52688.886879482387</v>
      </c>
      <c r="H244" s="48">
        <f>data!BN228</f>
        <v>47806.039843441074</v>
      </c>
      <c r="I244" s="48">
        <f>data!BO228</f>
        <v>41068.885163067585</v>
      </c>
      <c r="J244" s="48">
        <f>data!BP228</f>
        <v>32765.091059054845</v>
      </c>
      <c r="K244" s="48">
        <f>data!BQ228</f>
        <v>23036.149592636255</v>
      </c>
      <c r="L244" s="48">
        <f>data!BR228</f>
        <v>12051.602075992058</v>
      </c>
      <c r="M244" s="48">
        <f>data!BS228</f>
        <v>0</v>
      </c>
    </row>
    <row r="245" spans="2:13" x14ac:dyDescent="0.2">
      <c r="B245" s="4" t="s">
        <v>262</v>
      </c>
      <c r="C245" s="48">
        <f>data!BI229</f>
        <v>0</v>
      </c>
      <c r="D245" s="48">
        <f>data!BJ229</f>
        <v>0</v>
      </c>
      <c r="E245" s="48">
        <f>data!BK229</f>
        <v>0</v>
      </c>
      <c r="F245" s="48">
        <f>data!BL229</f>
        <v>0</v>
      </c>
      <c r="G245" s="48">
        <f>data!BM229</f>
        <v>53898.365203035508</v>
      </c>
      <c r="H245" s="48">
        <f>data!BN229</f>
        <v>48811.805548634431</v>
      </c>
      <c r="I245" s="48">
        <f>data!BO229</f>
        <v>41859.636625966778</v>
      </c>
      <c r="J245" s="48">
        <f>data!BP229</f>
        <v>33343.532279860723</v>
      </c>
      <c r="K245" s="48">
        <f>data!BQ229</f>
        <v>23409.59409644713</v>
      </c>
      <c r="L245" s="48">
        <f>data!BR229</f>
        <v>12231.217788991953</v>
      </c>
      <c r="M245" s="48">
        <f>data!BS229</f>
        <v>0</v>
      </c>
    </row>
    <row r="246" spans="2:13" x14ac:dyDescent="0.2">
      <c r="B246" s="4" t="s">
        <v>263</v>
      </c>
      <c r="C246" s="48">
        <f>data!BI230</f>
        <v>0</v>
      </c>
      <c r="D246" s="48">
        <f>data!BJ230</f>
        <v>0</v>
      </c>
      <c r="E246" s="48">
        <f>data!BK230</f>
        <v>0</v>
      </c>
      <c r="F246" s="48">
        <f>data!BL230</f>
        <v>0</v>
      </c>
      <c r="G246" s="48">
        <f>data!BM230</f>
        <v>51886.366895139734</v>
      </c>
      <c r="H246" s="48">
        <f>data!BN230</f>
        <v>47130.306130550634</v>
      </c>
      <c r="I246" s="48">
        <f>data!BO230</f>
        <v>40529.6608877486</v>
      </c>
      <c r="J246" s="48">
        <f>data!BP230</f>
        <v>32364.178980300952</v>
      </c>
      <c r="K246" s="48">
        <f>data!BQ230</f>
        <v>22772.789995250081</v>
      </c>
      <c r="L246" s="48">
        <f>data!BR230</f>
        <v>11922.604129113077</v>
      </c>
      <c r="M246" s="48">
        <f>data!BS230</f>
        <v>0</v>
      </c>
    </row>
    <row r="247" spans="2:13" x14ac:dyDescent="0.2">
      <c r="B247" s="4" t="s">
        <v>264</v>
      </c>
      <c r="C247" s="48">
        <f>data!BI231</f>
        <v>0</v>
      </c>
      <c r="D247" s="48">
        <f>data!BJ231</f>
        <v>0</v>
      </c>
      <c r="E247" s="48">
        <f>data!BK231</f>
        <v>0</v>
      </c>
      <c r="F247" s="48">
        <f>data!BL231</f>
        <v>0</v>
      </c>
      <c r="G247" s="48">
        <f>data!BM231</f>
        <v>51468.498906424975</v>
      </c>
      <c r="H247" s="48">
        <f>data!BN231</f>
        <v>46769.228779882644</v>
      </c>
      <c r="I247" s="48">
        <f>data!BO231</f>
        <v>40233.831307990498</v>
      </c>
      <c r="J247" s="48">
        <f>data!BP231</f>
        <v>32138.476811126806</v>
      </c>
      <c r="K247" s="48">
        <f>data!BQ231</f>
        <v>22620.731986920582</v>
      </c>
      <c r="L247" s="48">
        <f>data!BR231</f>
        <v>11846.262473092398</v>
      </c>
      <c r="M247" s="48">
        <f>data!BS231</f>
        <v>0</v>
      </c>
    </row>
    <row r="248" spans="2:13" x14ac:dyDescent="0.2">
      <c r="B248" s="4" t="s">
        <v>265</v>
      </c>
      <c r="C248" s="48">
        <f>data!BI232</f>
        <v>0</v>
      </c>
      <c r="D248" s="48">
        <f>data!BJ232</f>
        <v>0</v>
      </c>
      <c r="E248" s="48">
        <f>data!BK232</f>
        <v>0</v>
      </c>
      <c r="F248" s="48">
        <f>data!BL232</f>
        <v>0</v>
      </c>
      <c r="G248" s="48">
        <f>data!BM232</f>
        <v>49781.539662036048</v>
      </c>
      <c r="H248" s="48">
        <f>data!BN232</f>
        <v>45348.266789799221</v>
      </c>
      <c r="I248" s="48">
        <f>data!BO232</f>
        <v>39102.28890706136</v>
      </c>
      <c r="J248" s="48">
        <f>data!BP232</f>
        <v>31300.655552336451</v>
      </c>
      <c r="K248" s="48">
        <f>data!BQ232</f>
        <v>22073.568088340755</v>
      </c>
      <c r="L248" s="48">
        <f>data!BR232</f>
        <v>11580.190634932806</v>
      </c>
      <c r="M248" s="48">
        <f>data!BS232</f>
        <v>0</v>
      </c>
    </row>
    <row r="249" spans="2:13" x14ac:dyDescent="0.2">
      <c r="B249" s="4" t="s">
        <v>266</v>
      </c>
      <c r="C249" s="48">
        <f>data!BI233</f>
        <v>0</v>
      </c>
      <c r="D249" s="48">
        <f>data!BJ233</f>
        <v>0</v>
      </c>
      <c r="E249" s="48">
        <f>data!BK233</f>
        <v>0</v>
      </c>
      <c r="F249" s="48">
        <f>data!BL233</f>
        <v>0</v>
      </c>
      <c r="G249" s="48">
        <f>data!BM233</f>
        <v>49287.854092977366</v>
      </c>
      <c r="H249" s="48">
        <f>data!BN233</f>
        <v>45035.984303099649</v>
      </c>
      <c r="I249" s="48">
        <f>data!BO233</f>
        <v>38926.387064318398</v>
      </c>
      <c r="J249" s="48">
        <f>data!BP233</f>
        <v>31216.464920583923</v>
      </c>
      <c r="K249" s="48">
        <f>data!BQ233</f>
        <v>22044.347369849926</v>
      </c>
      <c r="L249" s="48">
        <f>data!BR233</f>
        <v>11576.715980516581</v>
      </c>
      <c r="M249" s="48">
        <f>data!BS233</f>
        <v>0</v>
      </c>
    </row>
    <row r="250" spans="2:13" x14ac:dyDescent="0.2">
      <c r="B250" s="4" t="s">
        <v>267</v>
      </c>
      <c r="C250" s="48">
        <f>data!BI234</f>
        <v>0</v>
      </c>
      <c r="D250" s="48">
        <f>data!BJ234</f>
        <v>0</v>
      </c>
      <c r="E250" s="48">
        <f>data!BK234</f>
        <v>0</v>
      </c>
      <c r="F250" s="48">
        <f>data!BL234</f>
        <v>0</v>
      </c>
      <c r="G250" s="48">
        <f>data!BM234</f>
        <v>48950.214288996205</v>
      </c>
      <c r="H250" s="48">
        <f>data!BN234</f>
        <v>44840.080439514808</v>
      </c>
      <c r="I250" s="48">
        <f>data!BO234</f>
        <v>38829.504999131401</v>
      </c>
      <c r="J250" s="48">
        <f>data!BP234</f>
        <v>31179.831191254198</v>
      </c>
      <c r="K250" s="48">
        <f>data!BQ234</f>
        <v>22038.51303024112</v>
      </c>
      <c r="L250" s="48">
        <f>data!BR234</f>
        <v>11580.645309661028</v>
      </c>
      <c r="M250" s="48">
        <f>data!BS234</f>
        <v>0</v>
      </c>
    </row>
    <row r="251" spans="2:13" x14ac:dyDescent="0.2">
      <c r="B251" s="4" t="s">
        <v>268</v>
      </c>
      <c r="C251" s="48">
        <f>data!BI235</f>
        <v>0</v>
      </c>
      <c r="D251" s="48">
        <f>data!BJ235</f>
        <v>0</v>
      </c>
      <c r="E251" s="48">
        <f>data!BK235</f>
        <v>0</v>
      </c>
      <c r="F251" s="48">
        <f>data!BL235</f>
        <v>0</v>
      </c>
      <c r="G251" s="48">
        <f>data!BM235</f>
        <v>51723.754755422924</v>
      </c>
      <c r="H251" s="48">
        <f>data!BN235</f>
        <v>47022.128723315123</v>
      </c>
      <c r="I251" s="48">
        <f>data!BO235</f>
        <v>40460.286924641565</v>
      </c>
      <c r="J251" s="48">
        <f>data!BP235</f>
        <v>32320.965315617508</v>
      </c>
      <c r="K251" s="48">
        <f>data!BQ235</f>
        <v>22747.568974052861</v>
      </c>
      <c r="L251" s="48">
        <f>data!BR235</f>
        <v>11910.834655296003</v>
      </c>
      <c r="M251" s="48">
        <f>data!BS235</f>
        <v>0</v>
      </c>
    </row>
    <row r="252" spans="2:13" x14ac:dyDescent="0.2">
      <c r="B252" s="4" t="s">
        <v>269</v>
      </c>
      <c r="C252" s="48">
        <f>data!BI236</f>
        <v>0</v>
      </c>
      <c r="D252" s="48">
        <f>data!BJ236</f>
        <v>0</v>
      </c>
      <c r="E252" s="48">
        <f>data!BK236</f>
        <v>0</v>
      </c>
      <c r="F252" s="48">
        <f>data!BL236</f>
        <v>0</v>
      </c>
      <c r="G252" s="48">
        <f>data!BM236</f>
        <v>53133.284117948679</v>
      </c>
      <c r="H252" s="48">
        <f>data!BN236</f>
        <v>48229.555115582843</v>
      </c>
      <c r="I252" s="48">
        <f>data!BO236</f>
        <v>41438.438591670667</v>
      </c>
      <c r="J252" s="48">
        <f>data!BP236</f>
        <v>33057.734552003123</v>
      </c>
      <c r="K252" s="48">
        <f>data!BQ236</f>
        <v>23237.097886570311</v>
      </c>
      <c r="L252" s="48">
        <f>data!BR236</f>
        <v>12153.047289892673</v>
      </c>
      <c r="M252" s="48">
        <f>data!BS236</f>
        <v>0</v>
      </c>
    </row>
    <row r="253" spans="2:13" x14ac:dyDescent="0.2">
      <c r="B253" s="4" t="s">
        <v>270</v>
      </c>
      <c r="C253" s="48">
        <f>data!BI237</f>
        <v>0</v>
      </c>
      <c r="D253" s="48">
        <f>data!BJ237</f>
        <v>0</v>
      </c>
      <c r="E253" s="48">
        <f>data!BK237</f>
        <v>0</v>
      </c>
      <c r="F253" s="48">
        <f>data!BL237</f>
        <v>0</v>
      </c>
      <c r="G253" s="48">
        <f>data!BM237</f>
        <v>53332.945780838731</v>
      </c>
      <c r="H253" s="48">
        <f>data!BN237</f>
        <v>48473.164275107447</v>
      </c>
      <c r="I253" s="48">
        <f>data!BO237</f>
        <v>41686.94408562623</v>
      </c>
      <c r="J253" s="48">
        <f>data!BP237</f>
        <v>33277.335832046389</v>
      </c>
      <c r="K253" s="48">
        <f>data!BQ237</f>
        <v>23401.176181072085</v>
      </c>
      <c r="L253" s="48">
        <f>data!BR237</f>
        <v>12241.816705165722</v>
      </c>
      <c r="M253" s="48">
        <f>data!BS237</f>
        <v>0</v>
      </c>
    </row>
    <row r="254" spans="2:13" x14ac:dyDescent="0.2">
      <c r="B254" s="4" t="s">
        <v>271</v>
      </c>
      <c r="C254" s="48">
        <f>data!BI238</f>
        <v>0</v>
      </c>
      <c r="D254" s="48">
        <f>data!BJ238</f>
        <v>0</v>
      </c>
      <c r="E254" s="48">
        <f>data!BK238</f>
        <v>0</v>
      </c>
      <c r="F254" s="48">
        <f>data!BL238</f>
        <v>0</v>
      </c>
      <c r="G254" s="48">
        <f>data!BM238</f>
        <v>53349.891807241664</v>
      </c>
      <c r="H254" s="48">
        <f>data!BN238</f>
        <v>48405.824874300692</v>
      </c>
      <c r="I254" s="48">
        <f>data!BO238</f>
        <v>41572.629251464314</v>
      </c>
      <c r="J254" s="48">
        <f>data!BP238</f>
        <v>33151.896710762841</v>
      </c>
      <c r="K254" s="48">
        <f>data!BQ238</f>
        <v>23294.865442544433</v>
      </c>
      <c r="L254" s="48">
        <f>data!BR238</f>
        <v>12179.186151834447</v>
      </c>
      <c r="M254" s="48">
        <f>data!BS238</f>
        <v>0</v>
      </c>
    </row>
    <row r="255" spans="2:13" x14ac:dyDescent="0.2">
      <c r="B255" s="4" t="s">
        <v>272</v>
      </c>
      <c r="C255" s="48">
        <f>data!BI239</f>
        <v>0</v>
      </c>
      <c r="D255" s="48">
        <f>data!BJ239</f>
        <v>0</v>
      </c>
      <c r="E255" s="48">
        <f>data!BK239</f>
        <v>0</v>
      </c>
      <c r="F255" s="48">
        <f>data!BL239</f>
        <v>0</v>
      </c>
      <c r="G255" s="48">
        <f>data!BM239</f>
        <v>53399.976341717062</v>
      </c>
      <c r="H255" s="48">
        <f>data!BN239</f>
        <v>48508.484547202446</v>
      </c>
      <c r="I255" s="48">
        <f>data!BO239</f>
        <v>41700.665870327677</v>
      </c>
      <c r="J255" s="48">
        <f>data!BP239</f>
        <v>33278.828333111393</v>
      </c>
      <c r="K255" s="48">
        <f>data!BQ239</f>
        <v>23397.636260507184</v>
      </c>
      <c r="L255" s="48">
        <f>data!BR239</f>
        <v>12238.389388061605</v>
      </c>
      <c r="M255" s="48">
        <f>data!BS239</f>
        <v>0</v>
      </c>
    </row>
    <row r="256" spans="2:13" x14ac:dyDescent="0.2">
      <c r="B256" s="4" t="s">
        <v>273</v>
      </c>
      <c r="C256" s="48">
        <f>data!BI240</f>
        <v>0</v>
      </c>
      <c r="D256" s="48">
        <f>data!BJ240</f>
        <v>0</v>
      </c>
      <c r="E256" s="48">
        <f>data!BK240</f>
        <v>0</v>
      </c>
      <c r="F256" s="48">
        <f>data!BL240</f>
        <v>0</v>
      </c>
      <c r="G256" s="48">
        <f>data!BM240</f>
        <v>54638.655270306364</v>
      </c>
      <c r="H256" s="48">
        <f>data!BN240</f>
        <v>49483.660794994576</v>
      </c>
      <c r="I256" s="48">
        <f>data!BO240</f>
        <v>42427.415699811332</v>
      </c>
      <c r="J256" s="48">
        <f>data!BP240</f>
        <v>33784.218505102501</v>
      </c>
      <c r="K256" s="48">
        <f>data!BQ240</f>
        <v>23708.63988268168</v>
      </c>
      <c r="L256" s="48">
        <f>data!BR240</f>
        <v>12381.317848920113</v>
      </c>
      <c r="M256" s="48">
        <f>data!BS240</f>
        <v>0</v>
      </c>
    </row>
    <row r="257" spans="2:13" x14ac:dyDescent="0.2">
      <c r="B257" s="4" t="s">
        <v>274</v>
      </c>
      <c r="C257" s="48">
        <f>data!BI241</f>
        <v>0</v>
      </c>
      <c r="D257" s="48">
        <f>data!BJ241</f>
        <v>0</v>
      </c>
      <c r="E257" s="48">
        <f>data!BK241</f>
        <v>0</v>
      </c>
      <c r="F257" s="48">
        <f>data!BL241</f>
        <v>0</v>
      </c>
      <c r="G257" s="48">
        <f>data!BM241</f>
        <v>54428.743333886829</v>
      </c>
      <c r="H257" s="48">
        <f>data!BN241</f>
        <v>49237.886203400383</v>
      </c>
      <c r="I257" s="48">
        <f>data!BO241</f>
        <v>42183.009554137898</v>
      </c>
      <c r="J257" s="48">
        <f>data!BP241</f>
        <v>33572.380906554972</v>
      </c>
      <c r="K257" s="48">
        <f>data!BQ241</f>
        <v>23552.998243032191</v>
      </c>
      <c r="L257" s="48">
        <f>data!BR241</f>
        <v>12298.418479825425</v>
      </c>
      <c r="M257" s="48">
        <f>data!BS241</f>
        <v>0</v>
      </c>
    </row>
    <row r="258" spans="2:13" x14ac:dyDescent="0.2">
      <c r="B258" s="4" t="s">
        <v>275</v>
      </c>
      <c r="C258" s="48">
        <f>data!BI242</f>
        <v>0</v>
      </c>
      <c r="D258" s="48">
        <f>data!BJ242</f>
        <v>0</v>
      </c>
      <c r="E258" s="48">
        <f>data!BK242</f>
        <v>0</v>
      </c>
      <c r="F258" s="48">
        <f>data!BL242</f>
        <v>0</v>
      </c>
      <c r="G258" s="48">
        <f>data!BM242</f>
        <v>52474.404525625578</v>
      </c>
      <c r="H258" s="48">
        <f>data!BN242</f>
        <v>47663.90854927132</v>
      </c>
      <c r="I258" s="48">
        <f>data!BO242</f>
        <v>40978.640994105896</v>
      </c>
      <c r="J258" s="48">
        <f>data!BP242</f>
        <v>32710.1461862422</v>
      </c>
      <c r="K258" s="48">
        <f>data!BQ242</f>
        <v>23005.374758517377</v>
      </c>
      <c r="L258" s="48">
        <f>data!BR242</f>
        <v>12038.061209026882</v>
      </c>
      <c r="M258" s="48">
        <f>data!BS242</f>
        <v>0</v>
      </c>
    </row>
    <row r="259" spans="2:13" x14ac:dyDescent="0.2">
      <c r="B259" s="4" t="s">
        <v>276</v>
      </c>
      <c r="C259" s="48">
        <f>data!BI243</f>
        <v>0</v>
      </c>
      <c r="D259" s="48">
        <f>data!BJ243</f>
        <v>0</v>
      </c>
      <c r="E259" s="48">
        <f>data!BK243</f>
        <v>0</v>
      </c>
      <c r="F259" s="48">
        <f>data!BL243</f>
        <v>0</v>
      </c>
      <c r="G259" s="48">
        <f>data!BM243</f>
        <v>48216.844213654818</v>
      </c>
      <c r="H259" s="48">
        <f>data!BN243</f>
        <v>44161.104370624351</v>
      </c>
      <c r="I259" s="48">
        <f>data!BO243</f>
        <v>38245.793024339764</v>
      </c>
      <c r="J259" s="48">
        <f>data!BP243</f>
        <v>30720.811887764539</v>
      </c>
      <c r="K259" s="48">
        <f>data!BQ243</f>
        <v>21724.148498702321</v>
      </c>
      <c r="L259" s="48">
        <f>data!BR243</f>
        <v>11421.946196807257</v>
      </c>
      <c r="M259" s="48">
        <f>data!BS243</f>
        <v>0</v>
      </c>
    </row>
    <row r="260" spans="2:13" x14ac:dyDescent="0.2">
      <c r="B260" s="4" t="s">
        <v>277</v>
      </c>
      <c r="C260" s="48">
        <f>data!BI244</f>
        <v>0</v>
      </c>
      <c r="D260" s="48">
        <f>data!BJ244</f>
        <v>0</v>
      </c>
      <c r="E260" s="48">
        <f>data!BK244</f>
        <v>0</v>
      </c>
      <c r="F260" s="48">
        <f>data!BL244</f>
        <v>0</v>
      </c>
      <c r="G260" s="48">
        <f>data!BM244</f>
        <v>49153.115700580856</v>
      </c>
      <c r="H260" s="48">
        <f>data!BN244</f>
        <v>44899.442467354231</v>
      </c>
      <c r="I260" s="48">
        <f>data!BO244</f>
        <v>38795.107589056744</v>
      </c>
      <c r="J260" s="48">
        <f>data!BP244</f>
        <v>31100.603455970777</v>
      </c>
      <c r="K260" s="48">
        <f>data!BQ244</f>
        <v>21955.486507428752</v>
      </c>
      <c r="L260" s="48">
        <f>data!BR244</f>
        <v>11526.678715709504</v>
      </c>
      <c r="M260" s="48">
        <f>data!BS244</f>
        <v>0</v>
      </c>
    </row>
    <row r="261" spans="2:13" x14ac:dyDescent="0.2">
      <c r="B261" s="4" t="s">
        <v>278</v>
      </c>
      <c r="C261" s="48">
        <f>data!BI245</f>
        <v>0</v>
      </c>
      <c r="D261" s="48">
        <f>data!BJ245</f>
        <v>0</v>
      </c>
      <c r="E261" s="48">
        <f>data!BK245</f>
        <v>0</v>
      </c>
      <c r="F261" s="48">
        <f>data!BL245</f>
        <v>0</v>
      </c>
      <c r="G261" s="48">
        <f>data!BM245</f>
        <v>48454.413109741879</v>
      </c>
      <c r="H261" s="48">
        <f>data!BN245</f>
        <v>44352.887424547873</v>
      </c>
      <c r="I261" s="48">
        <f>data!BO245</f>
        <v>38391.799361091813</v>
      </c>
      <c r="J261" s="48">
        <f>data!BP245</f>
        <v>30824.076502015305</v>
      </c>
      <c r="K261" s="48">
        <f>data!BQ245</f>
        <v>21788.516948132637</v>
      </c>
      <c r="L261" s="48">
        <f>data!BR245</f>
        <v>11451.794649270918</v>
      </c>
      <c r="M261" s="48">
        <f>data!BS245</f>
        <v>0</v>
      </c>
    </row>
    <row r="262" spans="2:13" x14ac:dyDescent="0.2">
      <c r="B262" s="4" t="s">
        <v>279</v>
      </c>
      <c r="C262" s="48">
        <f>data!BI246</f>
        <v>0</v>
      </c>
      <c r="D262" s="48">
        <f>data!BJ246</f>
        <v>0</v>
      </c>
      <c r="E262" s="48">
        <f>data!BK246</f>
        <v>0</v>
      </c>
      <c r="F262" s="48">
        <f>data!BL246</f>
        <v>0</v>
      </c>
      <c r="G262" s="48">
        <f>data!BM246</f>
        <v>48625.855159351442</v>
      </c>
      <c r="H262" s="48">
        <f>data!BN246</f>
        <v>44515.128289083572</v>
      </c>
      <c r="I262" s="48">
        <f>data!BO246</f>
        <v>38532.380299793949</v>
      </c>
      <c r="J262" s="48">
        <f>data!BP246</f>
        <v>30934.523858969809</v>
      </c>
      <c r="K262" s="48">
        <f>data!BQ246</f>
        <v>21863.652400421175</v>
      </c>
      <c r="L262" s="48">
        <f>data!BR246</f>
        <v>11489.310928400173</v>
      </c>
      <c r="M262" s="48">
        <f>data!BS246</f>
        <v>0</v>
      </c>
    </row>
    <row r="263" spans="2:13" x14ac:dyDescent="0.2">
      <c r="B263" s="4" t="s">
        <v>280</v>
      </c>
      <c r="C263" s="48">
        <f>data!BI247</f>
        <v>0</v>
      </c>
      <c r="D263" s="48">
        <f>data!BJ247</f>
        <v>0</v>
      </c>
      <c r="E263" s="48">
        <f>data!BK247</f>
        <v>0</v>
      </c>
      <c r="F263" s="48">
        <f>data!BL247</f>
        <v>0</v>
      </c>
      <c r="G263" s="48">
        <f>data!BM247</f>
        <v>49408.67069368597</v>
      </c>
      <c r="H263" s="48">
        <f>data!BN247</f>
        <v>45281.808546025728</v>
      </c>
      <c r="I263" s="48">
        <f>data!BO247</f>
        <v>39215.247091704856</v>
      </c>
      <c r="J263" s="48">
        <f>data!BP247</f>
        <v>31483.553892095748</v>
      </c>
      <c r="K263" s="48">
        <f>data!BQ247</f>
        <v>22244.930201460957</v>
      </c>
      <c r="L263" s="48">
        <f>data!BR247</f>
        <v>11683.400439129493</v>
      </c>
      <c r="M263" s="48">
        <f>data!BS247</f>
        <v>0</v>
      </c>
    </row>
    <row r="264" spans="2:13" x14ac:dyDescent="0.2">
      <c r="B264" s="4" t="s">
        <v>281</v>
      </c>
      <c r="C264" s="48">
        <f>data!BI248</f>
        <v>0</v>
      </c>
      <c r="D264" s="48">
        <f>data!BJ248</f>
        <v>0</v>
      </c>
      <c r="E264" s="48">
        <f>data!BK248</f>
        <v>0</v>
      </c>
      <c r="F264" s="48">
        <f>data!BL248</f>
        <v>0</v>
      </c>
      <c r="G264" s="48">
        <f>data!BM248</f>
        <v>50685.83914126709</v>
      </c>
      <c r="H264" s="48">
        <f>data!BN248</f>
        <v>46396.223411892242</v>
      </c>
      <c r="I264" s="48">
        <f>data!BO248</f>
        <v>40131.739756204639</v>
      </c>
      <c r="J264" s="48">
        <f>data!BP248</f>
        <v>32181.95687559263</v>
      </c>
      <c r="K264" s="48">
        <f>data!BQ248</f>
        <v>22713.095613414363</v>
      </c>
      <c r="L264" s="48">
        <f>data!BR248</f>
        <v>11916.570957010999</v>
      </c>
      <c r="M264" s="48">
        <f>data!BS248</f>
        <v>0</v>
      </c>
    </row>
    <row r="265" spans="2:13" x14ac:dyDescent="0.2">
      <c r="B265" s="4" t="s">
        <v>282</v>
      </c>
      <c r="C265" s="48">
        <f>data!BI249</f>
        <v>0</v>
      </c>
      <c r="D265" s="48">
        <f>data!BJ249</f>
        <v>0</v>
      </c>
      <c r="E265" s="48">
        <f>data!BK249</f>
        <v>0</v>
      </c>
      <c r="F265" s="48">
        <f>data!BL249</f>
        <v>0</v>
      </c>
      <c r="G265" s="48">
        <f>data!BM249</f>
        <v>50930.666765704198</v>
      </c>
      <c r="H265" s="48">
        <f>data!BN249</f>
        <v>46682.865076442758</v>
      </c>
      <c r="I265" s="48">
        <f>data!BO249</f>
        <v>40416.470648602881</v>
      </c>
      <c r="J265" s="48">
        <f>data!BP249</f>
        <v>32428.455108189155</v>
      </c>
      <c r="K265" s="48">
        <f>data!BQ249</f>
        <v>22893.994861068692</v>
      </c>
      <c r="L265" s="48">
        <f>data!BR249</f>
        <v>12012.81578459616</v>
      </c>
      <c r="M265" s="48">
        <f>data!BS249</f>
        <v>0</v>
      </c>
    </row>
    <row r="266" spans="2:13" x14ac:dyDescent="0.2">
      <c r="B266" s="4" t="s">
        <v>283</v>
      </c>
      <c r="C266" s="48">
        <f>data!BI250</f>
        <v>0</v>
      </c>
      <c r="D266" s="48">
        <f>data!BJ250</f>
        <v>0</v>
      </c>
      <c r="E266" s="48">
        <f>data!BK250</f>
        <v>0</v>
      </c>
      <c r="F266" s="48">
        <f>data!BL250</f>
        <v>0</v>
      </c>
      <c r="G266" s="48">
        <f>data!BM250</f>
        <v>57029.839587927498</v>
      </c>
      <c r="H266" s="48">
        <f>data!BN250</f>
        <v>51635.480671400372</v>
      </c>
      <c r="I266" s="48">
        <f>data!BO250</f>
        <v>44229.602083170263</v>
      </c>
      <c r="J266" s="48">
        <f>data!BP250</f>
        <v>35168.988164081878</v>
      </c>
      <c r="K266" s="48">
        <f>data!BQ250</f>
        <v>24637.576110030255</v>
      </c>
      <c r="L266" s="48">
        <f>data!BR250</f>
        <v>12841.535213051771</v>
      </c>
      <c r="M266" s="48">
        <f>data!BS250</f>
        <v>0</v>
      </c>
    </row>
    <row r="267" spans="2:13" x14ac:dyDescent="0.2">
      <c r="B267" s="4" t="s">
        <v>284</v>
      </c>
      <c r="C267" s="48">
        <f>data!BI251</f>
        <v>0</v>
      </c>
      <c r="D267" s="48">
        <f>data!BJ251</f>
        <v>0</v>
      </c>
      <c r="E267" s="48">
        <f>data!BK251</f>
        <v>0</v>
      </c>
      <c r="F267" s="48">
        <f>data!BL251</f>
        <v>0</v>
      </c>
      <c r="G267" s="48">
        <f>data!BM251</f>
        <v>61066.223298675803</v>
      </c>
      <c r="H267" s="48">
        <f>data!BN251</f>
        <v>54928.971719181427</v>
      </c>
      <c r="I267" s="48">
        <f>data!BO251</f>
        <v>46776.430927249756</v>
      </c>
      <c r="J267" s="48">
        <f>data!BP251</f>
        <v>37006.964316747384</v>
      </c>
      <c r="K267" s="48">
        <f>data!BQ251</f>
        <v>25811.479912999977</v>
      </c>
      <c r="L267" s="48">
        <f>data!BR251</f>
        <v>13401.534763855365</v>
      </c>
      <c r="M267" s="48">
        <f>data!BS251</f>
        <v>0</v>
      </c>
    </row>
    <row r="268" spans="2:13" x14ac:dyDescent="0.2">
      <c r="B268" s="4" t="s">
        <v>285</v>
      </c>
      <c r="C268" s="48">
        <f>data!BI252</f>
        <v>0</v>
      </c>
      <c r="D268" s="48">
        <f>data!BJ252</f>
        <v>0</v>
      </c>
      <c r="E268" s="48">
        <f>data!BK252</f>
        <v>0</v>
      </c>
      <c r="F268" s="48">
        <f>data!BL252</f>
        <v>0</v>
      </c>
      <c r="G268" s="48">
        <f>data!BM252</f>
        <v>60166.988291492045</v>
      </c>
      <c r="H268" s="48">
        <f>data!BN252</f>
        <v>54199.132971272011</v>
      </c>
      <c r="I268" s="48">
        <f>data!BO252</f>
        <v>46214.792730250418</v>
      </c>
      <c r="J268" s="48">
        <f>data!BP252</f>
        <v>36603.353527972336</v>
      </c>
      <c r="K268" s="48">
        <f>data!BQ252</f>
        <v>25554.641073785973</v>
      </c>
      <c r="L268" s="48">
        <f>data!BR252</f>
        <v>13279.401222991482</v>
      </c>
      <c r="M268" s="48">
        <f>data!BS252</f>
        <v>0</v>
      </c>
    </row>
    <row r="269" spans="2:13" x14ac:dyDescent="0.2">
      <c r="B269" s="4" t="s">
        <v>286</v>
      </c>
      <c r="C269" s="48">
        <f>data!BI253</f>
        <v>0</v>
      </c>
      <c r="D269" s="48">
        <f>data!BJ253</f>
        <v>0</v>
      </c>
      <c r="E269" s="48">
        <f>data!BK253</f>
        <v>0</v>
      </c>
      <c r="F269" s="48">
        <f>data!BL253</f>
        <v>0</v>
      </c>
      <c r="G269" s="48">
        <f>data!BM253</f>
        <v>60279.471817970218</v>
      </c>
      <c r="H269" s="48">
        <f>data!BN253</f>
        <v>54350.104631191731</v>
      </c>
      <c r="I269" s="48">
        <f>data!BO253</f>
        <v>46375.981850990865</v>
      </c>
      <c r="J269" s="48">
        <f>data!BP253</f>
        <v>36749.641140882173</v>
      </c>
      <c r="K269" s="48">
        <f>data!BQ253</f>
        <v>25665.929981284353</v>
      </c>
      <c r="L269" s="48">
        <f>data!BR253</f>
        <v>13340.422931860583</v>
      </c>
      <c r="M269" s="48">
        <f>data!BS253</f>
        <v>0</v>
      </c>
    </row>
    <row r="270" spans="2:13" x14ac:dyDescent="0.2">
      <c r="B270" s="4" t="s">
        <v>287</v>
      </c>
      <c r="C270" s="48">
        <f>data!BI254</f>
        <v>0</v>
      </c>
      <c r="D270" s="48">
        <f>data!BJ254</f>
        <v>0</v>
      </c>
      <c r="E270" s="48">
        <f>data!BK254</f>
        <v>0</v>
      </c>
      <c r="F270" s="48">
        <f>data!BL254</f>
        <v>0</v>
      </c>
      <c r="G270" s="48">
        <f>data!BM254</f>
        <v>60226.021557312582</v>
      </c>
      <c r="H270" s="48">
        <f>data!BN254</f>
        <v>54271.362433023904</v>
      </c>
      <c r="I270" s="48">
        <f>data!BO254</f>
        <v>46288.539802940133</v>
      </c>
      <c r="J270" s="48">
        <f>data!BP254</f>
        <v>36668.564459441943</v>
      </c>
      <c r="K270" s="48">
        <f>data!BQ254</f>
        <v>25603.412134662613</v>
      </c>
      <c r="L270" s="48">
        <f>data!BR254</f>
        <v>13305.824807229457</v>
      </c>
      <c r="M270" s="48">
        <f>data!BS254</f>
        <v>0</v>
      </c>
    </row>
    <row r="271" spans="2:13" x14ac:dyDescent="0.2">
      <c r="B271" s="4" t="s">
        <v>288</v>
      </c>
      <c r="C271" s="48">
        <f>data!BI255</f>
        <v>0</v>
      </c>
      <c r="D271" s="48">
        <f>data!BJ255</f>
        <v>0</v>
      </c>
      <c r="E271" s="48">
        <f>data!BK255</f>
        <v>0</v>
      </c>
      <c r="F271" s="48">
        <f>data!BL255</f>
        <v>0</v>
      </c>
      <c r="G271" s="48">
        <f>data!BM255</f>
        <v>61160.940148805399</v>
      </c>
      <c r="H271" s="48">
        <f>data!BN255</f>
        <v>55091.584341072899</v>
      </c>
      <c r="I271" s="48">
        <f>data!BO255</f>
        <v>46960.747440138366</v>
      </c>
      <c r="J271" s="48">
        <f>data!BP255</f>
        <v>37175.518892747605</v>
      </c>
      <c r="K271" s="48">
        <f>data!BQ255</f>
        <v>25937.830787992661</v>
      </c>
      <c r="L271" s="48">
        <f>data!BR255</f>
        <v>13468.946197018226</v>
      </c>
      <c r="M271" s="48">
        <f>data!BS255</f>
        <v>0</v>
      </c>
    </row>
    <row r="272" spans="2:13" x14ac:dyDescent="0.2">
      <c r="B272" s="4" t="s">
        <v>289</v>
      </c>
      <c r="C272" s="48">
        <f>data!BI256</f>
        <v>0</v>
      </c>
      <c r="D272" s="48">
        <f>data!BJ256</f>
        <v>0</v>
      </c>
      <c r="E272" s="48">
        <f>data!BK256</f>
        <v>0</v>
      </c>
      <c r="F272" s="48">
        <f>data!BL256</f>
        <v>0</v>
      </c>
      <c r="G272" s="48">
        <f>data!BM256</f>
        <v>59402.569274272464</v>
      </c>
      <c r="H272" s="48">
        <f>data!BN256</f>
        <v>53670.844980639777</v>
      </c>
      <c r="I272" s="48">
        <f>data!BO256</f>
        <v>45873.596928716033</v>
      </c>
      <c r="J272" s="48">
        <f>data!BP256</f>
        <v>36399.417235388042</v>
      </c>
      <c r="K272" s="48">
        <f>data!BQ256</f>
        <v>25447.651772687503</v>
      </c>
      <c r="L272" s="48">
        <f>data!BR256</f>
        <v>13237.783272522538</v>
      </c>
      <c r="M272" s="48">
        <f>data!BS256</f>
        <v>0</v>
      </c>
    </row>
    <row r="273" spans="2:13" x14ac:dyDescent="0.2">
      <c r="B273" s="4" t="s">
        <v>290</v>
      </c>
      <c r="C273" s="48">
        <f>data!BI257</f>
        <v>0</v>
      </c>
      <c r="D273" s="48">
        <f>data!BJ257</f>
        <v>0</v>
      </c>
      <c r="E273" s="48">
        <f>data!BK257</f>
        <v>0</v>
      </c>
      <c r="F273" s="48">
        <f>data!BL257</f>
        <v>0</v>
      </c>
      <c r="G273" s="48">
        <f>data!BM257</f>
        <v>62616.743571157167</v>
      </c>
      <c r="H273" s="48">
        <f>data!BN257</f>
        <v>56332.353300330302</v>
      </c>
      <c r="I273" s="48">
        <f>data!BO257</f>
        <v>47959.016731398784</v>
      </c>
      <c r="J273" s="48">
        <f>data!BP257</f>
        <v>37921.520119154935</v>
      </c>
      <c r="K273" s="48">
        <f>data!BQ257</f>
        <v>26429.187923250101</v>
      </c>
      <c r="L273" s="48">
        <f>data!BR257</f>
        <v>13709.796577650088</v>
      </c>
      <c r="M273" s="48">
        <f>data!BS257</f>
        <v>0</v>
      </c>
    </row>
    <row r="274" spans="2:13" x14ac:dyDescent="0.2">
      <c r="B274" s="4" t="s">
        <v>291</v>
      </c>
      <c r="C274" s="48">
        <f>data!BI258</f>
        <v>0</v>
      </c>
      <c r="D274" s="48">
        <f>data!BJ258</f>
        <v>0</v>
      </c>
      <c r="E274" s="48">
        <f>data!BK258</f>
        <v>0</v>
      </c>
      <c r="F274" s="48">
        <f>data!BL258</f>
        <v>0</v>
      </c>
      <c r="G274" s="48">
        <f>data!BM258</f>
        <v>59282.393983390328</v>
      </c>
      <c r="H274" s="48">
        <f>data!BN258</f>
        <v>53574.895344226621</v>
      </c>
      <c r="I274" s="48">
        <f>data!BO258</f>
        <v>45759.787830466033</v>
      </c>
      <c r="J274" s="48">
        <f>data!BP258</f>
        <v>36231.468162647368</v>
      </c>
      <c r="K274" s="48">
        <f>data!BQ258</f>
        <v>25673.737510759645</v>
      </c>
      <c r="L274" s="48">
        <f>data!BR258</f>
        <v>13358.541942810987</v>
      </c>
      <c r="M274" s="48">
        <f>data!BS258</f>
        <v>0</v>
      </c>
    </row>
    <row r="275" spans="2:13" x14ac:dyDescent="0.2">
      <c r="B275" s="4" t="s">
        <v>292</v>
      </c>
      <c r="C275" s="48">
        <f>data!BI259</f>
        <v>0</v>
      </c>
      <c r="D275" s="48">
        <f>data!BJ259</f>
        <v>0</v>
      </c>
      <c r="E275" s="48">
        <f>data!BK259</f>
        <v>0</v>
      </c>
      <c r="F275" s="48">
        <f>data!BL259</f>
        <v>0</v>
      </c>
      <c r="G275" s="48">
        <f>data!BM259</f>
        <v>0</v>
      </c>
      <c r="H275" s="48">
        <f>data!BN259</f>
        <v>56623.968949002796</v>
      </c>
      <c r="I275" s="48">
        <f>data!BO259</f>
        <v>48712.005250006419</v>
      </c>
      <c r="J275" s="48">
        <f>data!BP259</f>
        <v>38687.64543516274</v>
      </c>
      <c r="K275" s="48">
        <f>data!BQ259</f>
        <v>27074.926272905399</v>
      </c>
      <c r="L275" s="48">
        <f>data!BR259</f>
        <v>14099.316126653302</v>
      </c>
      <c r="M275" s="48">
        <f>data!BS259</f>
        <v>0</v>
      </c>
    </row>
    <row r="276" spans="2:13" x14ac:dyDescent="0.2">
      <c r="B276" s="4" t="s">
        <v>293</v>
      </c>
      <c r="C276" s="48">
        <f>data!BI260</f>
        <v>0</v>
      </c>
      <c r="D276" s="48">
        <f>data!BJ260</f>
        <v>0</v>
      </c>
      <c r="E276" s="48">
        <f>data!BK260</f>
        <v>0</v>
      </c>
      <c r="F276" s="48">
        <f>data!BL260</f>
        <v>0</v>
      </c>
      <c r="G276" s="48">
        <f>data!BM260</f>
        <v>0</v>
      </c>
      <c r="H276" s="48">
        <f>data!BN260</f>
        <v>58239.211838134324</v>
      </c>
      <c r="I276" s="48">
        <f>data!BO260</f>
        <v>49959.344989477395</v>
      </c>
      <c r="J276" s="48">
        <f>data!BP260</f>
        <v>39576.136743277551</v>
      </c>
      <c r="K276" s="48">
        <f>data!BQ260</f>
        <v>27634.835027071487</v>
      </c>
      <c r="L276" s="48">
        <f>data!BR260</f>
        <v>14362.76846882194</v>
      </c>
      <c r="M276" s="48">
        <f>data!BS260</f>
        <v>0</v>
      </c>
    </row>
    <row r="277" spans="2:13" x14ac:dyDescent="0.2">
      <c r="B277" s="4" t="s">
        <v>294</v>
      </c>
      <c r="C277" s="48">
        <f>data!BI261</f>
        <v>0</v>
      </c>
      <c r="D277" s="48">
        <f>data!BJ261</f>
        <v>0</v>
      </c>
      <c r="E277" s="48">
        <f>data!BK261</f>
        <v>0</v>
      </c>
      <c r="F277" s="48">
        <f>data!BL261</f>
        <v>0</v>
      </c>
      <c r="G277" s="48">
        <f>data!BM261</f>
        <v>0</v>
      </c>
      <c r="H277" s="48">
        <f>data!BN261</f>
        <v>61634.705758260534</v>
      </c>
      <c r="I277" s="48">
        <f>data!BO261</f>
        <v>52547.663234514301</v>
      </c>
      <c r="J277" s="48">
        <f>data!BP261</f>
        <v>41399.169302617978</v>
      </c>
      <c r="K277" s="48">
        <f>data!BQ261</f>
        <v>28773.766299014555</v>
      </c>
      <c r="L277" s="48">
        <f>data!BR261</f>
        <v>14895.427058236579</v>
      </c>
      <c r="M277" s="48">
        <f>data!BS261</f>
        <v>0</v>
      </c>
    </row>
    <row r="278" spans="2:13" x14ac:dyDescent="0.2">
      <c r="B278" s="4" t="s">
        <v>295</v>
      </c>
      <c r="C278" s="48">
        <f>data!BI262</f>
        <v>0</v>
      </c>
      <c r="D278" s="48">
        <f>data!BJ262</f>
        <v>0</v>
      </c>
      <c r="E278" s="48">
        <f>data!BK262</f>
        <v>0</v>
      </c>
      <c r="F278" s="48">
        <f>data!BL262</f>
        <v>0</v>
      </c>
      <c r="G278" s="48">
        <f>data!BM262</f>
        <v>0</v>
      </c>
      <c r="H278" s="48">
        <f>data!BN262</f>
        <v>65860.642336925346</v>
      </c>
      <c r="I278" s="48">
        <f>data!BO262</f>
        <v>55887.943598471742</v>
      </c>
      <c r="J278" s="48">
        <f>data!BP262</f>
        <v>43831.680241735208</v>
      </c>
      <c r="K278" s="48">
        <f>data!BQ262</f>
        <v>30338.768182983087</v>
      </c>
      <c r="L278" s="48">
        <f>data!BR262</f>
        <v>15646.241189963475</v>
      </c>
      <c r="M278" s="48">
        <f>data!BS262</f>
        <v>0</v>
      </c>
    </row>
    <row r="279" spans="2:13" x14ac:dyDescent="0.2">
      <c r="B279" s="4" t="s">
        <v>296</v>
      </c>
      <c r="C279" s="48">
        <f>data!BI263</f>
        <v>0</v>
      </c>
      <c r="D279" s="48">
        <f>data!BJ263</f>
        <v>0</v>
      </c>
      <c r="E279" s="48">
        <f>data!BK263</f>
        <v>0</v>
      </c>
      <c r="F279" s="48">
        <f>data!BL263</f>
        <v>0</v>
      </c>
      <c r="G279" s="48">
        <f>data!BM263</f>
        <v>0</v>
      </c>
      <c r="H279" s="48">
        <f>data!BN263</f>
        <v>69140.740192098689</v>
      </c>
      <c r="I279" s="48">
        <f>data!BO263</f>
        <v>58448.217137263549</v>
      </c>
      <c r="J279" s="48">
        <f>data!BP263</f>
        <v>45677.299617611628</v>
      </c>
      <c r="K279" s="48">
        <f>data!BQ263</f>
        <v>31517.901677806163</v>
      </c>
      <c r="L279" s="48">
        <f>data!BR263</f>
        <v>16209.643206620998</v>
      </c>
      <c r="M279" s="48">
        <f>data!BS263</f>
        <v>0</v>
      </c>
    </row>
    <row r="280" spans="2:13" x14ac:dyDescent="0.2">
      <c r="B280" s="4" t="s">
        <v>297</v>
      </c>
      <c r="C280" s="48">
        <f>data!BI264</f>
        <v>0</v>
      </c>
      <c r="D280" s="48">
        <f>data!BJ264</f>
        <v>0</v>
      </c>
      <c r="E280" s="48">
        <f>data!BK264</f>
        <v>0</v>
      </c>
      <c r="F280" s="48">
        <f>data!BL264</f>
        <v>0</v>
      </c>
      <c r="G280" s="48">
        <f>data!BM264</f>
        <v>0</v>
      </c>
      <c r="H280" s="48">
        <f>data!BN264</f>
        <v>72118.596874466341</v>
      </c>
      <c r="I280" s="48">
        <f>data!BO264</f>
        <v>60781.145325702179</v>
      </c>
      <c r="J280" s="48">
        <f>data!BP264</f>
        <v>47360.201653301374</v>
      </c>
      <c r="K280" s="48">
        <f>data!BQ264</f>
        <v>32590.940157559606</v>
      </c>
      <c r="L280" s="48">
        <f>data!BR264</f>
        <v>16720.063043851216</v>
      </c>
      <c r="M280" s="48">
        <f>data!BS264</f>
        <v>0</v>
      </c>
    </row>
    <row r="281" spans="2:13" x14ac:dyDescent="0.2">
      <c r="B281" s="4" t="s">
        <v>298</v>
      </c>
      <c r="C281" s="48">
        <f>data!BI265</f>
        <v>0</v>
      </c>
      <c r="D281" s="48">
        <f>data!BJ265</f>
        <v>0</v>
      </c>
      <c r="E281" s="48">
        <f>data!BK265</f>
        <v>0</v>
      </c>
      <c r="F281" s="48">
        <f>data!BL265</f>
        <v>0</v>
      </c>
      <c r="G281" s="48">
        <f>data!BM265</f>
        <v>0</v>
      </c>
      <c r="H281" s="48">
        <f>data!BN265</f>
        <v>69788.65499435422</v>
      </c>
      <c r="I281" s="48">
        <f>data!BO265</f>
        <v>58910.632846937529</v>
      </c>
      <c r="J281" s="48">
        <f>data!BP265</f>
        <v>45982.416595604038</v>
      </c>
      <c r="K281" s="48">
        <f>data!BQ265</f>
        <v>31697.703438000008</v>
      </c>
      <c r="L281" s="48">
        <f>data!BR265</f>
        <v>16289.659672355385</v>
      </c>
      <c r="M281" s="48">
        <f>data!BS265</f>
        <v>0</v>
      </c>
    </row>
    <row r="282" spans="2:13" x14ac:dyDescent="0.2">
      <c r="B282" s="4" t="s">
        <v>299</v>
      </c>
      <c r="C282" s="48">
        <f>data!BI266</f>
        <v>0</v>
      </c>
      <c r="D282" s="48">
        <f>data!BJ266</f>
        <v>0</v>
      </c>
      <c r="E282" s="48">
        <f>data!BK266</f>
        <v>0</v>
      </c>
      <c r="F282" s="48">
        <f>data!BL266</f>
        <v>0</v>
      </c>
      <c r="G282" s="48">
        <f>data!BM266</f>
        <v>0</v>
      </c>
      <c r="H282" s="48">
        <f>data!BN266</f>
        <v>69311.270691906553</v>
      </c>
      <c r="I282" s="48">
        <f>data!BO266</f>
        <v>58577.952488082126</v>
      </c>
      <c r="J282" s="48">
        <f>data!BP266</f>
        <v>45773.370609525795</v>
      </c>
      <c r="K282" s="48">
        <f>data!BQ266</f>
        <v>31584.036394896422</v>
      </c>
      <c r="L282" s="48">
        <f>data!BR266</f>
        <v>16244.89410800509</v>
      </c>
      <c r="M282" s="48">
        <f>data!BS266</f>
        <v>0</v>
      </c>
    </row>
    <row r="283" spans="2:13" x14ac:dyDescent="0.2">
      <c r="B283" s="4" t="s">
        <v>300</v>
      </c>
      <c r="C283" s="48">
        <f>data!BI267</f>
        <v>0</v>
      </c>
      <c r="D283" s="48">
        <f>data!BJ267</f>
        <v>0</v>
      </c>
      <c r="E283" s="48">
        <f>data!BK267</f>
        <v>0</v>
      </c>
      <c r="F283" s="48">
        <f>data!BL267</f>
        <v>0</v>
      </c>
      <c r="G283" s="48">
        <f>data!BM267</f>
        <v>0</v>
      </c>
      <c r="H283" s="48">
        <f>data!BN267</f>
        <v>71580.881836146524</v>
      </c>
      <c r="I283" s="48">
        <f>data!BO267</f>
        <v>60399.54284737647</v>
      </c>
      <c r="J283" s="48">
        <f>data!BP267</f>
        <v>47120.246806138653</v>
      </c>
      <c r="K283" s="48">
        <f>data!BQ267</f>
        <v>32463.727143990203</v>
      </c>
      <c r="L283" s="48">
        <f>data!BR267</f>
        <v>16673.278931680819</v>
      </c>
      <c r="M283" s="48">
        <f>data!BS267</f>
        <v>0</v>
      </c>
    </row>
    <row r="284" spans="2:13" x14ac:dyDescent="0.2">
      <c r="B284" s="4" t="s">
        <v>301</v>
      </c>
      <c r="C284" s="48">
        <f>data!BI268</f>
        <v>0</v>
      </c>
      <c r="D284" s="48">
        <f>data!BJ268</f>
        <v>0</v>
      </c>
      <c r="E284" s="48">
        <f>data!BK268</f>
        <v>0</v>
      </c>
      <c r="F284" s="48">
        <f>data!BL268</f>
        <v>0</v>
      </c>
      <c r="G284" s="48">
        <f>data!BM268</f>
        <v>0</v>
      </c>
      <c r="H284" s="48">
        <f>data!BN268</f>
        <v>70083.004267989338</v>
      </c>
      <c r="I284" s="48">
        <f>data!BO268</f>
        <v>59283.013800360546</v>
      </c>
      <c r="J284" s="48">
        <f>data!BP268</f>
        <v>46353.56735636443</v>
      </c>
      <c r="K284" s="48">
        <f>data!BQ268</f>
        <v>31997.06410271745</v>
      </c>
      <c r="L284" s="48">
        <f>data!BR268</f>
        <v>16460.746577401733</v>
      </c>
      <c r="M284" s="48">
        <f>data!BS268</f>
        <v>0</v>
      </c>
    </row>
    <row r="285" spans="2:13" x14ac:dyDescent="0.2">
      <c r="B285" s="4" t="s">
        <v>302</v>
      </c>
      <c r="C285" s="48">
        <f>data!BI269</f>
        <v>0</v>
      </c>
      <c r="D285" s="48">
        <f>data!BJ269</f>
        <v>0</v>
      </c>
      <c r="E285" s="48">
        <f>data!BK269</f>
        <v>0</v>
      </c>
      <c r="F285" s="48">
        <f>data!BL269</f>
        <v>0</v>
      </c>
      <c r="G285" s="48">
        <f>data!BM269</f>
        <v>0</v>
      </c>
      <c r="H285" s="48">
        <f>data!BN269</f>
        <v>71318.417935983103</v>
      </c>
      <c r="I285" s="48">
        <f>data!BO269</f>
        <v>60312.614474627146</v>
      </c>
      <c r="J285" s="48">
        <f>data!BP269</f>
        <v>47140.107321889198</v>
      </c>
      <c r="K285" s="48">
        <f>data!BQ269</f>
        <v>32524.798190684764</v>
      </c>
      <c r="L285" s="48">
        <f>data!BR269</f>
        <v>16723.503468346011</v>
      </c>
      <c r="M285" s="48">
        <f>data!BS269</f>
        <v>0</v>
      </c>
    </row>
    <row r="286" spans="2:13" x14ac:dyDescent="0.2">
      <c r="B286" s="4" t="s">
        <v>303</v>
      </c>
      <c r="C286" s="48">
        <f>data!BI270</f>
        <v>0</v>
      </c>
      <c r="D286" s="48">
        <f>data!BJ270</f>
        <v>0</v>
      </c>
      <c r="E286" s="48">
        <f>data!BK270</f>
        <v>0</v>
      </c>
      <c r="F286" s="48">
        <f>data!BL270</f>
        <v>0</v>
      </c>
      <c r="G286" s="48">
        <f>data!BM270</f>
        <v>0</v>
      </c>
      <c r="H286" s="48">
        <f>data!BN270</f>
        <v>71587.967396817563</v>
      </c>
      <c r="I286" s="48">
        <f>data!BO270</f>
        <v>60519.291184307527</v>
      </c>
      <c r="J286" s="48">
        <f>data!BP270</f>
        <v>47286.641808565764</v>
      </c>
      <c r="K286" s="48">
        <f>data!BQ270</f>
        <v>32617.116719734317</v>
      </c>
      <c r="L286" s="48">
        <f>data!BR270</f>
        <v>16767.117807815524</v>
      </c>
      <c r="M286" s="48">
        <f>data!BS270</f>
        <v>0</v>
      </c>
    </row>
    <row r="287" spans="2:13" x14ac:dyDescent="0.2">
      <c r="B287" s="4" t="s">
        <v>304</v>
      </c>
      <c r="C287" s="48">
        <f>data!BI271</f>
        <v>0</v>
      </c>
      <c r="D287" s="48">
        <f>data!BJ271</f>
        <v>0</v>
      </c>
      <c r="E287" s="48">
        <f>data!BK271</f>
        <v>0</v>
      </c>
      <c r="F287" s="48">
        <f>data!BL271</f>
        <v>0</v>
      </c>
      <c r="G287" s="48">
        <f>data!BM271</f>
        <v>0</v>
      </c>
      <c r="H287" s="48">
        <f>data!BN271</f>
        <v>72112.808217806596</v>
      </c>
      <c r="I287" s="48">
        <f>data!BO271</f>
        <v>60949.571154782272</v>
      </c>
      <c r="J287" s="48">
        <f>data!BP271</f>
        <v>47608.72583325475</v>
      </c>
      <c r="K287" s="48">
        <f>data!BQ271</f>
        <v>32828.298309618054</v>
      </c>
      <c r="L287" s="48">
        <f>data!BR271</f>
        <v>16869.61878627945</v>
      </c>
      <c r="M287" s="48">
        <f>data!BS271</f>
        <v>0</v>
      </c>
    </row>
    <row r="288" spans="2:13" x14ac:dyDescent="0.2">
      <c r="B288" s="4" t="s">
        <v>305</v>
      </c>
      <c r="C288" s="48">
        <f>data!BI272</f>
        <v>0</v>
      </c>
      <c r="D288" s="48">
        <f>data!BJ272</f>
        <v>0</v>
      </c>
      <c r="E288" s="48">
        <f>data!BK272</f>
        <v>0</v>
      </c>
      <c r="F288" s="48">
        <f>data!BL272</f>
        <v>0</v>
      </c>
      <c r="G288" s="48">
        <f>data!BM272</f>
        <v>0</v>
      </c>
      <c r="H288" s="48">
        <f>data!BN272</f>
        <v>72975.206847509486</v>
      </c>
      <c r="I288" s="48">
        <f>data!BO272</f>
        <v>61636.823728920797</v>
      </c>
      <c r="J288" s="48">
        <f>data!BP272</f>
        <v>48112.012499548306</v>
      </c>
      <c r="K288" s="48">
        <f>data!BQ272</f>
        <v>33153.270205233886</v>
      </c>
      <c r="L288" s="48">
        <f>data!BR272</f>
        <v>17025.819138614395</v>
      </c>
      <c r="M288" s="48">
        <f>data!BS272</f>
        <v>0</v>
      </c>
    </row>
    <row r="289" spans="2:13" x14ac:dyDescent="0.2">
      <c r="B289" s="4" t="s">
        <v>306</v>
      </c>
      <c r="C289" s="48">
        <f>data!BI273</f>
        <v>0</v>
      </c>
      <c r="D289" s="48">
        <f>data!BJ273</f>
        <v>0</v>
      </c>
      <c r="E289" s="48">
        <f>data!BK273</f>
        <v>0</v>
      </c>
      <c r="F289" s="48">
        <f>data!BL273</f>
        <v>0</v>
      </c>
      <c r="G289" s="48">
        <f>data!BM273</f>
        <v>0</v>
      </c>
      <c r="H289" s="48">
        <f>data!BN273</f>
        <v>73684.52925931674</v>
      </c>
      <c r="I289" s="48">
        <f>data!BO273</f>
        <v>62161.845140996556</v>
      </c>
      <c r="J289" s="48">
        <f>data!BP273</f>
        <v>48468.784634315234</v>
      </c>
      <c r="K289" s="48">
        <f>data!BQ273</f>
        <v>33367.540550078622</v>
      </c>
      <c r="L289" s="48">
        <f>data!BR273</f>
        <v>17121.807872122088</v>
      </c>
      <c r="M289" s="48">
        <f>data!BS273</f>
        <v>0</v>
      </c>
    </row>
    <row r="290" spans="2:13" x14ac:dyDescent="0.2">
      <c r="B290" s="4" t="s">
        <v>307</v>
      </c>
      <c r="C290" s="48">
        <f>data!BI274</f>
        <v>0</v>
      </c>
      <c r="D290" s="48">
        <f>data!BJ274</f>
        <v>0</v>
      </c>
      <c r="E290" s="48">
        <f>data!BK274</f>
        <v>0</v>
      </c>
      <c r="F290" s="48">
        <f>data!BL274</f>
        <v>0</v>
      </c>
      <c r="G290" s="48">
        <f>data!BM274</f>
        <v>0</v>
      </c>
      <c r="H290" s="48">
        <f>data!BN274</f>
        <v>74471.955052074991</v>
      </c>
      <c r="I290" s="48">
        <f>data!BO274</f>
        <v>62798.574535418476</v>
      </c>
      <c r="J290" s="48">
        <f>data!BP274</f>
        <v>48942.167379341096</v>
      </c>
      <c r="K290" s="48">
        <f>data!BQ274</f>
        <v>33677.857277122414</v>
      </c>
      <c r="L290" s="48">
        <f>data!BR274</f>
        <v>17273.243721436269</v>
      </c>
      <c r="M290" s="48">
        <f>data!BS274</f>
        <v>0</v>
      </c>
    </row>
    <row r="291" spans="2:13" x14ac:dyDescent="0.2">
      <c r="B291" s="4" t="s">
        <v>308</v>
      </c>
      <c r="C291" s="48">
        <f>data!BI275</f>
        <v>0</v>
      </c>
      <c r="D291" s="48">
        <f>data!BJ275</f>
        <v>0</v>
      </c>
      <c r="E291" s="48">
        <f>data!BK275</f>
        <v>0</v>
      </c>
      <c r="F291" s="48">
        <f>data!BL275</f>
        <v>0</v>
      </c>
      <c r="G291" s="48">
        <f>data!BM275</f>
        <v>0</v>
      </c>
      <c r="H291" s="48">
        <f>data!BN275</f>
        <v>75392.823496895304</v>
      </c>
      <c r="I291" s="48">
        <f>data!BO275</f>
        <v>63540.503321610915</v>
      </c>
      <c r="J291" s="48">
        <f>data!BP275</f>
        <v>49488.907041536935</v>
      </c>
      <c r="K291" s="48">
        <f>data!BQ275</f>
        <v>34031.543101371673</v>
      </c>
      <c r="L291" s="48">
        <f>data!BR275</f>
        <v>17442.902432120452</v>
      </c>
      <c r="M291" s="48">
        <f>data!BS275</f>
        <v>0</v>
      </c>
    </row>
    <row r="292" spans="2:13" x14ac:dyDescent="0.2">
      <c r="B292" s="4" t="s">
        <v>309</v>
      </c>
      <c r="C292" s="48">
        <f>data!BI276</f>
        <v>0</v>
      </c>
      <c r="D292" s="48">
        <f>data!BJ276</f>
        <v>0</v>
      </c>
      <c r="E292" s="48">
        <f>data!BK276</f>
        <v>0</v>
      </c>
      <c r="F292" s="48">
        <f>data!BL276</f>
        <v>0</v>
      </c>
      <c r="G292" s="48">
        <f>data!BM276</f>
        <v>0</v>
      </c>
      <c r="H292" s="48">
        <f>data!BN276</f>
        <v>75815.548303723655</v>
      </c>
      <c r="I292" s="48">
        <f>data!BO276</f>
        <v>63860.915908211711</v>
      </c>
      <c r="J292" s="48">
        <f>data!BP276</f>
        <v>49713.491441179198</v>
      </c>
      <c r="K292" s="48">
        <f>data!BQ276</f>
        <v>34171.589467069542</v>
      </c>
      <c r="L292" s="48">
        <f>data!BR276</f>
        <v>17508.474917034975</v>
      </c>
      <c r="M292" s="48">
        <f>data!BS276</f>
        <v>0</v>
      </c>
    </row>
    <row r="293" spans="2:13" x14ac:dyDescent="0.2">
      <c r="B293" s="4" t="s">
        <v>310</v>
      </c>
      <c r="C293" s="48">
        <f>data!BI277</f>
        <v>0</v>
      </c>
      <c r="D293" s="48">
        <f>data!BJ277</f>
        <v>0</v>
      </c>
      <c r="E293" s="48">
        <f>data!BK277</f>
        <v>0</v>
      </c>
      <c r="F293" s="48">
        <f>data!BL277</f>
        <v>0</v>
      </c>
      <c r="G293" s="48">
        <f>data!BM277</f>
        <v>0</v>
      </c>
      <c r="H293" s="48">
        <f>data!BN277</f>
        <v>78592.493861168929</v>
      </c>
      <c r="I293" s="48">
        <f>data!BO277</f>
        <v>65995.08240448474</v>
      </c>
      <c r="J293" s="48">
        <f>data!BP277</f>
        <v>51226.306804295811</v>
      </c>
      <c r="K293" s="48">
        <f>data!BQ277</f>
        <v>35122.480645786505</v>
      </c>
      <c r="L293" s="48">
        <f>data!BR277</f>
        <v>17955.746733424072</v>
      </c>
      <c r="M293" s="48">
        <f>data!BS277</f>
        <v>0</v>
      </c>
    </row>
    <row r="294" spans="2:13" x14ac:dyDescent="0.2">
      <c r="B294" s="4" t="s">
        <v>311</v>
      </c>
      <c r="C294" s="48">
        <f>data!BI278</f>
        <v>0</v>
      </c>
      <c r="D294" s="48">
        <f>data!BJ278</f>
        <v>0</v>
      </c>
      <c r="E294" s="48">
        <f>data!BK278</f>
        <v>0</v>
      </c>
      <c r="F294" s="48">
        <f>data!BL278</f>
        <v>0</v>
      </c>
      <c r="G294" s="48">
        <f>data!BM278</f>
        <v>0</v>
      </c>
      <c r="H294" s="48">
        <f>data!BN278</f>
        <v>77740.771279130204</v>
      </c>
      <c r="I294" s="48">
        <f>data!BO278</f>
        <v>65339.727219720473</v>
      </c>
      <c r="J294" s="48">
        <f>data!BP278</f>
        <v>50764.49613862361</v>
      </c>
      <c r="K294" s="48">
        <f>data!BQ278</f>
        <v>34835.969420038571</v>
      </c>
      <c r="L294" s="48">
        <f>data!BR278</f>
        <v>17823.665146939184</v>
      </c>
      <c r="M294" s="48">
        <f>data!BS278</f>
        <v>0</v>
      </c>
    </row>
    <row r="295" spans="2:13" x14ac:dyDescent="0.2">
      <c r="B295" s="4" t="s">
        <v>312</v>
      </c>
      <c r="C295" s="48">
        <f>data!BI279</f>
        <v>0</v>
      </c>
      <c r="D295" s="48">
        <f>data!BJ279</f>
        <v>0</v>
      </c>
      <c r="E295" s="48">
        <f>data!BK279</f>
        <v>0</v>
      </c>
      <c r="F295" s="48">
        <f>data!BL279</f>
        <v>0</v>
      </c>
      <c r="G295" s="48">
        <f>data!BM279</f>
        <v>0</v>
      </c>
      <c r="H295" s="48">
        <f>data!BN279</f>
        <v>78330.832934943319</v>
      </c>
      <c r="I295" s="48">
        <f>data!BO279</f>
        <v>65808.475669603096</v>
      </c>
      <c r="J295" s="48">
        <f>data!BP279</f>
        <v>51107.13824430394</v>
      </c>
      <c r="K295" s="48">
        <f>data!BQ279</f>
        <v>35057.210797115724</v>
      </c>
      <c r="L295" s="48">
        <f>data!BR279</f>
        <v>17930.180868251242</v>
      </c>
      <c r="M295" s="48">
        <f>data!BS279</f>
        <v>0</v>
      </c>
    </row>
    <row r="296" spans="2:13" x14ac:dyDescent="0.2">
      <c r="B296" s="4" t="s">
        <v>313</v>
      </c>
      <c r="C296" s="48">
        <f>data!BI280</f>
        <v>0</v>
      </c>
      <c r="D296" s="48">
        <f>data!BJ280</f>
        <v>0</v>
      </c>
      <c r="E296" s="48">
        <f>data!BK280</f>
        <v>0</v>
      </c>
      <c r="F296" s="48">
        <f>data!BL280</f>
        <v>0</v>
      </c>
      <c r="G296" s="48">
        <f>data!BM280</f>
        <v>0</v>
      </c>
      <c r="H296" s="48">
        <f>data!BN280</f>
        <v>78096.438855651999</v>
      </c>
      <c r="I296" s="48">
        <f>data!BO280</f>
        <v>65582.011646805506</v>
      </c>
      <c r="J296" s="48">
        <f>data!BP280</f>
        <v>50914.396650100047</v>
      </c>
      <c r="K296" s="48">
        <f>data!BQ280</f>
        <v>34917.389589892206</v>
      </c>
      <c r="L296" s="48">
        <f>data!BR280</f>
        <v>17856.411992785543</v>
      </c>
      <c r="M296" s="48">
        <f>data!BS280</f>
        <v>0</v>
      </c>
    </row>
    <row r="297" spans="2:13" x14ac:dyDescent="0.2">
      <c r="B297" s="4" t="s">
        <v>314</v>
      </c>
      <c r="C297" s="48">
        <f>data!BI281</f>
        <v>0</v>
      </c>
      <c r="D297" s="48">
        <f>data!BJ281</f>
        <v>0</v>
      </c>
      <c r="E297" s="48">
        <f>data!BK281</f>
        <v>0</v>
      </c>
      <c r="F297" s="48">
        <f>data!BL281</f>
        <v>0</v>
      </c>
      <c r="G297" s="48">
        <f>data!BM281</f>
        <v>0</v>
      </c>
      <c r="H297" s="48">
        <f>data!BN281</f>
        <v>79574.700064854784</v>
      </c>
      <c r="I297" s="48">
        <f>data!BO281</f>
        <v>66790.517048729263</v>
      </c>
      <c r="J297" s="48">
        <f>data!BP281</f>
        <v>51821.319482397019</v>
      </c>
      <c r="K297" s="48">
        <f>data!BQ281</f>
        <v>35516.617038371012</v>
      </c>
      <c r="L297" s="48">
        <f>data!BR281</f>
        <v>18150.794627249787</v>
      </c>
      <c r="M297" s="48">
        <f>data!BS281</f>
        <v>0</v>
      </c>
    </row>
    <row r="298" spans="2:13" x14ac:dyDescent="0.2">
      <c r="B298" s="4" t="s">
        <v>315</v>
      </c>
      <c r="C298" s="48">
        <f>data!BI282</f>
        <v>0</v>
      </c>
      <c r="D298" s="48">
        <f>data!BJ282</f>
        <v>0</v>
      </c>
      <c r="E298" s="48">
        <f>data!BK282</f>
        <v>0</v>
      </c>
      <c r="F298" s="48">
        <f>data!BL282</f>
        <v>0</v>
      </c>
      <c r="G298" s="48">
        <f>data!BM282</f>
        <v>0</v>
      </c>
      <c r="H298" s="48">
        <f>data!BN282</f>
        <v>77811.454376881389</v>
      </c>
      <c r="I298" s="48">
        <f>data!BO282</f>
        <v>65372.840963631854</v>
      </c>
      <c r="J298" s="48">
        <f>data!BP282</f>
        <v>50773.365643634927</v>
      </c>
      <c r="K298" s="48">
        <f>data!BQ282</f>
        <v>34833.216679903679</v>
      </c>
      <c r="L298" s="48">
        <f>data!BR282</f>
        <v>17818.878577240466</v>
      </c>
      <c r="M298" s="48">
        <f>data!BS282</f>
        <v>0</v>
      </c>
    </row>
    <row r="299" spans="2:13" x14ac:dyDescent="0.2">
      <c r="B299" s="4" t="s">
        <v>316</v>
      </c>
      <c r="C299" s="48">
        <f>data!BI283</f>
        <v>0</v>
      </c>
      <c r="D299" s="48">
        <f>data!BJ283</f>
        <v>0</v>
      </c>
      <c r="E299" s="48">
        <f>data!BK283</f>
        <v>0</v>
      </c>
      <c r="F299" s="48">
        <f>data!BL283</f>
        <v>0</v>
      </c>
      <c r="G299" s="48">
        <f>data!BM283</f>
        <v>0</v>
      </c>
      <c r="H299" s="48">
        <f>data!BN283</f>
        <v>79620.628040553507</v>
      </c>
      <c r="I299" s="48">
        <f>data!BO283</f>
        <v>66741.726947097515</v>
      </c>
      <c r="J299" s="48">
        <f>data!BP283</f>
        <v>51728.49015051419</v>
      </c>
      <c r="K299" s="48">
        <f>data!BQ283</f>
        <v>35424.699445573424</v>
      </c>
      <c r="L299" s="48">
        <f>data!BR283</f>
        <v>18093.267390095167</v>
      </c>
      <c r="M299" s="48">
        <f>data!BS283</f>
        <v>0</v>
      </c>
    </row>
    <row r="300" spans="2:13" x14ac:dyDescent="0.2">
      <c r="B300" s="4" t="s">
        <v>317</v>
      </c>
      <c r="C300" s="48">
        <f>data!BI284</f>
        <v>0</v>
      </c>
      <c r="D300" s="48">
        <f>data!BJ284</f>
        <v>0</v>
      </c>
      <c r="E300" s="48">
        <f>data!BK284</f>
        <v>0</v>
      </c>
      <c r="F300" s="48">
        <f>data!BL284</f>
        <v>0</v>
      </c>
      <c r="G300" s="48">
        <f>data!BM284</f>
        <v>0</v>
      </c>
      <c r="H300" s="48">
        <f>data!BN284</f>
        <v>78801.659399364187</v>
      </c>
      <c r="I300" s="48">
        <f>data!BO284</f>
        <v>66045.957501592129</v>
      </c>
      <c r="J300" s="48">
        <f>data!BP284</f>
        <v>51188.593053739838</v>
      </c>
      <c r="K300" s="48">
        <f>data!BQ284</f>
        <v>35057.851730518581</v>
      </c>
      <c r="L300" s="48">
        <f>data!BR284</f>
        <v>17908.723108562943</v>
      </c>
      <c r="M300" s="48">
        <f>data!BS284</f>
        <v>0</v>
      </c>
    </row>
    <row r="301" spans="2:13" x14ac:dyDescent="0.2">
      <c r="B301" s="4" t="s">
        <v>318</v>
      </c>
      <c r="C301" s="48">
        <f>data!BI285</f>
        <v>0</v>
      </c>
      <c r="D301" s="48">
        <f>data!BJ285</f>
        <v>0</v>
      </c>
      <c r="E301" s="48">
        <f>data!BK285</f>
        <v>0</v>
      </c>
      <c r="F301" s="48">
        <f>data!BL285</f>
        <v>0</v>
      </c>
      <c r="G301" s="48">
        <f>data!BM285</f>
        <v>0</v>
      </c>
      <c r="H301" s="48">
        <f>data!BN285</f>
        <v>78654.715889352548</v>
      </c>
      <c r="I301" s="48">
        <f>data!BO285</f>
        <v>65902.414822617342</v>
      </c>
      <c r="J301" s="48">
        <f>data!BP285</f>
        <v>51065.814573516065</v>
      </c>
      <c r="K301" s="48">
        <f>data!BQ285</f>
        <v>34968.660760301675</v>
      </c>
      <c r="L301" s="48">
        <f>data!BR285</f>
        <v>17861.703971166422</v>
      </c>
      <c r="M301" s="48">
        <f>data!BS285</f>
        <v>0</v>
      </c>
    </row>
    <row r="302" spans="2:13" x14ac:dyDescent="0.2">
      <c r="B302" s="4" t="s">
        <v>319</v>
      </c>
      <c r="C302" s="48">
        <f>data!BI286</f>
        <v>0</v>
      </c>
      <c r="D302" s="48">
        <f>data!BJ286</f>
        <v>0</v>
      </c>
      <c r="E302" s="48">
        <f>data!BK286</f>
        <v>0</v>
      </c>
      <c r="F302" s="48">
        <f>data!BL286</f>
        <v>0</v>
      </c>
      <c r="G302" s="48">
        <f>data!BM286</f>
        <v>0</v>
      </c>
      <c r="H302" s="48">
        <f>data!BN286</f>
        <v>78136.374711282246</v>
      </c>
      <c r="I302" s="48">
        <f>data!BO286</f>
        <v>65494.852814741753</v>
      </c>
      <c r="J302" s="48">
        <f>data!BP286</f>
        <v>50770.217782441687</v>
      </c>
      <c r="K302" s="48">
        <f>data!BQ286</f>
        <v>34778.755731300917</v>
      </c>
      <c r="L302" s="48">
        <f>data!BR286</f>
        <v>17770.511909749232</v>
      </c>
      <c r="M302" s="48">
        <f>data!BS286</f>
        <v>0</v>
      </c>
    </row>
    <row r="303" spans="2:13" x14ac:dyDescent="0.2">
      <c r="B303" s="4" t="s">
        <v>320</v>
      </c>
      <c r="C303" s="48">
        <f>data!BI287</f>
        <v>0</v>
      </c>
      <c r="D303" s="48">
        <f>data!BJ287</f>
        <v>0</v>
      </c>
      <c r="E303" s="48">
        <f>data!BK287</f>
        <v>0</v>
      </c>
      <c r="F303" s="48">
        <f>data!BL287</f>
        <v>0</v>
      </c>
      <c r="G303" s="48">
        <f>data!BM287</f>
        <v>0</v>
      </c>
      <c r="H303" s="48">
        <f>data!BN287</f>
        <v>78796.444242146914</v>
      </c>
      <c r="I303" s="48">
        <f>data!BO287</f>
        <v>66014.555244770716</v>
      </c>
      <c r="J303" s="48">
        <f>data!BP287</f>
        <v>51151.830588502118</v>
      </c>
      <c r="K303" s="48">
        <f>data!BQ287</f>
        <v>35029.402447876739</v>
      </c>
      <c r="L303" s="48">
        <f>data!BR287</f>
        <v>17894.562594962736</v>
      </c>
      <c r="M303" s="48">
        <f>data!BS287</f>
        <v>0</v>
      </c>
    </row>
    <row r="304" spans="2:13" x14ac:dyDescent="0.2">
      <c r="B304" s="4" t="s">
        <v>321</v>
      </c>
      <c r="C304" s="48">
        <f>data!BI288</f>
        <v>0</v>
      </c>
      <c r="D304" s="48">
        <f>data!BJ288</f>
        <v>0</v>
      </c>
      <c r="E304" s="48">
        <f>data!BK288</f>
        <v>0</v>
      </c>
      <c r="F304" s="48">
        <f>data!BL288</f>
        <v>0</v>
      </c>
      <c r="G304" s="48">
        <f>data!BM288</f>
        <v>0</v>
      </c>
      <c r="H304" s="48">
        <f>data!BN288</f>
        <v>76463.165913275589</v>
      </c>
      <c r="I304" s="48">
        <f>data!BO288</f>
        <v>64187.624134191399</v>
      </c>
      <c r="J304" s="48">
        <f>data!BP288</f>
        <v>49834.110579996312</v>
      </c>
      <c r="K304" s="48">
        <f>data!BQ288</f>
        <v>34188.412050297426</v>
      </c>
      <c r="L304" s="48">
        <f>data!BR288</f>
        <v>17493.752624686884</v>
      </c>
      <c r="M304" s="48">
        <f>data!BS288</f>
        <v>0</v>
      </c>
    </row>
    <row r="305" spans="2:13" x14ac:dyDescent="0.2">
      <c r="B305" s="4" t="s">
        <v>322</v>
      </c>
      <c r="C305" s="48">
        <f>data!BI289</f>
        <v>0</v>
      </c>
      <c r="D305" s="48">
        <f>data!BJ289</f>
        <v>0</v>
      </c>
      <c r="E305" s="48">
        <f>data!BK289</f>
        <v>0</v>
      </c>
      <c r="F305" s="48">
        <f>data!BL289</f>
        <v>0</v>
      </c>
      <c r="G305" s="48">
        <f>data!BM289</f>
        <v>0</v>
      </c>
      <c r="H305" s="48">
        <f>data!BN289</f>
        <v>74036.143624285789</v>
      </c>
      <c r="I305" s="48">
        <f>data!BO289</f>
        <v>62294.741925445793</v>
      </c>
      <c r="J305" s="48">
        <f>data!BP289</f>
        <v>48470.828338645377</v>
      </c>
      <c r="K305" s="48">
        <f>data!BQ289</f>
        <v>33317.636334039897</v>
      </c>
      <c r="L305" s="48">
        <f>data!BR289</f>
        <v>17077.537180636125</v>
      </c>
      <c r="M305" s="48">
        <f>data!BS289</f>
        <v>0</v>
      </c>
    </row>
    <row r="306" spans="2:13" x14ac:dyDescent="0.2">
      <c r="B306" s="4" t="s">
        <v>323</v>
      </c>
      <c r="C306" s="48">
        <f>data!BI290</f>
        <v>0</v>
      </c>
      <c r="D306" s="48">
        <f>data!BJ290</f>
        <v>0</v>
      </c>
      <c r="E306" s="48">
        <f>data!BK290</f>
        <v>0</v>
      </c>
      <c r="F306" s="48">
        <f>data!BL290</f>
        <v>0</v>
      </c>
      <c r="G306" s="48">
        <f>data!BM290</f>
        <v>0</v>
      </c>
      <c r="H306" s="48">
        <f>data!BN290</f>
        <v>72991.240901951591</v>
      </c>
      <c r="I306" s="48">
        <f>data!BO290</f>
        <v>61494.191330522022</v>
      </c>
      <c r="J306" s="48">
        <f>data!BP290</f>
        <v>47903.396962030311</v>
      </c>
      <c r="K306" s="48">
        <f>data!BQ290</f>
        <v>32960.004309988821</v>
      </c>
      <c r="L306" s="48">
        <f>data!BR290</f>
        <v>16908.418595791267</v>
      </c>
      <c r="M306" s="48">
        <f>data!BS290</f>
        <v>0</v>
      </c>
    </row>
    <row r="307" spans="2:13" x14ac:dyDescent="0.2">
      <c r="B307" s="4" t="s">
        <v>324</v>
      </c>
      <c r="C307" s="48">
        <f>data!BI291</f>
        <v>0</v>
      </c>
      <c r="D307" s="48">
        <f>data!BJ291</f>
        <v>0</v>
      </c>
      <c r="E307" s="48">
        <f>data!BK291</f>
        <v>0</v>
      </c>
      <c r="F307" s="48">
        <f>data!BL291</f>
        <v>0</v>
      </c>
      <c r="G307" s="48">
        <f>data!BM291</f>
        <v>0</v>
      </c>
      <c r="H307" s="48">
        <f>data!BN291</f>
        <v>72929.666069798812</v>
      </c>
      <c r="I307" s="48">
        <f>data!BO291</f>
        <v>61439.435816695724</v>
      </c>
      <c r="J307" s="48">
        <f>data!BP291</f>
        <v>47859.173046832468</v>
      </c>
      <c r="K307" s="48">
        <f>data!BQ291</f>
        <v>32928.919091715274</v>
      </c>
      <c r="L307" s="48">
        <f>data!BR291</f>
        <v>16892.315160008791</v>
      </c>
      <c r="M307" s="48">
        <f>data!BS291</f>
        <v>0</v>
      </c>
    </row>
    <row r="308" spans="2:13" x14ac:dyDescent="0.2">
      <c r="B308" s="4" t="s">
        <v>325</v>
      </c>
      <c r="C308" s="48">
        <f>data!BI292</f>
        <v>0</v>
      </c>
      <c r="D308" s="48">
        <f>data!BJ292</f>
        <v>0</v>
      </c>
      <c r="E308" s="48">
        <f>data!BK292</f>
        <v>0</v>
      </c>
      <c r="F308" s="48">
        <f>data!BL292</f>
        <v>0</v>
      </c>
      <c r="G308" s="48">
        <f>data!BM292</f>
        <v>0</v>
      </c>
      <c r="H308" s="48">
        <f>data!BN292</f>
        <v>74596.280421898657</v>
      </c>
      <c r="I308" s="48">
        <f>data!BO292</f>
        <v>62724.506733919639</v>
      </c>
      <c r="J308" s="48">
        <f>data!BP292</f>
        <v>48773.363783123765</v>
      </c>
      <c r="K308" s="48">
        <f>data!BQ292</f>
        <v>33505.480057056331</v>
      </c>
      <c r="L308" s="48">
        <f>data!BR292</f>
        <v>17164.363250202954</v>
      </c>
      <c r="M308" s="48">
        <f>data!BS292</f>
        <v>0</v>
      </c>
    </row>
    <row r="309" spans="2:13" x14ac:dyDescent="0.2">
      <c r="B309" s="4" t="s">
        <v>326</v>
      </c>
      <c r="C309" s="48">
        <f>data!BI293</f>
        <v>0</v>
      </c>
      <c r="D309" s="48">
        <f>data!BJ293</f>
        <v>0</v>
      </c>
      <c r="E309" s="48">
        <f>data!BK293</f>
        <v>0</v>
      </c>
      <c r="F309" s="48">
        <f>data!BL293</f>
        <v>0</v>
      </c>
      <c r="G309" s="48">
        <f>data!BM293</f>
        <v>0</v>
      </c>
      <c r="H309" s="48">
        <f>data!BN293</f>
        <v>74337.143364769028</v>
      </c>
      <c r="I309" s="48">
        <f>data!BO293</f>
        <v>62552.25037850465</v>
      </c>
      <c r="J309" s="48">
        <f>data!BP293</f>
        <v>48670.138542497043</v>
      </c>
      <c r="K309" s="48">
        <f>data!BQ293</f>
        <v>33451.711338881832</v>
      </c>
      <c r="L309" s="48">
        <f>data!BR293</f>
        <v>17143.924197873574</v>
      </c>
      <c r="M309" s="48">
        <f>data!BS293</f>
        <v>0</v>
      </c>
    </row>
    <row r="310" spans="2:13" x14ac:dyDescent="0.2">
      <c r="B310" s="4" t="s">
        <v>327</v>
      </c>
      <c r="C310" s="48">
        <f>data!BI294</f>
        <v>0</v>
      </c>
      <c r="D310" s="48">
        <f>data!BJ294</f>
        <v>0</v>
      </c>
      <c r="E310" s="48">
        <f>data!BK294</f>
        <v>0</v>
      </c>
      <c r="F310" s="48">
        <f>data!BL294</f>
        <v>0</v>
      </c>
      <c r="G310" s="48">
        <f>data!BM294</f>
        <v>0</v>
      </c>
      <c r="H310" s="48">
        <f>data!BN294</f>
        <v>73137.137234805108</v>
      </c>
      <c r="I310" s="48">
        <f>data!BO294</f>
        <v>61651.063793033893</v>
      </c>
      <c r="J310" s="48">
        <f>data!BP294</f>
        <v>48047.392010002877</v>
      </c>
      <c r="K310" s="48">
        <f>data!BQ294</f>
        <v>33070.715127675903</v>
      </c>
      <c r="L310" s="48">
        <f>data!BR294</f>
        <v>16969.74946871234</v>
      </c>
      <c r="M310" s="48">
        <f>data!BS294</f>
        <v>0</v>
      </c>
    </row>
    <row r="311" spans="2:13" x14ac:dyDescent="0.2">
      <c r="B311" s="4" t="s">
        <v>328</v>
      </c>
      <c r="C311" s="48">
        <f>data!BI295</f>
        <v>0</v>
      </c>
      <c r="D311" s="48">
        <f>data!BJ295</f>
        <v>0</v>
      </c>
      <c r="E311" s="48">
        <f>data!BK295</f>
        <v>0</v>
      </c>
      <c r="F311" s="48">
        <f>data!BL295</f>
        <v>0</v>
      </c>
      <c r="G311" s="48">
        <f>data!BM295</f>
        <v>0</v>
      </c>
      <c r="H311" s="48">
        <f>data!BN295</f>
        <v>72970.916249230533</v>
      </c>
      <c r="I311" s="48">
        <f>data!BO295</f>
        <v>61510.320840243025</v>
      </c>
      <c r="J311" s="48">
        <f>data!BP295</f>
        <v>47937.770212278228</v>
      </c>
      <c r="K311" s="48">
        <f>data!BQ295</f>
        <v>32995.569832268528</v>
      </c>
      <c r="L311" s="48">
        <f>data!BR295</f>
        <v>16931.469736637686</v>
      </c>
      <c r="M311" s="48">
        <f>data!BS295</f>
        <v>0</v>
      </c>
    </row>
    <row r="312" spans="2:13" x14ac:dyDescent="0.2">
      <c r="B312" s="4" t="s">
        <v>329</v>
      </c>
      <c r="C312" s="48">
        <f>data!BI296</f>
        <v>0</v>
      </c>
      <c r="D312" s="48">
        <f>data!BJ296</f>
        <v>0</v>
      </c>
      <c r="E312" s="48">
        <f>data!BK296</f>
        <v>0</v>
      </c>
      <c r="F312" s="48">
        <f>data!BL296</f>
        <v>0</v>
      </c>
      <c r="G312" s="48">
        <f>data!BM296</f>
        <v>0</v>
      </c>
      <c r="H312" s="48">
        <f>data!BN296</f>
        <v>71172.071976931809</v>
      </c>
      <c r="I312" s="48">
        <f>data!BO296</f>
        <v>60061.28256115508</v>
      </c>
      <c r="J312" s="48">
        <f>data!BP296</f>
        <v>46863.650605907373</v>
      </c>
      <c r="K312" s="48">
        <f>data!BQ296</f>
        <v>32292.997472461153</v>
      </c>
      <c r="L312" s="48">
        <f>data!BR296</f>
        <v>16589.153256480535</v>
      </c>
      <c r="M312" s="48">
        <f>data!BS296</f>
        <v>0</v>
      </c>
    </row>
    <row r="313" spans="2:13" x14ac:dyDescent="0.2">
      <c r="B313" s="4" t="s">
        <v>330</v>
      </c>
      <c r="C313" s="48">
        <f>data!BI297</f>
        <v>0</v>
      </c>
      <c r="D313" s="48">
        <f>data!BJ297</f>
        <v>0</v>
      </c>
      <c r="E313" s="48">
        <f>data!BK297</f>
        <v>0</v>
      </c>
      <c r="F313" s="48">
        <f>data!BL297</f>
        <v>0</v>
      </c>
      <c r="G313" s="48">
        <f>data!BM297</f>
        <v>0</v>
      </c>
      <c r="H313" s="48">
        <f>data!BN297</f>
        <v>71257.547459733541</v>
      </c>
      <c r="I313" s="48">
        <f>data!BO297</f>
        <v>60097.883184965278</v>
      </c>
      <c r="J313" s="48">
        <f>data!BP297</f>
        <v>46869.898230886538</v>
      </c>
      <c r="K313" s="48">
        <f>data!BQ297</f>
        <v>32285.812256422287</v>
      </c>
      <c r="L313" s="48">
        <f>data!BR297</f>
        <v>16581.163476612004</v>
      </c>
      <c r="M313" s="48">
        <f>data!BS297</f>
        <v>0</v>
      </c>
    </row>
    <row r="314" spans="2:13" x14ac:dyDescent="0.2">
      <c r="B314" s="4" t="s">
        <v>331</v>
      </c>
      <c r="C314" s="48">
        <f>data!BI298</f>
        <v>0</v>
      </c>
      <c r="D314" s="48">
        <f>data!BJ298</f>
        <v>0</v>
      </c>
      <c r="E314" s="48">
        <f>data!BK298</f>
        <v>0</v>
      </c>
      <c r="F314" s="48">
        <f>data!BL298</f>
        <v>0</v>
      </c>
      <c r="G314" s="48">
        <f>data!BM298</f>
        <v>0</v>
      </c>
      <c r="H314" s="48">
        <f>data!BN298</f>
        <v>72261.818339420948</v>
      </c>
      <c r="I314" s="48">
        <f>data!BO298</f>
        <v>60842.752151627647</v>
      </c>
      <c r="J314" s="48">
        <f>data!BP298</f>
        <v>47379.779277409107</v>
      </c>
      <c r="K314" s="48">
        <f>data!BQ298</f>
        <v>32596.001446079059</v>
      </c>
      <c r="L314" s="48">
        <f>data!BR298</f>
        <v>16722.749918578902</v>
      </c>
      <c r="M314" s="48">
        <f>data!BS298</f>
        <v>0</v>
      </c>
    </row>
    <row r="315" spans="2:13" x14ac:dyDescent="0.2">
      <c r="B315" s="4" t="s">
        <v>332</v>
      </c>
      <c r="C315" s="48">
        <f>data!BI299</f>
        <v>0</v>
      </c>
      <c r="D315" s="48">
        <f>data!BJ299</f>
        <v>0</v>
      </c>
      <c r="E315" s="48">
        <f>data!BK299</f>
        <v>0</v>
      </c>
      <c r="F315" s="48">
        <f>data!BL299</f>
        <v>0</v>
      </c>
      <c r="G315" s="48">
        <f>data!BM299</f>
        <v>0</v>
      </c>
      <c r="H315" s="48">
        <f>data!BN299</f>
        <v>69409.098521872409</v>
      </c>
      <c r="I315" s="48">
        <f>data!BO299</f>
        <v>58545.270283261663</v>
      </c>
      <c r="J315" s="48">
        <f>data!BP299</f>
        <v>45677.629544636337</v>
      </c>
      <c r="K315" s="48">
        <f>data!BQ299</f>
        <v>31483.546757927776</v>
      </c>
      <c r="L315" s="48">
        <f>data!BR299</f>
        <v>16181.304436345959</v>
      </c>
      <c r="M315" s="48">
        <f>data!BS299</f>
        <v>0</v>
      </c>
    </row>
    <row r="316" spans="2:13" x14ac:dyDescent="0.2">
      <c r="B316" s="4" t="s">
        <v>333</v>
      </c>
      <c r="C316" s="48">
        <f>data!BI300</f>
        <v>0</v>
      </c>
      <c r="D316" s="48">
        <f>data!BJ300</f>
        <v>0</v>
      </c>
      <c r="E316" s="48">
        <f>data!BK300</f>
        <v>0</v>
      </c>
      <c r="F316" s="48">
        <f>data!BL300</f>
        <v>0</v>
      </c>
      <c r="G316" s="48">
        <f>data!BM300</f>
        <v>0</v>
      </c>
      <c r="H316" s="48">
        <f>data!BN300</f>
        <v>69635.251575853268</v>
      </c>
      <c r="I316" s="48">
        <f>data!BO300</f>
        <v>58713.917978713987</v>
      </c>
      <c r="J316" s="48">
        <f>data!BP300</f>
        <v>45793.404727666995</v>
      </c>
      <c r="K316" s="48">
        <f>data!BQ300</f>
        <v>31553.950867077445</v>
      </c>
      <c r="L316" s="48">
        <f>data!BR300</f>
        <v>16213.316243063675</v>
      </c>
      <c r="M316" s="48">
        <f>data!BS300</f>
        <v>0</v>
      </c>
    </row>
    <row r="317" spans="2:13" x14ac:dyDescent="0.2">
      <c r="B317" s="4" t="s">
        <v>334</v>
      </c>
      <c r="C317" s="48">
        <f>data!BI301</f>
        <v>0</v>
      </c>
      <c r="D317" s="48">
        <f>data!BJ301</f>
        <v>0</v>
      </c>
      <c r="E317" s="48">
        <f>data!BK301</f>
        <v>0</v>
      </c>
      <c r="F317" s="48">
        <f>data!BL301</f>
        <v>0</v>
      </c>
      <c r="G317" s="48">
        <f>data!BM301</f>
        <v>0</v>
      </c>
      <c r="H317" s="48">
        <f>data!BN301</f>
        <v>67815.232680400382</v>
      </c>
      <c r="I317" s="48">
        <f>data!BO301</f>
        <v>57257.780274866367</v>
      </c>
      <c r="J317" s="48">
        <f>data!BP301</f>
        <v>44721.1824403469</v>
      </c>
      <c r="K317" s="48">
        <f>data!BQ301</f>
        <v>30857.105132102428</v>
      </c>
      <c r="L317" s="48">
        <f>data!BR301</f>
        <v>15875.89718037827</v>
      </c>
      <c r="M317" s="48">
        <f>data!BS301</f>
        <v>0</v>
      </c>
    </row>
    <row r="318" spans="2:13" x14ac:dyDescent="0.2">
      <c r="B318" s="4" t="s">
        <v>335</v>
      </c>
      <c r="C318" s="48">
        <f>data!BI302</f>
        <v>0</v>
      </c>
      <c r="D318" s="48">
        <f>data!BJ302</f>
        <v>0</v>
      </c>
      <c r="E318" s="48">
        <f>data!BK302</f>
        <v>0</v>
      </c>
      <c r="F318" s="48">
        <f>data!BL302</f>
        <v>0</v>
      </c>
      <c r="G318" s="48">
        <f>data!BM302</f>
        <v>0</v>
      </c>
      <c r="H318" s="48">
        <f>data!BN302</f>
        <v>67022.010131092975</v>
      </c>
      <c r="I318" s="48">
        <f>data!BO302</f>
        <v>56696.315248002051</v>
      </c>
      <c r="J318" s="48">
        <f>data!BP302</f>
        <v>44357.84316763487</v>
      </c>
      <c r="K318" s="48">
        <f>data!BQ302</f>
        <v>30649.981537866104</v>
      </c>
      <c r="L318" s="48">
        <f>data!BR302</f>
        <v>15788.170864413358</v>
      </c>
      <c r="M318" s="48">
        <f>data!BS302</f>
        <v>0</v>
      </c>
    </row>
    <row r="319" spans="2:13" x14ac:dyDescent="0.2">
      <c r="B319" s="4" t="s">
        <v>336</v>
      </c>
      <c r="C319" s="48">
        <f>data!BI303</f>
        <v>0</v>
      </c>
      <c r="D319" s="48">
        <f>data!BJ303</f>
        <v>0</v>
      </c>
      <c r="E319" s="48">
        <f>data!BK303</f>
        <v>0</v>
      </c>
      <c r="F319" s="48">
        <f>data!BL303</f>
        <v>0</v>
      </c>
      <c r="G319" s="48">
        <f>data!BM303</f>
        <v>0</v>
      </c>
      <c r="H319" s="48">
        <f>data!BN303</f>
        <v>64693.127012742116</v>
      </c>
      <c r="I319" s="48">
        <f>data!BO303</f>
        <v>54861.648324764959</v>
      </c>
      <c r="J319" s="48">
        <f>data!BP303</f>
        <v>43028.206827464048</v>
      </c>
      <c r="K319" s="48">
        <f>data!BQ303</f>
        <v>29799.547303363455</v>
      </c>
      <c r="L319" s="48">
        <f>data!BR303</f>
        <v>15382.97527111676</v>
      </c>
      <c r="M319" s="48">
        <f>data!BS303</f>
        <v>0</v>
      </c>
    </row>
    <row r="320" spans="2:13" x14ac:dyDescent="0.2">
      <c r="B320" s="4" t="s">
        <v>337</v>
      </c>
      <c r="C320" s="48">
        <f>data!BI304</f>
        <v>0</v>
      </c>
      <c r="D320" s="48">
        <f>data!BJ304</f>
        <v>0</v>
      </c>
      <c r="E320" s="48">
        <f>data!BK304</f>
        <v>0</v>
      </c>
      <c r="F320" s="48">
        <f>data!BL304</f>
        <v>0</v>
      </c>
      <c r="G320" s="48">
        <f>data!BM304</f>
        <v>0</v>
      </c>
      <c r="H320" s="48">
        <f>data!BN304</f>
        <v>64875.606118980308</v>
      </c>
      <c r="I320" s="48">
        <f>data!BO304</f>
        <v>55066.884597221026</v>
      </c>
      <c r="J320" s="48">
        <f>data!BP304</f>
        <v>43220.606111224486</v>
      </c>
      <c r="K320" s="48">
        <f>data!BQ304</f>
        <v>29948.941251084769</v>
      </c>
      <c r="L320" s="48">
        <f>data!BR304</f>
        <v>15466.07023513382</v>
      </c>
      <c r="M320" s="48">
        <f>data!BS304</f>
        <v>0</v>
      </c>
    </row>
    <row r="321" spans="2:13" x14ac:dyDescent="0.2">
      <c r="B321" s="4" t="s">
        <v>338</v>
      </c>
      <c r="C321" s="48">
        <f>data!BI305</f>
        <v>0</v>
      </c>
      <c r="D321" s="48">
        <f>data!BJ305</f>
        <v>0</v>
      </c>
      <c r="E321" s="48">
        <f>data!BK305</f>
        <v>0</v>
      </c>
      <c r="F321" s="48">
        <f>data!BL305</f>
        <v>0</v>
      </c>
      <c r="G321" s="48">
        <f>data!BM305</f>
        <v>0</v>
      </c>
      <c r="H321" s="48">
        <f>data!BN305</f>
        <v>66516.754184780162</v>
      </c>
      <c r="I321" s="48">
        <f>data!BO305</f>
        <v>56377.077148996046</v>
      </c>
      <c r="J321" s="48">
        <f>data!BP305</f>
        <v>44182.865533863747</v>
      </c>
      <c r="K321" s="48">
        <f>data!BQ305</f>
        <v>30572.328732139726</v>
      </c>
      <c r="L321" s="48">
        <f>data!BR305</f>
        <v>15766.794147714751</v>
      </c>
      <c r="M321" s="48">
        <f>data!BS305</f>
        <v>0</v>
      </c>
    </row>
    <row r="322" spans="2:13" x14ac:dyDescent="0.2">
      <c r="B322" s="4" t="s">
        <v>339</v>
      </c>
      <c r="C322" s="48">
        <f>data!BI306</f>
        <v>0</v>
      </c>
      <c r="D322" s="48">
        <f>data!BJ306</f>
        <v>0</v>
      </c>
      <c r="E322" s="48">
        <f>data!BK306</f>
        <v>0</v>
      </c>
      <c r="F322" s="48">
        <f>data!BL306</f>
        <v>0</v>
      </c>
      <c r="G322" s="48">
        <f>data!BM306</f>
        <v>0</v>
      </c>
      <c r="H322" s="48">
        <f>data!BN306</f>
        <v>67498.654499471915</v>
      </c>
      <c r="I322" s="48">
        <f>data!BO306</f>
        <v>57147.016223336948</v>
      </c>
      <c r="J322" s="48">
        <f>data!BP306</f>
        <v>44739.66422656332</v>
      </c>
      <c r="K322" s="48">
        <f>data!BQ306</f>
        <v>30928.633260026363</v>
      </c>
      <c r="L322" s="48">
        <f>data!BR306</f>
        <v>15937.062066288288</v>
      </c>
      <c r="M322" s="48">
        <f>data!BS306</f>
        <v>0</v>
      </c>
    </row>
    <row r="323" spans="2:13" x14ac:dyDescent="0.2">
      <c r="B323" s="4" t="s">
        <v>340</v>
      </c>
      <c r="C323" s="48">
        <f>data!BI307</f>
        <v>0</v>
      </c>
      <c r="D323" s="48">
        <f>data!BJ307</f>
        <v>0</v>
      </c>
      <c r="E323" s="48">
        <f>data!BK307</f>
        <v>0</v>
      </c>
      <c r="F323" s="48">
        <f>data!BL307</f>
        <v>0</v>
      </c>
      <c r="G323" s="48">
        <f>data!BM307</f>
        <v>0</v>
      </c>
      <c r="H323" s="48">
        <f>data!BN307</f>
        <v>69402.69251179634</v>
      </c>
      <c r="I323" s="48">
        <f>data!BO307</f>
        <v>58625.657181968025</v>
      </c>
      <c r="J323" s="48">
        <f>data!BP307</f>
        <v>45799.809531018938</v>
      </c>
      <c r="K323" s="48">
        <f>data!BQ307</f>
        <v>31602.308276080184</v>
      </c>
      <c r="L323" s="48">
        <f>data!BR307</f>
        <v>16257.237706029639</v>
      </c>
      <c r="M323" s="48">
        <f>data!BS307</f>
        <v>0</v>
      </c>
    </row>
    <row r="324" spans="2:13" x14ac:dyDescent="0.2">
      <c r="B324" s="4" t="s">
        <v>341</v>
      </c>
      <c r="C324" s="48">
        <f>data!BI308</f>
        <v>0</v>
      </c>
      <c r="D324" s="48">
        <f>data!BJ308</f>
        <v>0</v>
      </c>
      <c r="E324" s="48">
        <f>data!BK308</f>
        <v>0</v>
      </c>
      <c r="F324" s="48">
        <f>data!BL308</f>
        <v>0</v>
      </c>
      <c r="G324" s="48">
        <f>data!BM308</f>
        <v>0</v>
      </c>
      <c r="H324" s="48">
        <f>data!BN308</f>
        <v>71896.785534673909</v>
      </c>
      <c r="I324" s="48">
        <f>data!BO308</f>
        <v>60557.679678519577</v>
      </c>
      <c r="J324" s="48">
        <f>data!BP308</f>
        <v>47181.030199430374</v>
      </c>
      <c r="K324" s="48">
        <f>data!BQ308</f>
        <v>32477.48529142289</v>
      </c>
      <c r="L324" s="48">
        <f>data!BR308</f>
        <v>16671.988201147095</v>
      </c>
      <c r="M324" s="48">
        <f>data!BS308</f>
        <v>0</v>
      </c>
    </row>
    <row r="325" spans="2:13" x14ac:dyDescent="0.2">
      <c r="B325" s="4" t="s">
        <v>342</v>
      </c>
      <c r="C325" s="48">
        <f>data!BI309</f>
        <v>0</v>
      </c>
      <c r="D325" s="48">
        <f>data!BJ309</f>
        <v>0</v>
      </c>
      <c r="E325" s="48">
        <f>data!BK309</f>
        <v>0</v>
      </c>
      <c r="F325" s="48">
        <f>data!BL309</f>
        <v>0</v>
      </c>
      <c r="G325" s="48">
        <f>data!BM309</f>
        <v>0</v>
      </c>
      <c r="H325" s="48">
        <f>data!BN309</f>
        <v>0</v>
      </c>
      <c r="I325" s="48">
        <f>data!BO309</f>
        <v>62304.396468531384</v>
      </c>
      <c r="J325" s="48">
        <f>data!BP309</f>
        <v>48877.613227991918</v>
      </c>
      <c r="K325" s="48">
        <f>data!BQ309</f>
        <v>34154.539157047744</v>
      </c>
      <c r="L325" s="48">
        <f>data!BR309</f>
        <v>17542.356186394201</v>
      </c>
      <c r="M325" s="48">
        <f>data!BS309</f>
        <v>0</v>
      </c>
    </row>
    <row r="326" spans="2:13" x14ac:dyDescent="0.2">
      <c r="B326" s="4" t="s">
        <v>343</v>
      </c>
      <c r="C326" s="48">
        <f>data!BI310</f>
        <v>0</v>
      </c>
      <c r="D326" s="48">
        <f>data!BJ310</f>
        <v>0</v>
      </c>
      <c r="E326" s="48">
        <f>data!BK310</f>
        <v>0</v>
      </c>
      <c r="F326" s="48">
        <f>data!BL310</f>
        <v>0</v>
      </c>
      <c r="G326" s="48">
        <f>data!BM310</f>
        <v>0</v>
      </c>
      <c r="H326" s="48">
        <f>data!BN310</f>
        <v>0</v>
      </c>
      <c r="I326" s="48">
        <f>data!BO310</f>
        <v>62669.939671480723</v>
      </c>
      <c r="J326" s="48">
        <f>data!BP310</f>
        <v>49142.769929512535</v>
      </c>
      <c r="K326" s="48">
        <f>data!BQ310</f>
        <v>34326.821268149579</v>
      </c>
      <c r="L326" s="48">
        <f>data!BR310</f>
        <v>17623.980396915544</v>
      </c>
      <c r="M326" s="48">
        <f>data!BS310</f>
        <v>0</v>
      </c>
    </row>
    <row r="327" spans="2:13" x14ac:dyDescent="0.2">
      <c r="B327" s="4" t="s">
        <v>344</v>
      </c>
      <c r="C327" s="48">
        <f>data!BI311</f>
        <v>0</v>
      </c>
      <c r="D327" s="48">
        <f>data!BJ311</f>
        <v>0</v>
      </c>
      <c r="E327" s="48">
        <f>data!BK311</f>
        <v>0</v>
      </c>
      <c r="F327" s="48">
        <f>data!BL311</f>
        <v>0</v>
      </c>
      <c r="G327" s="48">
        <f>data!BM311</f>
        <v>0</v>
      </c>
      <c r="H327" s="48">
        <f>data!BN311</f>
        <v>0</v>
      </c>
      <c r="I327" s="48">
        <f>data!BO311</f>
        <v>61687.725273027027</v>
      </c>
      <c r="J327" s="48">
        <f>data!BP311</f>
        <v>48423.365553708092</v>
      </c>
      <c r="K327" s="48">
        <f>data!BQ311</f>
        <v>33853.622865624158</v>
      </c>
      <c r="L327" s="48">
        <f>data!BR311</f>
        <v>17396.222946024569</v>
      </c>
      <c r="M327" s="48">
        <f>data!BS311</f>
        <v>0</v>
      </c>
    </row>
    <row r="328" spans="2:13" x14ac:dyDescent="0.2">
      <c r="B328" s="4" t="s">
        <v>345</v>
      </c>
      <c r="C328" s="48">
        <f>data!BI312</f>
        <v>0</v>
      </c>
      <c r="D328" s="48">
        <f>data!BJ312</f>
        <v>0</v>
      </c>
      <c r="E328" s="48">
        <f>data!BK312</f>
        <v>0</v>
      </c>
      <c r="F328" s="48">
        <f>data!BL312</f>
        <v>0</v>
      </c>
      <c r="G328" s="48">
        <f>data!BM312</f>
        <v>0</v>
      </c>
      <c r="H328" s="48">
        <f>data!BN312</f>
        <v>0</v>
      </c>
      <c r="I328" s="48">
        <f>data!BO312</f>
        <v>58968.419082267894</v>
      </c>
      <c r="J328" s="48">
        <f>data!BP312</f>
        <v>46425.01989156229</v>
      </c>
      <c r="K328" s="48">
        <f>data!BQ312</f>
        <v>32540.386121917923</v>
      </c>
      <c r="L328" s="48">
        <f>data!BR312</f>
        <v>16766.868744738666</v>
      </c>
      <c r="M328" s="48">
        <f>data!BS312</f>
        <v>0</v>
      </c>
    </row>
    <row r="329" spans="2:13" x14ac:dyDescent="0.2">
      <c r="B329" s="4" t="s">
        <v>346</v>
      </c>
      <c r="C329" s="48">
        <f>data!BI313</f>
        <v>0</v>
      </c>
      <c r="D329" s="48">
        <f>data!BJ313</f>
        <v>0</v>
      </c>
      <c r="E329" s="48">
        <f>data!BK313</f>
        <v>0</v>
      </c>
      <c r="F329" s="48">
        <f>data!BL313</f>
        <v>0</v>
      </c>
      <c r="G329" s="48">
        <f>data!BM313</f>
        <v>0</v>
      </c>
      <c r="H329" s="48">
        <f>data!BN313</f>
        <v>0</v>
      </c>
      <c r="I329" s="48">
        <f>data!BO313</f>
        <v>57441.556351382467</v>
      </c>
      <c r="J329" s="48">
        <f>data!BP313</f>
        <v>45327.532113263049</v>
      </c>
      <c r="K329" s="48">
        <f>data!BQ313</f>
        <v>31831.768918125814</v>
      </c>
      <c r="L329" s="48">
        <f>data!BR313</f>
        <v>16432.046222768877</v>
      </c>
      <c r="M329" s="48">
        <f>data!BS313</f>
        <v>0</v>
      </c>
    </row>
    <row r="330" spans="2:13" x14ac:dyDescent="0.2">
      <c r="B330" s="4" t="s">
        <v>347</v>
      </c>
      <c r="C330" s="48">
        <f>data!BI314</f>
        <v>0</v>
      </c>
      <c r="D330" s="48">
        <f>data!BJ314</f>
        <v>0</v>
      </c>
      <c r="E330" s="48">
        <f>data!BK314</f>
        <v>0</v>
      </c>
      <c r="F330" s="48">
        <f>data!BL314</f>
        <v>0</v>
      </c>
      <c r="G330" s="48">
        <f>data!BM314</f>
        <v>0</v>
      </c>
      <c r="H330" s="48">
        <f>data!BN314</f>
        <v>0</v>
      </c>
      <c r="I330" s="48">
        <f>data!BO314</f>
        <v>55726.634720517512</v>
      </c>
      <c r="J330" s="48">
        <f>data!BP314</f>
        <v>44070.860845161369</v>
      </c>
      <c r="K330" s="48">
        <f>data!BQ314</f>
        <v>31005.677656336891</v>
      </c>
      <c r="L330" s="48">
        <f>data!BR314</f>
        <v>16034.419391270638</v>
      </c>
      <c r="M330" s="48">
        <f>data!BS314</f>
        <v>0</v>
      </c>
    </row>
    <row r="331" spans="2:13" x14ac:dyDescent="0.2">
      <c r="B331" s="4" t="s">
        <v>348</v>
      </c>
      <c r="C331" s="48">
        <f>data!BI315</f>
        <v>0</v>
      </c>
      <c r="D331" s="48">
        <f>data!BJ315</f>
        <v>0</v>
      </c>
      <c r="E331" s="48">
        <f>data!BK315</f>
        <v>0</v>
      </c>
      <c r="F331" s="48">
        <f>data!BL315</f>
        <v>0</v>
      </c>
      <c r="G331" s="48">
        <f>data!BM315</f>
        <v>0</v>
      </c>
      <c r="H331" s="48">
        <f>data!BN315</f>
        <v>0</v>
      </c>
      <c r="I331" s="48">
        <f>data!BO315</f>
        <v>54908.009258300517</v>
      </c>
      <c r="J331" s="48">
        <f>data!BP315</f>
        <v>43497.03014330221</v>
      </c>
      <c r="K331" s="48">
        <f>data!BQ315</f>
        <v>30644.743261404146</v>
      </c>
      <c r="L331" s="48">
        <f>data!BR315</f>
        <v>15868.64428419829</v>
      </c>
      <c r="M331" s="48">
        <f>data!BS315</f>
        <v>0</v>
      </c>
    </row>
    <row r="332" spans="2:13" x14ac:dyDescent="0.2">
      <c r="B332" s="4" t="s">
        <v>349</v>
      </c>
      <c r="C332" s="48">
        <f>data!BI316</f>
        <v>0</v>
      </c>
      <c r="D332" s="48">
        <f>data!BJ316</f>
        <v>0</v>
      </c>
      <c r="E332" s="48">
        <f>data!BK316</f>
        <v>0</v>
      </c>
      <c r="F332" s="48">
        <f>data!BL316</f>
        <v>0</v>
      </c>
      <c r="G332" s="48">
        <f>data!BM316</f>
        <v>0</v>
      </c>
      <c r="H332" s="48">
        <f>data!BN316</f>
        <v>0</v>
      </c>
      <c r="I332" s="48">
        <f>data!BO316</f>
        <v>55845.217949496917</v>
      </c>
      <c r="J332" s="48">
        <f>data!BP316</f>
        <v>44152.95842179023</v>
      </c>
      <c r="K332" s="48">
        <f>data!BQ316</f>
        <v>31056.636817920873</v>
      </c>
      <c r="L332" s="48">
        <f>data!BR316</f>
        <v>16057.469645015353</v>
      </c>
      <c r="M332" s="48">
        <f>data!BS316</f>
        <v>0</v>
      </c>
    </row>
    <row r="333" spans="2:13" x14ac:dyDescent="0.2">
      <c r="B333" s="4" t="s">
        <v>350</v>
      </c>
      <c r="C333" s="48">
        <f>data!BI317</f>
        <v>0</v>
      </c>
      <c r="D333" s="48">
        <f>data!BJ317</f>
        <v>0</v>
      </c>
      <c r="E333" s="48">
        <f>data!BK317</f>
        <v>0</v>
      </c>
      <c r="F333" s="48">
        <f>data!BL317</f>
        <v>0</v>
      </c>
      <c r="G333" s="48">
        <f>data!BM317</f>
        <v>0</v>
      </c>
      <c r="H333" s="48">
        <f>data!BN317</f>
        <v>0</v>
      </c>
      <c r="I333" s="48">
        <f>data!BO317</f>
        <v>55997.350669541316</v>
      </c>
      <c r="J333" s="48">
        <f>data!BP317</f>
        <v>44250.105401432469</v>
      </c>
      <c r="K333" s="48">
        <f>data!BQ317</f>
        <v>31111.269289921176</v>
      </c>
      <c r="L333" s="48">
        <f>data!BR317</f>
        <v>16079.098248181932</v>
      </c>
      <c r="M333" s="48">
        <f>data!BS317</f>
        <v>0</v>
      </c>
    </row>
    <row r="334" spans="2:13" x14ac:dyDescent="0.2">
      <c r="B334" s="4" t="s">
        <v>351</v>
      </c>
      <c r="C334" s="48">
        <f>data!BI318</f>
        <v>0</v>
      </c>
      <c r="D334" s="48">
        <f>data!BJ318</f>
        <v>0</v>
      </c>
      <c r="E334" s="48">
        <f>data!BK318</f>
        <v>0</v>
      </c>
      <c r="F334" s="48">
        <f>data!BL318</f>
        <v>0</v>
      </c>
      <c r="G334" s="48">
        <f>data!BM318</f>
        <v>0</v>
      </c>
      <c r="H334" s="48">
        <f>data!BN318</f>
        <v>0</v>
      </c>
      <c r="I334" s="48">
        <f>data!BO318</f>
        <v>56872.638250637276</v>
      </c>
      <c r="J334" s="48">
        <f>data!BP318</f>
        <v>44908.698711752077</v>
      </c>
      <c r="K334" s="48">
        <f>data!BQ318</f>
        <v>31553.080476848074</v>
      </c>
      <c r="L334" s="48">
        <f>data!BR318</f>
        <v>16295.27255703646</v>
      </c>
      <c r="M334" s="48">
        <f>data!BS318</f>
        <v>0</v>
      </c>
    </row>
    <row r="335" spans="2:13" x14ac:dyDescent="0.2">
      <c r="B335" s="4" t="s">
        <v>352</v>
      </c>
      <c r="C335" s="48">
        <f>data!BI319</f>
        <v>0</v>
      </c>
      <c r="D335" s="48">
        <f>data!BJ319</f>
        <v>0</v>
      </c>
      <c r="E335" s="48">
        <f>data!BK319</f>
        <v>0</v>
      </c>
      <c r="F335" s="48">
        <f>data!BL319</f>
        <v>0</v>
      </c>
      <c r="G335" s="48">
        <f>data!BM319</f>
        <v>0</v>
      </c>
      <c r="H335" s="48">
        <f>data!BN319</f>
        <v>0</v>
      </c>
      <c r="I335" s="48">
        <f>data!BO319</f>
        <v>58520.856617828824</v>
      </c>
      <c r="J335" s="48">
        <f>data!BP319</f>
        <v>46082.12098032271</v>
      </c>
      <c r="K335" s="48">
        <f>data!BQ319</f>
        <v>32304.578371041935</v>
      </c>
      <c r="L335" s="48">
        <f>data!BR319</f>
        <v>16647.818115676331</v>
      </c>
      <c r="M335" s="48">
        <f>data!BS319</f>
        <v>0</v>
      </c>
    </row>
    <row r="336" spans="2:13" x14ac:dyDescent="0.2">
      <c r="B336" s="4" t="s">
        <v>353</v>
      </c>
      <c r="C336" s="48">
        <f>data!BI320</f>
        <v>0</v>
      </c>
      <c r="D336" s="48">
        <f>data!BJ320</f>
        <v>0</v>
      </c>
      <c r="E336" s="48">
        <f>data!BK320</f>
        <v>0</v>
      </c>
      <c r="F336" s="48">
        <f>data!BL320</f>
        <v>0</v>
      </c>
      <c r="G336" s="48">
        <f>data!BM320</f>
        <v>0</v>
      </c>
      <c r="H336" s="48">
        <f>data!BN320</f>
        <v>0</v>
      </c>
      <c r="I336" s="48">
        <f>data!BO320</f>
        <v>57081.819282172895</v>
      </c>
      <c r="J336" s="48">
        <f>data!BP320</f>
        <v>45065.278655538394</v>
      </c>
      <c r="K336" s="48">
        <f>data!BQ320</f>
        <v>31658.096828556205</v>
      </c>
      <c r="L336" s="48">
        <f>data!BR320</f>
        <v>16346.859821034051</v>
      </c>
      <c r="M336" s="48">
        <f>data!BS320</f>
        <v>0</v>
      </c>
    </row>
    <row r="337" spans="2:13" x14ac:dyDescent="0.2">
      <c r="B337" s="4" t="s">
        <v>354</v>
      </c>
      <c r="C337" s="48">
        <f>data!BI321</f>
        <v>0</v>
      </c>
      <c r="D337" s="48">
        <f>data!BJ321</f>
        <v>0</v>
      </c>
      <c r="E337" s="48">
        <f>data!BK321</f>
        <v>0</v>
      </c>
      <c r="F337" s="48">
        <f>data!BL321</f>
        <v>0</v>
      </c>
      <c r="G337" s="48">
        <f>data!BM321</f>
        <v>0</v>
      </c>
      <c r="H337" s="48">
        <f>data!BN321</f>
        <v>0</v>
      </c>
      <c r="I337" s="48">
        <f>data!BO321</f>
        <v>57202.394856767271</v>
      </c>
      <c r="J337" s="48">
        <f>data!BP321</f>
        <v>45134.993729381938</v>
      </c>
      <c r="K337" s="48">
        <f>data!BQ321</f>
        <v>31694.124951891004</v>
      </c>
      <c r="L337" s="48">
        <f>data!BR321</f>
        <v>16360.227426485535</v>
      </c>
      <c r="M337" s="48">
        <f>data!BS321</f>
        <v>0</v>
      </c>
    </row>
    <row r="338" spans="2:13" x14ac:dyDescent="0.2">
      <c r="B338" s="4" t="s">
        <v>355</v>
      </c>
      <c r="C338" s="48">
        <f>data!BI322</f>
        <v>0</v>
      </c>
      <c r="D338" s="48">
        <f>data!BJ322</f>
        <v>0</v>
      </c>
      <c r="E338" s="48">
        <f>data!BK322</f>
        <v>0</v>
      </c>
      <c r="F338" s="48">
        <f>data!BL322</f>
        <v>0</v>
      </c>
      <c r="G338" s="48">
        <f>data!BM322</f>
        <v>0</v>
      </c>
      <c r="H338" s="48">
        <f>data!BN322</f>
        <v>0</v>
      </c>
      <c r="I338" s="48">
        <f>data!BO322</f>
        <v>57813.917358411665</v>
      </c>
      <c r="J338" s="48">
        <f>data!BP322</f>
        <v>45579.562177235232</v>
      </c>
      <c r="K338" s="48">
        <f>data!BQ322</f>
        <v>31985.135316436819</v>
      </c>
      <c r="L338" s="48">
        <f>data!BR322</f>
        <v>16500.112826491717</v>
      </c>
      <c r="M338" s="48">
        <f>data!BS322</f>
        <v>0</v>
      </c>
    </row>
    <row r="339" spans="2:13" x14ac:dyDescent="0.2">
      <c r="B339" s="4" t="s">
        <v>356</v>
      </c>
      <c r="C339" s="48">
        <f>data!BI323</f>
        <v>0</v>
      </c>
      <c r="D339" s="48">
        <f>data!BJ323</f>
        <v>0</v>
      </c>
      <c r="E339" s="48">
        <f>data!BK323</f>
        <v>0</v>
      </c>
      <c r="F339" s="48">
        <f>data!BL323</f>
        <v>0</v>
      </c>
      <c r="G339" s="48">
        <f>data!BM323</f>
        <v>0</v>
      </c>
      <c r="H339" s="48">
        <f>data!BN323</f>
        <v>0</v>
      </c>
      <c r="I339" s="48">
        <f>data!BO323</f>
        <v>59627.423872169456</v>
      </c>
      <c r="J339" s="48">
        <f>data!BP323</f>
        <v>46876.085216125772</v>
      </c>
      <c r="K339" s="48">
        <f>data!BQ323</f>
        <v>32818.026479410633</v>
      </c>
      <c r="L339" s="48">
        <f>data!BR323</f>
        <v>16891.561511995042</v>
      </c>
      <c r="M339" s="48">
        <f>data!BS323</f>
        <v>0</v>
      </c>
    </row>
    <row r="340" spans="2:13" x14ac:dyDescent="0.2">
      <c r="B340" s="4" t="s">
        <v>357</v>
      </c>
      <c r="C340" s="48">
        <f>data!BI324</f>
        <v>0</v>
      </c>
      <c r="D340" s="48">
        <f>data!BJ324</f>
        <v>0</v>
      </c>
      <c r="E340" s="48">
        <f>data!BK324</f>
        <v>0</v>
      </c>
      <c r="F340" s="48">
        <f>data!BL324</f>
        <v>0</v>
      </c>
      <c r="G340" s="48">
        <f>data!BM324</f>
        <v>0</v>
      </c>
      <c r="H340" s="48">
        <f>data!BN324</f>
        <v>0</v>
      </c>
      <c r="I340" s="48">
        <f>data!BO324</f>
        <v>58021.139722987413</v>
      </c>
      <c r="J340" s="48">
        <f>data!BP324</f>
        <v>45703.374171609852</v>
      </c>
      <c r="K340" s="48">
        <f>data!BQ324</f>
        <v>32051.652461309212</v>
      </c>
      <c r="L340" s="48">
        <f>data!BR324</f>
        <v>16526.01098972253</v>
      </c>
      <c r="M340" s="48">
        <f>data!BS324</f>
        <v>0</v>
      </c>
    </row>
    <row r="341" spans="2:13" x14ac:dyDescent="0.2">
      <c r="B341" s="4" t="s">
        <v>358</v>
      </c>
      <c r="C341" s="48">
        <f>data!BI325</f>
        <v>0</v>
      </c>
      <c r="D341" s="48">
        <f>data!BJ325</f>
        <v>0</v>
      </c>
      <c r="E341" s="48">
        <f>data!BK325</f>
        <v>0</v>
      </c>
      <c r="F341" s="48">
        <f>data!BL325</f>
        <v>0</v>
      </c>
      <c r="G341" s="48">
        <f>data!BM325</f>
        <v>0</v>
      </c>
      <c r="H341" s="48">
        <f>data!BN325</f>
        <v>0</v>
      </c>
      <c r="I341" s="48">
        <f>data!BO325</f>
        <v>56373.950195783313</v>
      </c>
      <c r="J341" s="48">
        <f>data!BP325</f>
        <v>44466.441430552804</v>
      </c>
      <c r="K341" s="48">
        <f>data!BQ325</f>
        <v>31221.539951415354</v>
      </c>
      <c r="L341" s="48">
        <f>data!BR325</f>
        <v>16118.930779177386</v>
      </c>
      <c r="M341" s="48">
        <f>data!BS325</f>
        <v>0</v>
      </c>
    </row>
    <row r="342" spans="2:13" x14ac:dyDescent="0.2">
      <c r="B342" s="4" t="s">
        <v>359</v>
      </c>
      <c r="C342" s="48">
        <f>data!BI326</f>
        <v>0</v>
      </c>
      <c r="D342" s="48">
        <f>data!BJ326</f>
        <v>0</v>
      </c>
      <c r="E342" s="48">
        <f>data!BK326</f>
        <v>0</v>
      </c>
      <c r="F342" s="48">
        <f>data!BL326</f>
        <v>0</v>
      </c>
      <c r="G342" s="48">
        <f>data!BM326</f>
        <v>0</v>
      </c>
      <c r="H342" s="48">
        <f>data!BN326</f>
        <v>0</v>
      </c>
      <c r="I342" s="48">
        <f>data!BO326</f>
        <v>53895.129841446076</v>
      </c>
      <c r="J342" s="48">
        <f>data!BP326</f>
        <v>42682.98008744754</v>
      </c>
      <c r="K342" s="48">
        <f>data!BQ326</f>
        <v>30071.798675689839</v>
      </c>
      <c r="L342" s="48">
        <f>data!BR326</f>
        <v>15577.394800230322</v>
      </c>
      <c r="M342" s="48">
        <f>data!BS326</f>
        <v>0</v>
      </c>
    </row>
    <row r="343" spans="2:13" x14ac:dyDescent="0.2">
      <c r="B343" s="4" t="s">
        <v>360</v>
      </c>
      <c r="C343" s="48">
        <f>data!BI327</f>
        <v>0</v>
      </c>
      <c r="D343" s="48">
        <f>data!BJ327</f>
        <v>0</v>
      </c>
      <c r="E343" s="48">
        <f>data!BK327</f>
        <v>0</v>
      </c>
      <c r="F343" s="48">
        <f>data!BL327</f>
        <v>0</v>
      </c>
      <c r="G343" s="48">
        <f>data!BM327</f>
        <v>0</v>
      </c>
      <c r="H343" s="48">
        <f>data!BN327</f>
        <v>0</v>
      </c>
      <c r="I343" s="48">
        <f>data!BO327</f>
        <v>54179.446700637127</v>
      </c>
      <c r="J343" s="48">
        <f>data!BP327</f>
        <v>42842.070424764752</v>
      </c>
      <c r="K343" s="48">
        <f>data!BQ327</f>
        <v>30148.337433226487</v>
      </c>
      <c r="L343" s="48">
        <f>data!BR327</f>
        <v>15601.744699081257</v>
      </c>
      <c r="M343" s="48">
        <f>data!BS327</f>
        <v>0</v>
      </c>
    </row>
    <row r="344" spans="2:13" x14ac:dyDescent="0.2">
      <c r="B344" s="4" t="s">
        <v>361</v>
      </c>
      <c r="C344" s="48">
        <f>data!BI328</f>
        <v>0</v>
      </c>
      <c r="D344" s="48">
        <f>data!BJ328</f>
        <v>0</v>
      </c>
      <c r="E344" s="48">
        <f>data!BK328</f>
        <v>0</v>
      </c>
      <c r="F344" s="48">
        <f>data!BL328</f>
        <v>0</v>
      </c>
      <c r="G344" s="48">
        <f>data!BM328</f>
        <v>0</v>
      </c>
      <c r="H344" s="48">
        <f>data!BN328</f>
        <v>0</v>
      </c>
      <c r="I344" s="48">
        <f>data!BO328</f>
        <v>53593.803155930567</v>
      </c>
      <c r="J344" s="48">
        <f>data!BP328</f>
        <v>42414.270652899111</v>
      </c>
      <c r="K344" s="48">
        <f>data!BQ328</f>
        <v>29868.60252723092</v>
      </c>
      <c r="L344" s="48">
        <f>data!BR328</f>
        <v>15468.02627227837</v>
      </c>
      <c r="M344" s="48">
        <f>data!BS328</f>
        <v>0</v>
      </c>
    </row>
    <row r="345" spans="2:13" x14ac:dyDescent="0.2">
      <c r="B345" s="4" t="s">
        <v>362</v>
      </c>
      <c r="C345" s="48">
        <f>data!BI329</f>
        <v>0</v>
      </c>
      <c r="D345" s="48">
        <f>data!BJ329</f>
        <v>0</v>
      </c>
      <c r="E345" s="48">
        <f>data!BK329</f>
        <v>0</v>
      </c>
      <c r="F345" s="48">
        <f>data!BL329</f>
        <v>0</v>
      </c>
      <c r="G345" s="48">
        <f>data!BM329</f>
        <v>0</v>
      </c>
      <c r="H345" s="48">
        <f>data!BN329</f>
        <v>0</v>
      </c>
      <c r="I345" s="48">
        <f>data!BO329</f>
        <v>55796.999763067586</v>
      </c>
      <c r="J345" s="48">
        <f>data!BP329</f>
        <v>44047.968191901149</v>
      </c>
      <c r="K345" s="48">
        <f>data!BQ329</f>
        <v>30950.45744968707</v>
      </c>
      <c r="L345" s="48">
        <f>data!BR329</f>
        <v>15991.027767665795</v>
      </c>
      <c r="M345" s="48">
        <f>data!BS329</f>
        <v>0</v>
      </c>
    </row>
    <row r="346" spans="2:13" x14ac:dyDescent="0.2">
      <c r="B346" s="4" t="s">
        <v>363</v>
      </c>
      <c r="C346" s="48">
        <f>data!BI330</f>
        <v>0</v>
      </c>
      <c r="D346" s="48">
        <f>data!BJ330</f>
        <v>0</v>
      </c>
      <c r="E346" s="48">
        <f>data!BK330</f>
        <v>0</v>
      </c>
      <c r="F346" s="48">
        <f>data!BL330</f>
        <v>0</v>
      </c>
      <c r="G346" s="48">
        <f>data!BM330</f>
        <v>0</v>
      </c>
      <c r="H346" s="48">
        <f>data!BN330</f>
        <v>0</v>
      </c>
      <c r="I346" s="48">
        <f>data!BO330</f>
        <v>55299.768611609674</v>
      </c>
      <c r="J346" s="48">
        <f>data!BP330</f>
        <v>43716.814350200468</v>
      </c>
      <c r="K346" s="48">
        <f>data!BQ330</f>
        <v>30752.849784966747</v>
      </c>
      <c r="L346" s="48">
        <f>data!BR330</f>
        <v>15905.466809572123</v>
      </c>
      <c r="M346" s="48">
        <f>data!BS330</f>
        <v>0</v>
      </c>
    </row>
    <row r="347" spans="2:13" x14ac:dyDescent="0.2">
      <c r="B347" s="4" t="s">
        <v>364</v>
      </c>
      <c r="C347" s="48">
        <f>data!BI331</f>
        <v>0</v>
      </c>
      <c r="D347" s="48">
        <f>data!BJ331</f>
        <v>0</v>
      </c>
      <c r="E347" s="48">
        <f>data!BK331</f>
        <v>0</v>
      </c>
      <c r="F347" s="48">
        <f>data!BL331</f>
        <v>0</v>
      </c>
      <c r="G347" s="48">
        <f>data!BM331</f>
        <v>0</v>
      </c>
      <c r="H347" s="48">
        <f>data!BN331</f>
        <v>0</v>
      </c>
      <c r="I347" s="48">
        <f>data!BO331</f>
        <v>54604.216610012096</v>
      </c>
      <c r="J347" s="48">
        <f>data!BP331</f>
        <v>43218.819634372674</v>
      </c>
      <c r="K347" s="48">
        <f>data!BQ331</f>
        <v>30435.929202772</v>
      </c>
      <c r="L347" s="48">
        <f>data!BR331</f>
        <v>15759.45874529496</v>
      </c>
      <c r="M347" s="48">
        <f>data!BS331</f>
        <v>0</v>
      </c>
    </row>
    <row r="348" spans="2:13" x14ac:dyDescent="0.2">
      <c r="B348" s="4" t="s">
        <v>365</v>
      </c>
      <c r="C348" s="48">
        <f>data!BI332</f>
        <v>0</v>
      </c>
      <c r="D348" s="48">
        <f>data!BJ332</f>
        <v>0</v>
      </c>
      <c r="E348" s="48">
        <f>data!BK332</f>
        <v>0</v>
      </c>
      <c r="F348" s="48">
        <f>data!BL332</f>
        <v>0</v>
      </c>
      <c r="G348" s="48">
        <f>data!BM332</f>
        <v>0</v>
      </c>
      <c r="H348" s="48">
        <f>data!BN332</f>
        <v>0</v>
      </c>
      <c r="I348" s="48">
        <f>data!BO332</f>
        <v>52704.557805322547</v>
      </c>
      <c r="J348" s="48">
        <f>data!BP332</f>
        <v>41792.933504355387</v>
      </c>
      <c r="K348" s="48">
        <f>data!BQ332</f>
        <v>29480.914505796452</v>
      </c>
      <c r="L348" s="48">
        <f>data!BR332</f>
        <v>15292.301349494704</v>
      </c>
      <c r="M348" s="48">
        <f>data!BS332</f>
        <v>0</v>
      </c>
    </row>
    <row r="349" spans="2:13" x14ac:dyDescent="0.2">
      <c r="B349" s="4" t="s">
        <v>366</v>
      </c>
      <c r="C349" s="48">
        <f>data!BI333</f>
        <v>0</v>
      </c>
      <c r="D349" s="48">
        <f>data!BJ333</f>
        <v>0</v>
      </c>
      <c r="E349" s="48">
        <f>data!BK333</f>
        <v>0</v>
      </c>
      <c r="F349" s="48">
        <f>data!BL333</f>
        <v>0</v>
      </c>
      <c r="G349" s="48">
        <f>data!BM333</f>
        <v>0</v>
      </c>
      <c r="H349" s="48">
        <f>data!BN333</f>
        <v>0</v>
      </c>
      <c r="I349" s="48">
        <f>data!BO333</f>
        <v>49152.777357393439</v>
      </c>
      <c r="J349" s="48">
        <f>data!BP333</f>
        <v>39177.020815697695</v>
      </c>
      <c r="K349" s="48">
        <f>data!BQ333</f>
        <v>27755.398303901966</v>
      </c>
      <c r="L349" s="48">
        <f>data!BR333</f>
        <v>14458.568404112217</v>
      </c>
      <c r="M349" s="48">
        <f>data!BS333</f>
        <v>0</v>
      </c>
    </row>
    <row r="350" spans="2:13" x14ac:dyDescent="0.2">
      <c r="B350" s="4" t="s">
        <v>367</v>
      </c>
      <c r="C350" s="48">
        <f>data!BI334</f>
        <v>0</v>
      </c>
      <c r="D350" s="48">
        <f>data!BJ334</f>
        <v>0</v>
      </c>
      <c r="E350" s="48">
        <f>data!BK334</f>
        <v>0</v>
      </c>
      <c r="F350" s="48">
        <f>data!BL334</f>
        <v>0</v>
      </c>
      <c r="G350" s="48">
        <f>data!BM334</f>
        <v>0</v>
      </c>
      <c r="H350" s="48">
        <f>data!BN334</f>
        <v>0</v>
      </c>
      <c r="I350" s="48">
        <f>data!BO334</f>
        <v>49355.684794509682</v>
      </c>
      <c r="J350" s="48">
        <f>data!BP334</f>
        <v>39328.622214527713</v>
      </c>
      <c r="K350" s="48">
        <f>data!BQ334</f>
        <v>27855.597295566258</v>
      </c>
      <c r="L350" s="48">
        <f>data!BR334</f>
        <v>14506.567037404839</v>
      </c>
      <c r="M350" s="48">
        <f>data!BS334</f>
        <v>0</v>
      </c>
    </row>
    <row r="351" spans="2:13" x14ac:dyDescent="0.2">
      <c r="B351" s="4" t="s">
        <v>368</v>
      </c>
      <c r="C351" s="48">
        <f>data!BI335</f>
        <v>0</v>
      </c>
      <c r="D351" s="48">
        <f>data!BJ335</f>
        <v>0</v>
      </c>
      <c r="E351" s="48">
        <f>data!BK335</f>
        <v>0</v>
      </c>
      <c r="F351" s="48">
        <f>data!BL335</f>
        <v>0</v>
      </c>
      <c r="G351" s="48">
        <f>data!BM335</f>
        <v>0</v>
      </c>
      <c r="H351" s="48">
        <f>data!BN335</f>
        <v>0</v>
      </c>
      <c r="I351" s="48">
        <f>data!BO335</f>
        <v>48701.966383187762</v>
      </c>
      <c r="J351" s="48">
        <f>data!BP335</f>
        <v>38843.628038630595</v>
      </c>
      <c r="K351" s="48">
        <f>data!BQ335</f>
        <v>27534.500676672422</v>
      </c>
      <c r="L351" s="48">
        <f>data!BR335</f>
        <v>14351.230582238246</v>
      </c>
      <c r="M351" s="48">
        <f>data!BS335</f>
        <v>0</v>
      </c>
    </row>
    <row r="352" spans="2:13" x14ac:dyDescent="0.2">
      <c r="B352" s="4" t="s">
        <v>369</v>
      </c>
      <c r="C352" s="48">
        <f>data!BI336</f>
        <v>0</v>
      </c>
      <c r="D352" s="48">
        <f>data!BJ336</f>
        <v>0</v>
      </c>
      <c r="E352" s="48">
        <f>data!BK336</f>
        <v>0</v>
      </c>
      <c r="F352" s="48">
        <f>data!BL336</f>
        <v>0</v>
      </c>
      <c r="G352" s="48">
        <f>data!BM336</f>
        <v>0</v>
      </c>
      <c r="H352" s="48">
        <f>data!BN336</f>
        <v>0</v>
      </c>
      <c r="I352" s="48">
        <f>data!BO336</f>
        <v>47788.517220474991</v>
      </c>
      <c r="J352" s="48">
        <f>data!BP336</f>
        <v>38132.449691023219</v>
      </c>
      <c r="K352" s="48">
        <f>data!BQ336</f>
        <v>27042.898478912532</v>
      </c>
      <c r="L352" s="48">
        <f>data!BR336</f>
        <v>14103.177476599958</v>
      </c>
      <c r="M352" s="48">
        <f>data!BS336</f>
        <v>0</v>
      </c>
    </row>
    <row r="353" spans="2:13" x14ac:dyDescent="0.2">
      <c r="B353" s="4" t="s">
        <v>370</v>
      </c>
      <c r="C353" s="48">
        <f>data!BI337</f>
        <v>0</v>
      </c>
      <c r="D353" s="48">
        <f>data!BJ337</f>
        <v>0</v>
      </c>
      <c r="E353" s="48">
        <f>data!BK337</f>
        <v>0</v>
      </c>
      <c r="F353" s="48">
        <f>data!BL337</f>
        <v>0</v>
      </c>
      <c r="G353" s="48">
        <f>data!BM337</f>
        <v>0</v>
      </c>
      <c r="H353" s="48">
        <f>data!BN337</f>
        <v>0</v>
      </c>
      <c r="I353" s="48">
        <f>data!BO337</f>
        <v>48374.412659046968</v>
      </c>
      <c r="J353" s="48">
        <f>data!BP337</f>
        <v>38539.9575827234</v>
      </c>
      <c r="K353" s="48">
        <f>data!BQ337</f>
        <v>27299.886645755352</v>
      </c>
      <c r="L353" s="48">
        <f>data!BR337</f>
        <v>14223.145095487142</v>
      </c>
      <c r="M353" s="48">
        <f>data!BS337</f>
        <v>0</v>
      </c>
    </row>
    <row r="354" spans="2:13" x14ac:dyDescent="0.2">
      <c r="B354" s="4" t="s">
        <v>371</v>
      </c>
      <c r="C354" s="48">
        <f>data!BI338</f>
        <v>0</v>
      </c>
      <c r="D354" s="48">
        <f>data!BJ338</f>
        <v>0</v>
      </c>
      <c r="E354" s="48">
        <f>data!BK338</f>
        <v>0</v>
      </c>
      <c r="F354" s="48">
        <f>data!BL338</f>
        <v>0</v>
      </c>
      <c r="G354" s="48">
        <f>data!BM338</f>
        <v>0</v>
      </c>
      <c r="H354" s="48">
        <f>data!BN338</f>
        <v>0</v>
      </c>
      <c r="I354" s="48">
        <f>data!BO338</f>
        <v>46951.299379882978</v>
      </c>
      <c r="J354" s="48">
        <f>data!BP338</f>
        <v>37516.415226109086</v>
      </c>
      <c r="K354" s="48">
        <f>data!BQ338</f>
        <v>26637.598500031432</v>
      </c>
      <c r="L354" s="48">
        <f>data!BR338</f>
        <v>13907.98334982366</v>
      </c>
      <c r="M354" s="48">
        <f>data!BS338</f>
        <v>0</v>
      </c>
    </row>
    <row r="355" spans="2:13" x14ac:dyDescent="0.2">
      <c r="B355" s="4" t="s">
        <v>372</v>
      </c>
      <c r="C355" s="48">
        <f>data!BI339</f>
        <v>0</v>
      </c>
      <c r="D355" s="48">
        <f>data!BJ339</f>
        <v>0</v>
      </c>
      <c r="E355" s="48">
        <f>data!BK339</f>
        <v>0</v>
      </c>
      <c r="F355" s="48">
        <f>data!BL339</f>
        <v>0</v>
      </c>
      <c r="G355" s="48">
        <f>data!BM339</f>
        <v>0</v>
      </c>
      <c r="H355" s="48">
        <f>data!BN339</f>
        <v>0</v>
      </c>
      <c r="I355" s="48">
        <f>data!BO339</f>
        <v>44030.69096823912</v>
      </c>
      <c r="J355" s="48">
        <f>data!BP339</f>
        <v>35338.093455074792</v>
      </c>
      <c r="K355" s="48">
        <f>data!BQ339</f>
        <v>25186.503235880351</v>
      </c>
      <c r="L355" s="48">
        <f>data!BR339</f>
        <v>13200.097905884431</v>
      </c>
      <c r="M355" s="48">
        <f>data!BS339</f>
        <v>0</v>
      </c>
    </row>
    <row r="356" spans="2:13" x14ac:dyDescent="0.2">
      <c r="B356" s="4" t="s">
        <v>373</v>
      </c>
      <c r="C356" s="48">
        <f>data!BI340</f>
        <v>0</v>
      </c>
      <c r="D356" s="48">
        <f>data!BJ340</f>
        <v>0</v>
      </c>
      <c r="E356" s="48">
        <f>data!BK340</f>
        <v>0</v>
      </c>
      <c r="F356" s="48">
        <f>data!BL340</f>
        <v>0</v>
      </c>
      <c r="G356" s="48">
        <f>data!BM340</f>
        <v>0</v>
      </c>
      <c r="H356" s="48">
        <f>data!BN340</f>
        <v>0</v>
      </c>
      <c r="I356" s="48">
        <f>data!BO340</f>
        <v>43711.970567654607</v>
      </c>
      <c r="J356" s="48">
        <f>data!BP340</f>
        <v>35092.134377144714</v>
      </c>
      <c r="K356" s="48">
        <f>data!BQ340</f>
        <v>25019.135145051703</v>
      </c>
      <c r="L356" s="48">
        <f>data!BR340</f>
        <v>13117.442957101564</v>
      </c>
      <c r="M356" s="48">
        <f>data!BS340</f>
        <v>0</v>
      </c>
    </row>
    <row r="357" spans="2:13" x14ac:dyDescent="0.2">
      <c r="B357" s="4" t="s">
        <v>374</v>
      </c>
      <c r="C357" s="48">
        <f>data!BI341</f>
        <v>0</v>
      </c>
      <c r="D357" s="48">
        <f>data!BJ341</f>
        <v>0</v>
      </c>
      <c r="E357" s="48">
        <f>data!BK341</f>
        <v>0</v>
      </c>
      <c r="F357" s="48">
        <f>data!BL341</f>
        <v>0</v>
      </c>
      <c r="G357" s="48">
        <f>data!BM341</f>
        <v>0</v>
      </c>
      <c r="H357" s="48">
        <f>data!BN341</f>
        <v>0</v>
      </c>
      <c r="I357" s="48">
        <f>data!BO341</f>
        <v>40669.0535087592</v>
      </c>
      <c r="J357" s="48">
        <f>data!BP341</f>
        <v>32866.171647015966</v>
      </c>
      <c r="K357" s="48">
        <f>data!BQ341</f>
        <v>23562.202932601213</v>
      </c>
      <c r="L357" s="48">
        <f>data!BR341</f>
        <v>12418.151573301458</v>
      </c>
      <c r="M357" s="48">
        <f>data!BS341</f>
        <v>0</v>
      </c>
    </row>
    <row r="358" spans="2:13" x14ac:dyDescent="0.2">
      <c r="B358" s="4" t="s">
        <v>375</v>
      </c>
      <c r="C358" s="48">
        <f>data!BI342</f>
        <v>0</v>
      </c>
      <c r="D358" s="48">
        <f>data!BJ342</f>
        <v>0</v>
      </c>
      <c r="E358" s="48">
        <f>data!BK342</f>
        <v>0</v>
      </c>
      <c r="F358" s="48">
        <f>data!BL342</f>
        <v>0</v>
      </c>
      <c r="G358" s="48">
        <f>data!BM342</f>
        <v>0</v>
      </c>
      <c r="H358" s="48">
        <f>data!BN342</f>
        <v>0</v>
      </c>
      <c r="I358" s="48">
        <f>data!BO342</f>
        <v>39454.422076270952</v>
      </c>
      <c r="J358" s="48">
        <f>data!BP342</f>
        <v>31959.668473979851</v>
      </c>
      <c r="K358" s="48">
        <f>data!BQ342</f>
        <v>22957.229809036609</v>
      </c>
      <c r="L358" s="48">
        <f>data!BR342</f>
        <v>12121.697815658265</v>
      </c>
      <c r="M358" s="48">
        <f>data!BS342</f>
        <v>0</v>
      </c>
    </row>
    <row r="359" spans="2:13" x14ac:dyDescent="0.2">
      <c r="B359" s="4" t="s">
        <v>376</v>
      </c>
      <c r="C359" s="48">
        <f>data!BI343</f>
        <v>0</v>
      </c>
      <c r="D359" s="48">
        <f>data!BJ343</f>
        <v>0</v>
      </c>
      <c r="E359" s="48">
        <f>data!BK343</f>
        <v>0</v>
      </c>
      <c r="F359" s="48">
        <f>data!BL343</f>
        <v>0</v>
      </c>
      <c r="G359" s="48">
        <f>data!BM343</f>
        <v>0</v>
      </c>
      <c r="H359" s="48">
        <f>data!BN343</f>
        <v>0</v>
      </c>
      <c r="I359" s="48">
        <f>data!BO343</f>
        <v>39469.496690700667</v>
      </c>
      <c r="J359" s="48">
        <f>data!BP343</f>
        <v>31929.383864849558</v>
      </c>
      <c r="K359" s="48">
        <f>data!BQ343</f>
        <v>22911.846938031224</v>
      </c>
      <c r="L359" s="48">
        <f>data!BR343</f>
        <v>12087.523635368168</v>
      </c>
      <c r="M359" s="48">
        <f>data!BS343</f>
        <v>0</v>
      </c>
    </row>
    <row r="360" spans="2:13" x14ac:dyDescent="0.2">
      <c r="B360" s="4" t="s">
        <v>377</v>
      </c>
      <c r="C360" s="48">
        <f>data!BI344</f>
        <v>0</v>
      </c>
      <c r="D360" s="48">
        <f>data!BJ344</f>
        <v>0</v>
      </c>
      <c r="E360" s="48">
        <f>data!BK344</f>
        <v>0</v>
      </c>
      <c r="F360" s="48">
        <f>data!BL344</f>
        <v>0</v>
      </c>
      <c r="G360" s="48">
        <f>data!BM344</f>
        <v>0</v>
      </c>
      <c r="H360" s="48">
        <f>data!BN344</f>
        <v>0</v>
      </c>
      <c r="I360" s="48">
        <f>data!BO344</f>
        <v>38559.624846388077</v>
      </c>
      <c r="J360" s="48">
        <f>data!BP344</f>
        <v>31218.739160623918</v>
      </c>
      <c r="K360" s="48">
        <f>data!BQ344</f>
        <v>22417.683087208199</v>
      </c>
      <c r="L360" s="48">
        <f>data!BR344</f>
        <v>11835.507489621272</v>
      </c>
      <c r="M360" s="48">
        <f>data!BS344</f>
        <v>0</v>
      </c>
    </row>
    <row r="361" spans="2:13" x14ac:dyDescent="0.2">
      <c r="B361" s="4" t="s">
        <v>378</v>
      </c>
      <c r="C361" s="48">
        <f>data!BI345</f>
        <v>0</v>
      </c>
      <c r="D361" s="48">
        <f>data!BJ345</f>
        <v>0</v>
      </c>
      <c r="E361" s="48">
        <f>data!BK345</f>
        <v>0</v>
      </c>
      <c r="F361" s="48">
        <f>data!BL345</f>
        <v>0</v>
      </c>
      <c r="G361" s="48">
        <f>data!BM345</f>
        <v>0</v>
      </c>
      <c r="H361" s="48">
        <f>data!BN345</f>
        <v>0</v>
      </c>
      <c r="I361" s="48">
        <f>data!BO345</f>
        <v>38256.542429859066</v>
      </c>
      <c r="J361" s="48">
        <f>data!BP345</f>
        <v>30997.399091376086</v>
      </c>
      <c r="K361" s="48">
        <f>data!BQ345</f>
        <v>22272.165370304421</v>
      </c>
      <c r="L361" s="48">
        <f>data!BR345</f>
        <v>11764.851293192258</v>
      </c>
      <c r="M361" s="48">
        <f>data!BS345</f>
        <v>0</v>
      </c>
    </row>
    <row r="362" spans="2:13" x14ac:dyDescent="0.2">
      <c r="B362" s="4" t="s">
        <v>379</v>
      </c>
      <c r="C362" s="48">
        <f>data!BI346</f>
        <v>0</v>
      </c>
      <c r="D362" s="48">
        <f>data!BJ346</f>
        <v>0</v>
      </c>
      <c r="E362" s="48">
        <f>data!BK346</f>
        <v>0</v>
      </c>
      <c r="F362" s="48">
        <f>data!BL346</f>
        <v>0</v>
      </c>
      <c r="G362" s="48">
        <f>data!BM346</f>
        <v>0</v>
      </c>
      <c r="H362" s="48">
        <f>data!BN346</f>
        <v>0</v>
      </c>
      <c r="I362" s="48">
        <f>data!BO346</f>
        <v>40297.890534917955</v>
      </c>
      <c r="J362" s="48">
        <f>data!BP346</f>
        <v>32473.019396180178</v>
      </c>
      <c r="K362" s="48">
        <f>data!BQ346</f>
        <v>23228.930768475329</v>
      </c>
      <c r="L362" s="48">
        <f>data!BR346</f>
        <v>12220.980817917807</v>
      </c>
      <c r="M362" s="48">
        <f>data!BS346</f>
        <v>0</v>
      </c>
    </row>
    <row r="363" spans="2:13" x14ac:dyDescent="0.2">
      <c r="B363" s="4" t="s">
        <v>380</v>
      </c>
      <c r="C363" s="48">
        <f>data!BI347</f>
        <v>0</v>
      </c>
      <c r="D363" s="48">
        <f>data!BJ347</f>
        <v>0</v>
      </c>
      <c r="E363" s="48">
        <f>data!BK347</f>
        <v>0</v>
      </c>
      <c r="F363" s="48">
        <f>data!BL347</f>
        <v>0</v>
      </c>
      <c r="G363" s="48">
        <f>data!BM347</f>
        <v>0</v>
      </c>
      <c r="H363" s="48">
        <f>data!BN347</f>
        <v>0</v>
      </c>
      <c r="I363" s="48">
        <f>data!BO347</f>
        <v>39915.521933775519</v>
      </c>
      <c r="J363" s="48">
        <f>data!BP347</f>
        <v>32168.513334372823</v>
      </c>
      <c r="K363" s="48">
        <f>data!BQ347</f>
        <v>23013.72417938424</v>
      </c>
      <c r="L363" s="48">
        <f>data!BR347</f>
        <v>12109.652388294586</v>
      </c>
      <c r="M363" s="48">
        <f>data!BS347</f>
        <v>0</v>
      </c>
    </row>
    <row r="364" spans="2:13" x14ac:dyDescent="0.2">
      <c r="B364" s="4" t="s">
        <v>381</v>
      </c>
      <c r="C364" s="48">
        <f>data!BI348</f>
        <v>0</v>
      </c>
      <c r="D364" s="48">
        <f>data!BJ348</f>
        <v>0</v>
      </c>
      <c r="E364" s="48">
        <f>data!BK348</f>
        <v>0</v>
      </c>
      <c r="F364" s="48">
        <f>data!BL348</f>
        <v>0</v>
      </c>
      <c r="G364" s="48">
        <f>data!BM348</f>
        <v>0</v>
      </c>
      <c r="H364" s="48">
        <f>data!BN348</f>
        <v>0</v>
      </c>
      <c r="I364" s="48">
        <f>data!BO348</f>
        <v>38857.344652635955</v>
      </c>
      <c r="J364" s="48">
        <f>data!BP348</f>
        <v>31408.933326458271</v>
      </c>
      <c r="K364" s="48">
        <f>data!BQ348</f>
        <v>22523.065746773504</v>
      </c>
      <c r="L364" s="48">
        <f>data!BR348</f>
        <v>11875.919942908462</v>
      </c>
      <c r="M364" s="48">
        <f>data!BS348</f>
        <v>0</v>
      </c>
    </row>
    <row r="365" spans="2:13" x14ac:dyDescent="0.2">
      <c r="B365" s="4" t="s">
        <v>382</v>
      </c>
      <c r="C365" s="48">
        <f>data!BI349</f>
        <v>0</v>
      </c>
      <c r="D365" s="48">
        <f>data!BJ349</f>
        <v>0</v>
      </c>
      <c r="E365" s="48">
        <f>data!BK349</f>
        <v>0</v>
      </c>
      <c r="F365" s="48">
        <f>data!BL349</f>
        <v>0</v>
      </c>
      <c r="G365" s="48">
        <f>data!BM349</f>
        <v>0</v>
      </c>
      <c r="H365" s="48">
        <f>data!BN349</f>
        <v>0</v>
      </c>
      <c r="I365" s="48">
        <f>data!BO349</f>
        <v>38350.326108457826</v>
      </c>
      <c r="J365" s="48">
        <f>data!BP349</f>
        <v>31015.465005619015</v>
      </c>
      <c r="K365" s="48">
        <f>data!BQ349</f>
        <v>22253.322640120568</v>
      </c>
      <c r="L365" s="48">
        <f>data!BR349</f>
        <v>11741.254288131286</v>
      </c>
      <c r="M365" s="48">
        <f>data!BS349</f>
        <v>0</v>
      </c>
    </row>
    <row r="366" spans="2:13" x14ac:dyDescent="0.2">
      <c r="B366" s="4" t="s">
        <v>383</v>
      </c>
      <c r="C366" s="48">
        <f>data!BI350</f>
        <v>0</v>
      </c>
      <c r="D366" s="48">
        <f>data!BJ350</f>
        <v>0</v>
      </c>
      <c r="E366" s="48">
        <f>data!BK350</f>
        <v>0</v>
      </c>
      <c r="F366" s="48">
        <f>data!BL350</f>
        <v>0</v>
      </c>
      <c r="G366" s="48">
        <f>data!BM350</f>
        <v>0</v>
      </c>
      <c r="H366" s="48">
        <f>data!BN350</f>
        <v>0</v>
      </c>
      <c r="I366" s="48">
        <f>data!BO350</f>
        <v>38595.121934845229</v>
      </c>
      <c r="J366" s="48">
        <f>data!BP350</f>
        <v>31211.797797697483</v>
      </c>
      <c r="K366" s="48">
        <f>data!BQ350</f>
        <v>22391.004006820571</v>
      </c>
      <c r="L366" s="48">
        <f>data!BR350</f>
        <v>11811.127116972562</v>
      </c>
      <c r="M366" s="48">
        <f>data!BS350</f>
        <v>0</v>
      </c>
    </row>
    <row r="367" spans="2:13" x14ac:dyDescent="0.2">
      <c r="B367" s="4" t="s">
        <v>384</v>
      </c>
      <c r="C367" s="48">
        <f>data!BI351</f>
        <v>0</v>
      </c>
      <c r="D367" s="48">
        <f>data!BJ351</f>
        <v>0</v>
      </c>
      <c r="E367" s="48">
        <f>data!BK351</f>
        <v>0</v>
      </c>
      <c r="F367" s="48">
        <f>data!BL351</f>
        <v>0</v>
      </c>
      <c r="G367" s="48">
        <f>data!BM351</f>
        <v>0</v>
      </c>
      <c r="H367" s="48">
        <f>data!BN351</f>
        <v>0</v>
      </c>
      <c r="I367" s="48">
        <f>data!BO351</f>
        <v>37350.657802875969</v>
      </c>
      <c r="J367" s="48">
        <f>data!BP351</f>
        <v>30294.343439602075</v>
      </c>
      <c r="K367" s="48">
        <f>data!BQ351</f>
        <v>21787.874564799098</v>
      </c>
      <c r="L367" s="48">
        <f>data!BR351</f>
        <v>11520.858409221217</v>
      </c>
      <c r="M367" s="48">
        <f>data!BS351</f>
        <v>0</v>
      </c>
    </row>
    <row r="368" spans="2:13" x14ac:dyDescent="0.2">
      <c r="B368" s="4" t="s">
        <v>385</v>
      </c>
      <c r="C368" s="48">
        <f>data!BI352</f>
        <v>0</v>
      </c>
      <c r="D368" s="48">
        <f>data!BJ352</f>
        <v>0</v>
      </c>
      <c r="E368" s="48">
        <f>data!BK352</f>
        <v>0</v>
      </c>
      <c r="F368" s="48">
        <f>data!BL352</f>
        <v>0</v>
      </c>
      <c r="G368" s="48">
        <f>data!BM352</f>
        <v>0</v>
      </c>
      <c r="H368" s="48">
        <f>data!BN352</f>
        <v>0</v>
      </c>
      <c r="I368" s="48">
        <f>data!BO352</f>
        <v>35478.279519399533</v>
      </c>
      <c r="J368" s="48">
        <f>data!BP352</f>
        <v>28963.706569125403</v>
      </c>
      <c r="K368" s="48">
        <f>data!BQ352</f>
        <v>20941.369137750931</v>
      </c>
      <c r="L368" s="48">
        <f>data!BR352</f>
        <v>11125.79240226661</v>
      </c>
      <c r="M368" s="48">
        <f>data!BS352</f>
        <v>0</v>
      </c>
    </row>
    <row r="369" spans="2:13" x14ac:dyDescent="0.2">
      <c r="B369" s="4" t="s">
        <v>386</v>
      </c>
      <c r="C369" s="48">
        <f>data!BI353</f>
        <v>0</v>
      </c>
      <c r="D369" s="48">
        <f>data!BJ353</f>
        <v>0</v>
      </c>
      <c r="E369" s="48">
        <f>data!BK353</f>
        <v>0</v>
      </c>
      <c r="F369" s="48">
        <f>data!BL353</f>
        <v>0</v>
      </c>
      <c r="G369" s="48">
        <f>data!BM353</f>
        <v>0</v>
      </c>
      <c r="H369" s="48">
        <f>data!BN353</f>
        <v>0</v>
      </c>
      <c r="I369" s="48">
        <f>data!BO353</f>
        <v>35753.697063723084</v>
      </c>
      <c r="J369" s="48">
        <f>data!BP353</f>
        <v>29098.589401655405</v>
      </c>
      <c r="K369" s="48">
        <f>data!BQ353</f>
        <v>20989.352741767347</v>
      </c>
      <c r="L369" s="48">
        <f>data!BR353</f>
        <v>11129.853020339779</v>
      </c>
      <c r="M369" s="48">
        <f>data!BS353</f>
        <v>0</v>
      </c>
    </row>
    <row r="370" spans="2:13" x14ac:dyDescent="0.2">
      <c r="B370" s="4" t="s">
        <v>387</v>
      </c>
      <c r="C370" s="48">
        <f>data!BI354</f>
        <v>0</v>
      </c>
      <c r="D370" s="48">
        <f>data!BJ354</f>
        <v>0</v>
      </c>
      <c r="E370" s="48">
        <f>data!BK354</f>
        <v>0</v>
      </c>
      <c r="F370" s="48">
        <f>data!BL354</f>
        <v>0</v>
      </c>
      <c r="G370" s="48">
        <f>data!BM354</f>
        <v>0</v>
      </c>
      <c r="H370" s="48">
        <f>data!BN354</f>
        <v>0</v>
      </c>
      <c r="I370" s="48">
        <f>data!BO354</f>
        <v>35119.991577650013</v>
      </c>
      <c r="J370" s="48">
        <f>data!BP354</f>
        <v>28595.071394656323</v>
      </c>
      <c r="K370" s="48">
        <f>data!BQ354</f>
        <v>20636.658960467226</v>
      </c>
      <c r="L370" s="48">
        <f>data!BR354</f>
        <v>10949.839957161927</v>
      </c>
      <c r="M370" s="48">
        <f>data!BS354</f>
        <v>0</v>
      </c>
    </row>
    <row r="371" spans="2:13" x14ac:dyDescent="0.2">
      <c r="B371" s="4" t="s">
        <v>388</v>
      </c>
      <c r="C371" s="48">
        <f>data!BI355</f>
        <v>0</v>
      </c>
      <c r="D371" s="48">
        <f>data!BJ355</f>
        <v>0</v>
      </c>
      <c r="E371" s="48">
        <f>data!BK355</f>
        <v>0</v>
      </c>
      <c r="F371" s="48">
        <f>data!BL355</f>
        <v>0</v>
      </c>
      <c r="G371" s="48">
        <f>data!BM355</f>
        <v>0</v>
      </c>
      <c r="H371" s="48">
        <f>data!BN355</f>
        <v>0</v>
      </c>
      <c r="I371" s="48">
        <f>data!BO355</f>
        <v>35433.125412373294</v>
      </c>
      <c r="J371" s="48">
        <f>data!BP355</f>
        <v>28819.046720391725</v>
      </c>
      <c r="K371" s="48">
        <f>data!BQ355</f>
        <v>20782.038921552965</v>
      </c>
      <c r="L371" s="48">
        <f>data!BR355</f>
        <v>11020.106835005554</v>
      </c>
      <c r="M371" s="48">
        <f>data!BS355</f>
        <v>0</v>
      </c>
    </row>
    <row r="372" spans="2:13" x14ac:dyDescent="0.2">
      <c r="B372" s="4" t="s">
        <v>389</v>
      </c>
      <c r="C372" s="48">
        <f>data!BI356</f>
        <v>0</v>
      </c>
      <c r="D372" s="48">
        <f>data!BJ356</f>
        <v>0</v>
      </c>
      <c r="E372" s="48">
        <f>data!BK356</f>
        <v>0</v>
      </c>
      <c r="F372" s="48">
        <f>data!BL356</f>
        <v>0</v>
      </c>
      <c r="G372" s="48">
        <f>data!BM356</f>
        <v>0</v>
      </c>
      <c r="H372" s="48">
        <f>data!BN356</f>
        <v>0</v>
      </c>
      <c r="I372" s="48">
        <f>data!BO356</f>
        <v>33541.813880677568</v>
      </c>
      <c r="J372" s="48">
        <f>data!BP356</f>
        <v>27390.697811083948</v>
      </c>
      <c r="K372" s="48">
        <f>data!BQ356</f>
        <v>19821.037848199761</v>
      </c>
      <c r="L372" s="48">
        <f>data!BR356</f>
        <v>10546.006935404852</v>
      </c>
      <c r="M372" s="48">
        <f>data!BS356</f>
        <v>0</v>
      </c>
    </row>
    <row r="373" spans="2:13" x14ac:dyDescent="0.2">
      <c r="B373" s="4" t="s">
        <v>390</v>
      </c>
      <c r="C373" s="48">
        <f>data!BI357</f>
        <v>0</v>
      </c>
      <c r="D373" s="48">
        <f>data!BJ357</f>
        <v>0</v>
      </c>
      <c r="E373" s="48">
        <f>data!BK357</f>
        <v>0</v>
      </c>
      <c r="F373" s="48">
        <f>data!BL357</f>
        <v>0</v>
      </c>
      <c r="G373" s="48">
        <f>data!BM357</f>
        <v>0</v>
      </c>
      <c r="H373" s="48">
        <f>data!BN357</f>
        <v>0</v>
      </c>
      <c r="I373" s="48">
        <f>data!BO357</f>
        <v>32392.687175497573</v>
      </c>
      <c r="J373" s="48">
        <f>data!BP357</f>
        <v>26522.939528747444</v>
      </c>
      <c r="K373" s="48">
        <f>data!BQ357</f>
        <v>19235.12479923221</v>
      </c>
      <c r="L373" s="48">
        <f>data!BR357</f>
        <v>10254.82984888986</v>
      </c>
      <c r="M373" s="48">
        <f>data!BS357</f>
        <v>0</v>
      </c>
    </row>
    <row r="374" spans="2:13" x14ac:dyDescent="0.2">
      <c r="B374" s="4" t="s">
        <v>391</v>
      </c>
      <c r="C374" s="48">
        <f>data!BI358</f>
        <v>0</v>
      </c>
      <c r="D374" s="48">
        <f>data!BJ358</f>
        <v>0</v>
      </c>
      <c r="E374" s="48">
        <f>data!BK358</f>
        <v>0</v>
      </c>
      <c r="F374" s="48">
        <f>data!BL358</f>
        <v>0</v>
      </c>
      <c r="G374" s="48">
        <f>data!BM358</f>
        <v>0</v>
      </c>
      <c r="H374" s="48">
        <f>data!BN358</f>
        <v>0</v>
      </c>
      <c r="I374" s="48">
        <f>data!BO358</f>
        <v>33614.495974264762</v>
      </c>
      <c r="J374" s="48">
        <f>data!BP358</f>
        <v>27418.164041803801</v>
      </c>
      <c r="K374" s="48">
        <f>data!BQ358</f>
        <v>19821.911093799506</v>
      </c>
      <c r="L374" s="48">
        <f>data!BR358</f>
        <v>10537.601308370615</v>
      </c>
      <c r="M374" s="48">
        <f>data!BS358</f>
        <v>0</v>
      </c>
    </row>
    <row r="375" spans="2:13" x14ac:dyDescent="0.2">
      <c r="B375" s="4" t="s">
        <v>392</v>
      </c>
      <c r="C375" s="48">
        <f>data!BI359</f>
        <v>0</v>
      </c>
      <c r="D375" s="48">
        <f>data!BJ359</f>
        <v>0</v>
      </c>
      <c r="E375" s="48">
        <f>data!BK359</f>
        <v>0</v>
      </c>
      <c r="F375" s="48">
        <f>data!BL359</f>
        <v>0</v>
      </c>
      <c r="G375" s="48">
        <f>data!BM359</f>
        <v>0</v>
      </c>
      <c r="H375" s="48">
        <f>data!BN359</f>
        <v>0</v>
      </c>
      <c r="I375" s="48">
        <f>data!BO359</f>
        <v>0</v>
      </c>
      <c r="J375" s="48">
        <f>data!BP359</f>
        <v>28294.455214386853</v>
      </c>
      <c r="K375" s="48">
        <f>data!BQ359</f>
        <v>20491.894754198671</v>
      </c>
      <c r="L375" s="48">
        <f>data!BR359</f>
        <v>10913.480913370357</v>
      </c>
      <c r="M375" s="48">
        <f>data!BS359</f>
        <v>0</v>
      </c>
    </row>
    <row r="376" spans="2:13" x14ac:dyDescent="0.2">
      <c r="B376" s="4" t="s">
        <v>393</v>
      </c>
      <c r="C376" s="48">
        <f>data!BI360</f>
        <v>0</v>
      </c>
      <c r="D376" s="48">
        <f>data!BJ360</f>
        <v>0</v>
      </c>
      <c r="E376" s="48">
        <f>data!BK360</f>
        <v>0</v>
      </c>
      <c r="F376" s="48">
        <f>data!BL360</f>
        <v>0</v>
      </c>
      <c r="G376" s="48">
        <f>data!BM360</f>
        <v>0</v>
      </c>
      <c r="H376" s="48">
        <f>data!BN360</f>
        <v>0</v>
      </c>
      <c r="I376" s="48">
        <f>data!BO360</f>
        <v>0</v>
      </c>
      <c r="J376" s="48">
        <f>data!BP360</f>
        <v>25893.743440994163</v>
      </c>
      <c r="K376" s="48">
        <f>data!BQ360</f>
        <v>18921.823255368246</v>
      </c>
      <c r="L376" s="48">
        <f>data!BR360</f>
        <v>10159.415831219485</v>
      </c>
      <c r="M376" s="48">
        <f>data!BS360</f>
        <v>0</v>
      </c>
    </row>
    <row r="377" spans="2:13" x14ac:dyDescent="0.2">
      <c r="B377" s="4" t="s">
        <v>394</v>
      </c>
      <c r="C377" s="48">
        <f>data!BI361</f>
        <v>0</v>
      </c>
      <c r="D377" s="48">
        <f>data!BJ361</f>
        <v>0</v>
      </c>
      <c r="E377" s="48">
        <f>data!BK361</f>
        <v>0</v>
      </c>
      <c r="F377" s="48">
        <f>data!BL361</f>
        <v>0</v>
      </c>
      <c r="G377" s="48">
        <f>data!BM361</f>
        <v>0</v>
      </c>
      <c r="H377" s="48">
        <f>data!BN361</f>
        <v>0</v>
      </c>
      <c r="I377" s="48">
        <f>data!BO361</f>
        <v>0</v>
      </c>
      <c r="J377" s="48">
        <f>data!BP361</f>
        <v>26475.790900202701</v>
      </c>
      <c r="K377" s="48">
        <f>data!BQ361</f>
        <v>19338.254537153531</v>
      </c>
      <c r="L377" s="48">
        <f>data!BR361</f>
        <v>10376.529514544643</v>
      </c>
      <c r="M377" s="48">
        <f>data!BS361</f>
        <v>0</v>
      </c>
    </row>
    <row r="378" spans="2:13" x14ac:dyDescent="0.2">
      <c r="B378" s="4" t="s">
        <v>395</v>
      </c>
      <c r="C378" s="48">
        <f>data!BI362</f>
        <v>0</v>
      </c>
      <c r="D378" s="48">
        <f>data!BJ362</f>
        <v>0</v>
      </c>
      <c r="E378" s="48">
        <f>data!BK362</f>
        <v>0</v>
      </c>
      <c r="F378" s="48">
        <f>data!BL362</f>
        <v>0</v>
      </c>
      <c r="G378" s="48">
        <f>data!BM362</f>
        <v>0</v>
      </c>
      <c r="H378" s="48">
        <f>data!BN362</f>
        <v>0</v>
      </c>
      <c r="I378" s="48">
        <f>data!BO362</f>
        <v>0</v>
      </c>
      <c r="J378" s="48">
        <f>data!BP362</f>
        <v>26772.381145673513</v>
      </c>
      <c r="K378" s="48">
        <f>data!BQ362</f>
        <v>19534.673699306943</v>
      </c>
      <c r="L378" s="48">
        <f>data!BR362</f>
        <v>10471.375182246717</v>
      </c>
      <c r="M378" s="48">
        <f>data!BS362</f>
        <v>0</v>
      </c>
    </row>
    <row r="379" spans="2:13" x14ac:dyDescent="0.2">
      <c r="B379" s="4" t="s">
        <v>396</v>
      </c>
      <c r="C379" s="48">
        <f>data!BI363</f>
        <v>0</v>
      </c>
      <c r="D379" s="48">
        <f>data!BJ363</f>
        <v>0</v>
      </c>
      <c r="E379" s="48">
        <f>data!BK363</f>
        <v>0</v>
      </c>
      <c r="F379" s="48">
        <f>data!BL363</f>
        <v>0</v>
      </c>
      <c r="G379" s="48">
        <f>data!BM363</f>
        <v>0</v>
      </c>
      <c r="H379" s="48">
        <f>data!BN363</f>
        <v>0</v>
      </c>
      <c r="I379" s="48">
        <f>data!BO363</f>
        <v>0</v>
      </c>
      <c r="J379" s="48">
        <f>data!BP363</f>
        <v>28223.943360384787</v>
      </c>
      <c r="K379" s="48">
        <f>data!BQ363</f>
        <v>20495.027346958472</v>
      </c>
      <c r="L379" s="48">
        <f>data!BR363</f>
        <v>10938.645520360873</v>
      </c>
      <c r="M379" s="48">
        <f>data!BS363</f>
        <v>0</v>
      </c>
    </row>
    <row r="380" spans="2:13" x14ac:dyDescent="0.2">
      <c r="B380" s="4" t="s">
        <v>397</v>
      </c>
      <c r="C380" s="48">
        <f>data!BI364</f>
        <v>0</v>
      </c>
      <c r="D380" s="48">
        <f>data!BJ364</f>
        <v>0</v>
      </c>
      <c r="E380" s="48">
        <f>data!BK364</f>
        <v>0</v>
      </c>
      <c r="F380" s="48">
        <f>data!BL364</f>
        <v>0</v>
      </c>
      <c r="G380" s="48">
        <f>data!BM364</f>
        <v>0</v>
      </c>
      <c r="H380" s="48">
        <f>data!BN364</f>
        <v>0</v>
      </c>
      <c r="I380" s="48">
        <f>data!BO364</f>
        <v>0</v>
      </c>
      <c r="J380" s="48">
        <f>data!BP364</f>
        <v>28305.435411430488</v>
      </c>
      <c r="K380" s="48">
        <f>data!BQ364</f>
        <v>20562.274368513361</v>
      </c>
      <c r="L380" s="48">
        <f>data!BR364</f>
        <v>10977.417647700604</v>
      </c>
      <c r="M380" s="48">
        <f>data!BS364</f>
        <v>0</v>
      </c>
    </row>
    <row r="381" spans="2:13" x14ac:dyDescent="0.2">
      <c r="B381" s="4" t="s">
        <v>398</v>
      </c>
      <c r="C381" s="48">
        <f>data!BI365</f>
        <v>0</v>
      </c>
      <c r="D381" s="48">
        <f>data!BJ365</f>
        <v>0</v>
      </c>
      <c r="E381" s="48">
        <f>data!BK365</f>
        <v>0</v>
      </c>
      <c r="F381" s="48">
        <f>data!BL365</f>
        <v>0</v>
      </c>
      <c r="G381" s="48">
        <f>data!BM365</f>
        <v>0</v>
      </c>
      <c r="H381" s="48">
        <f>data!BN365</f>
        <v>0</v>
      </c>
      <c r="I381" s="48">
        <f>data!BO365</f>
        <v>0</v>
      </c>
      <c r="J381" s="48">
        <f>data!BP365</f>
        <v>30661.773939735707</v>
      </c>
      <c r="K381" s="48">
        <f>data!BQ365</f>
        <v>22094.154862673684</v>
      </c>
      <c r="L381" s="48">
        <f>data!BR365</f>
        <v>11709.086306238167</v>
      </c>
      <c r="M381" s="48">
        <f>data!BS365</f>
        <v>0</v>
      </c>
    </row>
    <row r="382" spans="2:13" x14ac:dyDescent="0.2">
      <c r="B382" s="4" t="s">
        <v>399</v>
      </c>
      <c r="C382" s="48">
        <f>data!BI366</f>
        <v>0</v>
      </c>
      <c r="D382" s="48">
        <f>data!BJ366</f>
        <v>0</v>
      </c>
      <c r="E382" s="48">
        <f>data!BK366</f>
        <v>0</v>
      </c>
      <c r="F382" s="48">
        <f>data!BL366</f>
        <v>0</v>
      </c>
      <c r="G382" s="48">
        <f>data!BM366</f>
        <v>0</v>
      </c>
      <c r="H382" s="48">
        <f>data!BN366</f>
        <v>0</v>
      </c>
      <c r="I382" s="48">
        <f>data!BO366</f>
        <v>0</v>
      </c>
      <c r="J382" s="48">
        <f>data!BP366</f>
        <v>31647.878727967091</v>
      </c>
      <c r="K382" s="48">
        <f>data!BQ366</f>
        <v>22749.25290311213</v>
      </c>
      <c r="L382" s="48">
        <f>data!BR366</f>
        <v>12028.551457618767</v>
      </c>
      <c r="M382" s="48">
        <f>data!BS366</f>
        <v>0</v>
      </c>
    </row>
    <row r="383" spans="2:13" x14ac:dyDescent="0.2">
      <c r="B383" s="4" t="s">
        <v>400</v>
      </c>
      <c r="C383" s="48">
        <f>data!BI367</f>
        <v>0</v>
      </c>
      <c r="D383" s="48">
        <f>data!BJ367</f>
        <v>0</v>
      </c>
      <c r="E383" s="48">
        <f>data!BK367</f>
        <v>0</v>
      </c>
      <c r="F383" s="48">
        <f>data!BL367</f>
        <v>0</v>
      </c>
      <c r="G383" s="48">
        <f>data!BM367</f>
        <v>0</v>
      </c>
      <c r="H383" s="48">
        <f>data!BN367</f>
        <v>0</v>
      </c>
      <c r="I383" s="48">
        <f>data!BO367</f>
        <v>0</v>
      </c>
      <c r="J383" s="48">
        <f>data!BP367</f>
        <v>31234.830771572881</v>
      </c>
      <c r="K383" s="48">
        <f>data!BQ367</f>
        <v>22453.617628183405</v>
      </c>
      <c r="L383" s="48">
        <f>data!BR367</f>
        <v>11874.662853965927</v>
      </c>
      <c r="M383" s="48">
        <f>data!BS367</f>
        <v>0</v>
      </c>
    </row>
    <row r="384" spans="2:13" x14ac:dyDescent="0.2">
      <c r="B384" s="4" t="s">
        <v>401</v>
      </c>
      <c r="C384" s="48">
        <f>data!BI368</f>
        <v>0</v>
      </c>
      <c r="D384" s="48">
        <f>data!BJ368</f>
        <v>0</v>
      </c>
      <c r="E384" s="48">
        <f>data!BK368</f>
        <v>0</v>
      </c>
      <c r="F384" s="48">
        <f>data!BL368</f>
        <v>0</v>
      </c>
      <c r="G384" s="48">
        <f>data!BM368</f>
        <v>0</v>
      </c>
      <c r="H384" s="48">
        <f>data!BN368</f>
        <v>0</v>
      </c>
      <c r="I384" s="48">
        <f>data!BO368</f>
        <v>0</v>
      </c>
      <c r="J384" s="48">
        <f>data!BP368</f>
        <v>29516.184394518226</v>
      </c>
      <c r="K384" s="48">
        <f>data!BQ368</f>
        <v>21341.309898403095</v>
      </c>
      <c r="L384" s="48">
        <f>data!BR368</f>
        <v>11345.916991374052</v>
      </c>
      <c r="M384" s="48">
        <f>data!BS368</f>
        <v>0</v>
      </c>
    </row>
    <row r="385" spans="2:13" x14ac:dyDescent="0.2">
      <c r="B385" s="4" t="s">
        <v>402</v>
      </c>
      <c r="C385" s="48">
        <f>data!BI369</f>
        <v>0</v>
      </c>
      <c r="D385" s="48">
        <f>data!BJ369</f>
        <v>0</v>
      </c>
      <c r="E385" s="48">
        <f>data!BK369</f>
        <v>0</v>
      </c>
      <c r="F385" s="48">
        <f>data!BL369</f>
        <v>0</v>
      </c>
      <c r="G385" s="48">
        <f>data!BM369</f>
        <v>0</v>
      </c>
      <c r="H385" s="48">
        <f>data!BN369</f>
        <v>0</v>
      </c>
      <c r="I385" s="48">
        <f>data!BO369</f>
        <v>0</v>
      </c>
      <c r="J385" s="48">
        <f>data!BP369</f>
        <v>30425.627046251906</v>
      </c>
      <c r="K385" s="48">
        <f>data!BQ369</f>
        <v>21940.540523734617</v>
      </c>
      <c r="L385" s="48">
        <f>data!BR369</f>
        <v>11635.224454987987</v>
      </c>
      <c r="M385" s="48">
        <f>data!BS369</f>
        <v>0</v>
      </c>
    </row>
    <row r="386" spans="2:13" x14ac:dyDescent="0.2">
      <c r="B386" s="4" t="s">
        <v>403</v>
      </c>
      <c r="C386" s="48">
        <f>data!BI370</f>
        <v>0</v>
      </c>
      <c r="D386" s="48">
        <f>data!BJ370</f>
        <v>0</v>
      </c>
      <c r="E386" s="48">
        <f>data!BK370</f>
        <v>0</v>
      </c>
      <c r="F386" s="48">
        <f>data!BL370</f>
        <v>0</v>
      </c>
      <c r="G386" s="48">
        <f>data!BM370</f>
        <v>0</v>
      </c>
      <c r="H386" s="48">
        <f>data!BN370</f>
        <v>0</v>
      </c>
      <c r="I386" s="48">
        <f>data!BO370</f>
        <v>0</v>
      </c>
      <c r="J386" s="48">
        <f>data!BP370</f>
        <v>29051.191128686987</v>
      </c>
      <c r="K386" s="48">
        <f>data!BQ370</f>
        <v>21040.239908945689</v>
      </c>
      <c r="L386" s="48">
        <f>data!BR370</f>
        <v>11201.444185631164</v>
      </c>
      <c r="M386" s="48">
        <f>data!BS370</f>
        <v>0</v>
      </c>
    </row>
    <row r="387" spans="2:13" x14ac:dyDescent="0.2">
      <c r="B387" s="4" t="s">
        <v>404</v>
      </c>
      <c r="C387" s="48">
        <f>data!BI371</f>
        <v>0</v>
      </c>
      <c r="D387" s="48">
        <f>data!BJ371</f>
        <v>0</v>
      </c>
      <c r="E387" s="48">
        <f>data!BK371</f>
        <v>0</v>
      </c>
      <c r="F387" s="48">
        <f>data!BL371</f>
        <v>0</v>
      </c>
      <c r="G387" s="48">
        <f>data!BM371</f>
        <v>0</v>
      </c>
      <c r="H387" s="48">
        <f>data!BN371</f>
        <v>0</v>
      </c>
      <c r="I387" s="48">
        <f>data!BO371</f>
        <v>0</v>
      </c>
      <c r="J387" s="48">
        <f>data!BP371</f>
        <v>29061.047089442305</v>
      </c>
      <c r="K387" s="48">
        <f>data!BQ371</f>
        <v>21043.663814439737</v>
      </c>
      <c r="L387" s="48">
        <f>data!BR371</f>
        <v>11200.441900098131</v>
      </c>
      <c r="M387" s="48">
        <f>data!BS371</f>
        <v>0</v>
      </c>
    </row>
    <row r="388" spans="2:13" x14ac:dyDescent="0.2">
      <c r="B388" s="4" t="s">
        <v>405</v>
      </c>
      <c r="C388" s="48">
        <f>data!BI372</f>
        <v>0</v>
      </c>
      <c r="D388" s="48">
        <f>data!BJ372</f>
        <v>0</v>
      </c>
      <c r="E388" s="48">
        <f>data!BK372</f>
        <v>0</v>
      </c>
      <c r="F388" s="48">
        <f>data!BL372</f>
        <v>0</v>
      </c>
      <c r="G388" s="48">
        <f>data!BM372</f>
        <v>0</v>
      </c>
      <c r="H388" s="48">
        <f>data!BN372</f>
        <v>0</v>
      </c>
      <c r="I388" s="48">
        <f>data!BO372</f>
        <v>0</v>
      </c>
      <c r="J388" s="48">
        <f>data!BP372</f>
        <v>28968.785937331158</v>
      </c>
      <c r="K388" s="48">
        <f>data!BQ372</f>
        <v>20976.562403535732</v>
      </c>
      <c r="L388" s="48">
        <f>data!BR372</f>
        <v>11166.098101638634</v>
      </c>
      <c r="M388" s="48">
        <f>data!BS372</f>
        <v>0</v>
      </c>
    </row>
    <row r="389" spans="2:13" x14ac:dyDescent="0.2">
      <c r="B389" s="4" t="s">
        <v>406</v>
      </c>
      <c r="C389" s="48">
        <f>data!BI373</f>
        <v>0</v>
      </c>
      <c r="D389" s="48">
        <f>data!BJ373</f>
        <v>0</v>
      </c>
      <c r="E389" s="48">
        <f>data!BK373</f>
        <v>0</v>
      </c>
      <c r="F389" s="48">
        <f>data!BL373</f>
        <v>0</v>
      </c>
      <c r="G389" s="48">
        <f>data!BM373</f>
        <v>0</v>
      </c>
      <c r="H389" s="48">
        <f>data!BN373</f>
        <v>0</v>
      </c>
      <c r="I389" s="48">
        <f>data!BO373</f>
        <v>0</v>
      </c>
      <c r="J389" s="48">
        <f>data!BP373</f>
        <v>27966.63788952076</v>
      </c>
      <c r="K389" s="48">
        <f>data!BQ373</f>
        <v>20315.44913441738</v>
      </c>
      <c r="L389" s="48">
        <f>data!BR373</f>
        <v>10845.983531938627</v>
      </c>
      <c r="M389" s="48">
        <f>data!BS373</f>
        <v>0</v>
      </c>
    </row>
    <row r="390" spans="2:13" x14ac:dyDescent="0.2">
      <c r="B390" s="4" t="s">
        <v>407</v>
      </c>
      <c r="C390" s="48">
        <f>data!BI374</f>
        <v>0</v>
      </c>
      <c r="D390" s="48">
        <f>data!BJ374</f>
        <v>0</v>
      </c>
      <c r="E390" s="48">
        <f>data!BK374</f>
        <v>0</v>
      </c>
      <c r="F390" s="48">
        <f>data!BL374</f>
        <v>0</v>
      </c>
      <c r="G390" s="48">
        <f>data!BM374</f>
        <v>0</v>
      </c>
      <c r="H390" s="48">
        <f>data!BN374</f>
        <v>0</v>
      </c>
      <c r="I390" s="48">
        <f>data!BO374</f>
        <v>0</v>
      </c>
      <c r="J390" s="48">
        <f>data!BP374</f>
        <v>26080.62504123904</v>
      </c>
      <c r="K390" s="48">
        <f>data!BQ374</f>
        <v>19078.043225383866</v>
      </c>
      <c r="L390" s="48">
        <f>data!BR374</f>
        <v>10249.592418535365</v>
      </c>
      <c r="M390" s="48">
        <f>data!BS374</f>
        <v>0</v>
      </c>
    </row>
    <row r="391" spans="2:13" x14ac:dyDescent="0.2">
      <c r="B391" s="4" t="s">
        <v>408</v>
      </c>
      <c r="C391" s="48">
        <f>data!BI375</f>
        <v>0</v>
      </c>
      <c r="D391" s="48">
        <f>data!BJ375</f>
        <v>0</v>
      </c>
      <c r="E391" s="48">
        <f>data!BK375</f>
        <v>0</v>
      </c>
      <c r="F391" s="48">
        <f>data!BL375</f>
        <v>0</v>
      </c>
      <c r="G391" s="48">
        <f>data!BM375</f>
        <v>0</v>
      </c>
      <c r="H391" s="48">
        <f>data!BN375</f>
        <v>0</v>
      </c>
      <c r="I391" s="48">
        <f>data!BO375</f>
        <v>0</v>
      </c>
      <c r="J391" s="48">
        <f>data!BP375</f>
        <v>26248.111093151012</v>
      </c>
      <c r="K391" s="48">
        <f>data!BQ375</f>
        <v>19206.250351513758</v>
      </c>
      <c r="L391" s="48">
        <f>data!BR375</f>
        <v>10319.631910776539</v>
      </c>
      <c r="M391" s="48">
        <f>data!BS375</f>
        <v>0</v>
      </c>
    </row>
    <row r="392" spans="2:13" x14ac:dyDescent="0.2">
      <c r="B392" s="4" t="s">
        <v>409</v>
      </c>
      <c r="C392" s="48">
        <f>data!BI376</f>
        <v>0</v>
      </c>
      <c r="D392" s="48">
        <f>data!BJ376</f>
        <v>0</v>
      </c>
      <c r="E392" s="48">
        <f>data!BK376</f>
        <v>0</v>
      </c>
      <c r="F392" s="48">
        <f>data!BL376</f>
        <v>0</v>
      </c>
      <c r="G392" s="48">
        <f>data!BM376</f>
        <v>0</v>
      </c>
      <c r="H392" s="48">
        <f>data!BN376</f>
        <v>0</v>
      </c>
      <c r="I392" s="48">
        <f>data!BO376</f>
        <v>0</v>
      </c>
      <c r="J392" s="48">
        <f>data!BP376</f>
        <v>26514.122768735608</v>
      </c>
      <c r="K392" s="48">
        <f>data!BQ376</f>
        <v>19378.199850078337</v>
      </c>
      <c r="L392" s="48">
        <f>data!BR376</f>
        <v>10401.955026873971</v>
      </c>
      <c r="M392" s="48">
        <f>data!BS376</f>
        <v>0</v>
      </c>
    </row>
    <row r="393" spans="2:13" x14ac:dyDescent="0.2">
      <c r="B393" s="4" t="s">
        <v>410</v>
      </c>
      <c r="C393" s="48">
        <f>data!BI377</f>
        <v>0</v>
      </c>
      <c r="D393" s="48">
        <f>data!BJ377</f>
        <v>0</v>
      </c>
      <c r="E393" s="48">
        <f>data!BK377</f>
        <v>0</v>
      </c>
      <c r="F393" s="48">
        <f>data!BL377</f>
        <v>0</v>
      </c>
      <c r="G393" s="48">
        <f>data!BM377</f>
        <v>0</v>
      </c>
      <c r="H393" s="48">
        <f>data!BN377</f>
        <v>0</v>
      </c>
      <c r="I393" s="48">
        <f>data!BO377</f>
        <v>0</v>
      </c>
      <c r="J393" s="48">
        <f>data!BP377</f>
        <v>27178.620229304957</v>
      </c>
      <c r="K393" s="48">
        <f>data!BQ377</f>
        <v>19828.67476919344</v>
      </c>
      <c r="L393" s="48">
        <f>data!BR377</f>
        <v>10625.934473961741</v>
      </c>
      <c r="M393" s="48">
        <f>data!BS377</f>
        <v>0</v>
      </c>
    </row>
    <row r="394" spans="2:13" x14ac:dyDescent="0.2">
      <c r="B394" s="4" t="s">
        <v>411</v>
      </c>
      <c r="C394" s="48">
        <f>data!BI378</f>
        <v>0</v>
      </c>
      <c r="D394" s="48">
        <f>data!BJ378</f>
        <v>0</v>
      </c>
      <c r="E394" s="48">
        <f>data!BK378</f>
        <v>0</v>
      </c>
      <c r="F394" s="48">
        <f>data!BL378</f>
        <v>0</v>
      </c>
      <c r="G394" s="48">
        <f>data!BM378</f>
        <v>0</v>
      </c>
      <c r="H394" s="48">
        <f>data!BN378</f>
        <v>0</v>
      </c>
      <c r="I394" s="48">
        <f>data!BO378</f>
        <v>0</v>
      </c>
      <c r="J394" s="48">
        <f>data!BP378</f>
        <v>28068.059085037465</v>
      </c>
      <c r="K394" s="48">
        <f>data!BQ378</f>
        <v>20382.751688504592</v>
      </c>
      <c r="L394" s="48">
        <f>data!BR378</f>
        <v>10879.241038983224</v>
      </c>
      <c r="M394" s="48">
        <f>data!BS378</f>
        <v>0</v>
      </c>
    </row>
    <row r="395" spans="2:13" x14ac:dyDescent="0.2">
      <c r="B395" s="4" t="s">
        <v>412</v>
      </c>
      <c r="C395" s="48">
        <f>data!BI379</f>
        <v>0</v>
      </c>
      <c r="D395" s="48">
        <f>data!BJ379</f>
        <v>0</v>
      </c>
      <c r="E395" s="48">
        <f>data!BK379</f>
        <v>0</v>
      </c>
      <c r="F395" s="48">
        <f>data!BL379</f>
        <v>0</v>
      </c>
      <c r="G395" s="48">
        <f>data!BM379</f>
        <v>0</v>
      </c>
      <c r="H395" s="48">
        <f>data!BN379</f>
        <v>0</v>
      </c>
      <c r="I395" s="48">
        <f>data!BO379</f>
        <v>0</v>
      </c>
      <c r="J395" s="48">
        <f>data!BP379</f>
        <v>29934.341119293211</v>
      </c>
      <c r="K395" s="48">
        <f>data!BQ379</f>
        <v>21610.746866448753</v>
      </c>
      <c r="L395" s="48">
        <f>data!BR379</f>
        <v>11473.634787529409</v>
      </c>
      <c r="M395" s="48">
        <f>data!BS379</f>
        <v>0</v>
      </c>
    </row>
    <row r="396" spans="2:13" x14ac:dyDescent="0.2">
      <c r="B396" s="4" t="s">
        <v>413</v>
      </c>
      <c r="C396" s="48">
        <f>data!BI380</f>
        <v>0</v>
      </c>
      <c r="D396" s="48">
        <f>data!BJ380</f>
        <v>0</v>
      </c>
      <c r="E396" s="48">
        <f>data!BK380</f>
        <v>0</v>
      </c>
      <c r="F396" s="48">
        <f>data!BL380</f>
        <v>0</v>
      </c>
      <c r="G396" s="48">
        <f>data!BM380</f>
        <v>0</v>
      </c>
      <c r="H396" s="48">
        <f>data!BN380</f>
        <v>0</v>
      </c>
      <c r="I396" s="48">
        <f>data!BO380</f>
        <v>0</v>
      </c>
      <c r="J396" s="48">
        <f>data!BP380</f>
        <v>29188.206396498135</v>
      </c>
      <c r="K396" s="48">
        <f>data!BQ380</f>
        <v>21138.523135417654</v>
      </c>
      <c r="L396" s="48">
        <f>data!BR380</f>
        <v>11254.151956959884</v>
      </c>
      <c r="M396" s="48">
        <f>data!BS380</f>
        <v>0</v>
      </c>
    </row>
    <row r="397" spans="2:13" x14ac:dyDescent="0.2">
      <c r="B397" s="4" t="s">
        <v>414</v>
      </c>
      <c r="C397" s="48">
        <f>data!BI381</f>
        <v>0</v>
      </c>
      <c r="D397" s="48">
        <f>data!BJ381</f>
        <v>0</v>
      </c>
      <c r="E397" s="48">
        <f>data!BK381</f>
        <v>0</v>
      </c>
      <c r="F397" s="48">
        <f>data!BL381</f>
        <v>0</v>
      </c>
      <c r="G397" s="48">
        <f>data!BM381</f>
        <v>0</v>
      </c>
      <c r="H397" s="48">
        <f>data!BN381</f>
        <v>0</v>
      </c>
      <c r="I397" s="48">
        <f>data!BO381</f>
        <v>0</v>
      </c>
      <c r="J397" s="48">
        <f>data!BP381</f>
        <v>28852.950548027951</v>
      </c>
      <c r="K397" s="48">
        <f>data!BQ381</f>
        <v>20905.076292256919</v>
      </c>
      <c r="L397" s="48">
        <f>data!BR381</f>
        <v>11136.026645673024</v>
      </c>
      <c r="M397" s="48">
        <f>data!BS381</f>
        <v>0</v>
      </c>
    </row>
    <row r="398" spans="2:13" x14ac:dyDescent="0.2">
      <c r="B398" s="4" t="s">
        <v>415</v>
      </c>
      <c r="C398" s="48">
        <f>data!BI382</f>
        <v>0</v>
      </c>
      <c r="D398" s="48">
        <f>data!BJ382</f>
        <v>0</v>
      </c>
      <c r="E398" s="48">
        <f>data!BK382</f>
        <v>0</v>
      </c>
      <c r="F398" s="48">
        <f>data!BL382</f>
        <v>0</v>
      </c>
      <c r="G398" s="48">
        <f>data!BM382</f>
        <v>0</v>
      </c>
      <c r="H398" s="48">
        <f>data!BN382</f>
        <v>0</v>
      </c>
      <c r="I398" s="48">
        <f>data!BO382</f>
        <v>0</v>
      </c>
      <c r="J398" s="48">
        <f>data!BP382</f>
        <v>28229.038410560504</v>
      </c>
      <c r="K398" s="48">
        <f>data!BQ382</f>
        <v>20497.519738659408</v>
      </c>
      <c r="L398" s="48">
        <f>data!BR382</f>
        <v>10939.854777045055</v>
      </c>
      <c r="M398" s="48">
        <f>data!BS382</f>
        <v>0</v>
      </c>
    </row>
    <row r="399" spans="2:13" x14ac:dyDescent="0.2">
      <c r="B399" s="4" t="s">
        <v>416</v>
      </c>
      <c r="C399" s="48">
        <f>data!BI383</f>
        <v>0</v>
      </c>
      <c r="D399" s="48">
        <f>data!BJ383</f>
        <v>0</v>
      </c>
      <c r="E399" s="48">
        <f>data!BK383</f>
        <v>0</v>
      </c>
      <c r="F399" s="48">
        <f>data!BL383</f>
        <v>0</v>
      </c>
      <c r="G399" s="48">
        <f>data!BM383</f>
        <v>0</v>
      </c>
      <c r="H399" s="48">
        <f>data!BN383</f>
        <v>0</v>
      </c>
      <c r="I399" s="48">
        <f>data!BO383</f>
        <v>0</v>
      </c>
      <c r="J399" s="48">
        <f>data!BP383</f>
        <v>29429.675456731104</v>
      </c>
      <c r="K399" s="48">
        <f>data!BQ383</f>
        <v>21291.224858321344</v>
      </c>
      <c r="L399" s="48">
        <f>data!BR383</f>
        <v>11325.46634495274</v>
      </c>
      <c r="M399" s="48">
        <f>data!BS383</f>
        <v>0</v>
      </c>
    </row>
    <row r="400" spans="2:13" x14ac:dyDescent="0.2">
      <c r="B400" s="4" t="s">
        <v>417</v>
      </c>
      <c r="C400" s="48">
        <f>data!BI384</f>
        <v>0</v>
      </c>
      <c r="D400" s="48">
        <f>data!BJ384</f>
        <v>0</v>
      </c>
      <c r="E400" s="48">
        <f>data!BK384</f>
        <v>0</v>
      </c>
      <c r="F400" s="48">
        <f>data!BL384</f>
        <v>0</v>
      </c>
      <c r="G400" s="48">
        <f>data!BM384</f>
        <v>0</v>
      </c>
      <c r="H400" s="48">
        <f>data!BN384</f>
        <v>0</v>
      </c>
      <c r="I400" s="48">
        <f>data!BO384</f>
        <v>0</v>
      </c>
      <c r="J400" s="48">
        <f>data!BP384</f>
        <v>27226.74989656196</v>
      </c>
      <c r="K400" s="48">
        <f>data!BQ384</f>
        <v>19836.212187317687</v>
      </c>
      <c r="L400" s="48">
        <f>data!BR384</f>
        <v>10619.328454483859</v>
      </c>
      <c r="M400" s="48">
        <f>data!BS384</f>
        <v>0</v>
      </c>
    </row>
    <row r="401" spans="2:13" x14ac:dyDescent="0.2">
      <c r="B401" s="4" t="s">
        <v>418</v>
      </c>
      <c r="C401" s="48">
        <f>data!BI385</f>
        <v>0</v>
      </c>
      <c r="D401" s="48">
        <f>data!BJ385</f>
        <v>0</v>
      </c>
      <c r="E401" s="48">
        <f>data!BK385</f>
        <v>0</v>
      </c>
      <c r="F401" s="48">
        <f>data!BL385</f>
        <v>0</v>
      </c>
      <c r="G401" s="48">
        <f>data!BM385</f>
        <v>0</v>
      </c>
      <c r="H401" s="48">
        <f>data!BN385</f>
        <v>0</v>
      </c>
      <c r="I401" s="48">
        <f>data!BO385</f>
        <v>0</v>
      </c>
      <c r="J401" s="48">
        <f>data!BP385</f>
        <v>26827.750091776503</v>
      </c>
      <c r="K401" s="48">
        <f>data!BQ385</f>
        <v>19615.915971070735</v>
      </c>
      <c r="L401" s="48">
        <f>data!BR385</f>
        <v>10532.729891628518</v>
      </c>
      <c r="M401" s="48">
        <f>data!BS385</f>
        <v>0</v>
      </c>
    </row>
    <row r="402" spans="2:13" x14ac:dyDescent="0.2">
      <c r="B402" s="4" t="s">
        <v>419</v>
      </c>
      <c r="C402" s="48">
        <f>data!BI386</f>
        <v>0</v>
      </c>
      <c r="D402" s="48">
        <f>data!BJ386</f>
        <v>0</v>
      </c>
      <c r="E402" s="48">
        <f>data!BK386</f>
        <v>0</v>
      </c>
      <c r="F402" s="48">
        <f>data!BL386</f>
        <v>0</v>
      </c>
      <c r="G402" s="48">
        <f>data!BM386</f>
        <v>0</v>
      </c>
      <c r="H402" s="48">
        <f>data!BN386</f>
        <v>0</v>
      </c>
      <c r="I402" s="48">
        <f>data!BO386</f>
        <v>0</v>
      </c>
      <c r="J402" s="48">
        <f>data!BP386</f>
        <v>25833.098155160544</v>
      </c>
      <c r="K402" s="48">
        <f>data!BQ386</f>
        <v>18961.695549126536</v>
      </c>
      <c r="L402" s="48">
        <f>data!BR386</f>
        <v>10217.195199249056</v>
      </c>
      <c r="M402" s="48">
        <f>data!BS386</f>
        <v>0</v>
      </c>
    </row>
    <row r="403" spans="2:13" x14ac:dyDescent="0.2">
      <c r="B403" s="4" t="s">
        <v>420</v>
      </c>
      <c r="C403" s="48">
        <f>data!BI387</f>
        <v>0</v>
      </c>
      <c r="D403" s="48">
        <f>data!BJ387</f>
        <v>0</v>
      </c>
      <c r="E403" s="48">
        <f>data!BK387</f>
        <v>0</v>
      </c>
      <c r="F403" s="48">
        <f>data!BL387</f>
        <v>0</v>
      </c>
      <c r="G403" s="48">
        <f>data!BM387</f>
        <v>0</v>
      </c>
      <c r="H403" s="48">
        <f>data!BN387</f>
        <v>0</v>
      </c>
      <c r="I403" s="48">
        <f>data!BO387</f>
        <v>0</v>
      </c>
      <c r="J403" s="48">
        <f>data!BP387</f>
        <v>26228.767692023441</v>
      </c>
      <c r="K403" s="48">
        <f>data!BQ387</f>
        <v>19246.074766628379</v>
      </c>
      <c r="L403" s="48">
        <f>data!BR387</f>
        <v>10365.198486140383</v>
      </c>
      <c r="M403" s="48">
        <f>data!BS387</f>
        <v>0</v>
      </c>
    </row>
    <row r="404" spans="2:13" x14ac:dyDescent="0.2">
      <c r="B404" s="4" t="s">
        <v>421</v>
      </c>
      <c r="C404" s="48">
        <f>data!BI388</f>
        <v>0</v>
      </c>
      <c r="D404" s="48">
        <f>data!BJ388</f>
        <v>0</v>
      </c>
      <c r="E404" s="48">
        <f>data!BK388</f>
        <v>0</v>
      </c>
      <c r="F404" s="48">
        <f>data!BL388</f>
        <v>0</v>
      </c>
      <c r="G404" s="48">
        <f>data!BM388</f>
        <v>0</v>
      </c>
      <c r="H404" s="48">
        <f>data!BN388</f>
        <v>0</v>
      </c>
      <c r="I404" s="48">
        <f>data!BO388</f>
        <v>0</v>
      </c>
      <c r="J404" s="48">
        <f>data!BP388</f>
        <v>25286.851673052333</v>
      </c>
      <c r="K404" s="48">
        <f>data!BQ388</f>
        <v>18605.337335022094</v>
      </c>
      <c r="L404" s="48">
        <f>data!BR388</f>
        <v>10044.462655774752</v>
      </c>
      <c r="M404" s="48">
        <f>data!BS388</f>
        <v>0</v>
      </c>
    </row>
    <row r="405" spans="2:13" x14ac:dyDescent="0.2">
      <c r="B405" s="4" t="s">
        <v>422</v>
      </c>
      <c r="C405" s="48">
        <f>data!BI389</f>
        <v>0</v>
      </c>
      <c r="D405" s="48">
        <f>data!BJ389</f>
        <v>0</v>
      </c>
      <c r="E405" s="48">
        <f>data!BK389</f>
        <v>0</v>
      </c>
      <c r="F405" s="48">
        <f>data!BL389</f>
        <v>0</v>
      </c>
      <c r="G405" s="48">
        <f>data!BM389</f>
        <v>0</v>
      </c>
      <c r="H405" s="48">
        <f>data!BN389</f>
        <v>0</v>
      </c>
      <c r="I405" s="48">
        <f>data!BO389</f>
        <v>0</v>
      </c>
      <c r="J405" s="48">
        <f>data!BP389</f>
        <v>27246.4650433399</v>
      </c>
      <c r="K405" s="48">
        <f>data!BQ389</f>
        <v>19889.101641457644</v>
      </c>
      <c r="L405" s="48">
        <f>data!BR389</f>
        <v>10662.916616230141</v>
      </c>
      <c r="M405" s="48">
        <f>data!BS389</f>
        <v>0</v>
      </c>
    </row>
    <row r="406" spans="2:13" x14ac:dyDescent="0.2">
      <c r="B406" s="4" t="s">
        <v>423</v>
      </c>
      <c r="C406" s="48">
        <f>data!BI390</f>
        <v>0</v>
      </c>
      <c r="D406" s="48">
        <f>data!BJ390</f>
        <v>0</v>
      </c>
      <c r="E406" s="48">
        <f>data!BK390</f>
        <v>0</v>
      </c>
      <c r="F406" s="48">
        <f>data!BL390</f>
        <v>0</v>
      </c>
      <c r="G406" s="48">
        <f>data!BM390</f>
        <v>0</v>
      </c>
      <c r="H406" s="48">
        <f>data!BN390</f>
        <v>0</v>
      </c>
      <c r="I406" s="48">
        <f>data!BO390</f>
        <v>0</v>
      </c>
      <c r="J406" s="48">
        <f>data!BP390</f>
        <v>26641.051017577127</v>
      </c>
      <c r="K406" s="48">
        <f>data!BQ390</f>
        <v>19501.027916742212</v>
      </c>
      <c r="L406" s="48">
        <f>data!BR390</f>
        <v>10480.820979169477</v>
      </c>
      <c r="M406" s="48">
        <f>data!BS390</f>
        <v>0</v>
      </c>
    </row>
    <row r="407" spans="2:13" x14ac:dyDescent="0.2">
      <c r="B407" s="4" t="s">
        <v>424</v>
      </c>
      <c r="C407" s="48">
        <f>data!BI391</f>
        <v>0</v>
      </c>
      <c r="D407" s="48">
        <f>data!BJ391</f>
        <v>0</v>
      </c>
      <c r="E407" s="48">
        <f>data!BK391</f>
        <v>0</v>
      </c>
      <c r="F407" s="48">
        <f>data!BL391</f>
        <v>0</v>
      </c>
      <c r="G407" s="48">
        <f>data!BM391</f>
        <v>0</v>
      </c>
      <c r="H407" s="48">
        <f>data!BN391</f>
        <v>0</v>
      </c>
      <c r="I407" s="48">
        <f>data!BO391</f>
        <v>0</v>
      </c>
      <c r="J407" s="48">
        <f>data!BP391</f>
        <v>26947.753512456202</v>
      </c>
      <c r="K407" s="48">
        <f>data!BQ391</f>
        <v>19752.785253141461</v>
      </c>
      <c r="L407" s="48">
        <f>data!BR391</f>
        <v>10626.047378024512</v>
      </c>
      <c r="M407" s="48">
        <f>data!BS391</f>
        <v>0</v>
      </c>
    </row>
    <row r="408" spans="2:13" x14ac:dyDescent="0.2">
      <c r="B408" s="4" t="s">
        <v>425</v>
      </c>
      <c r="C408" s="48">
        <f>data!BI392</f>
        <v>0</v>
      </c>
      <c r="D408" s="48">
        <f>data!BJ392</f>
        <v>0</v>
      </c>
      <c r="E408" s="48">
        <f>data!BK392</f>
        <v>0</v>
      </c>
      <c r="F408" s="48">
        <f>data!BL392</f>
        <v>0</v>
      </c>
      <c r="G408" s="48">
        <f>data!BM392</f>
        <v>0</v>
      </c>
      <c r="H408" s="48">
        <f>data!BN392</f>
        <v>0</v>
      </c>
      <c r="I408" s="48">
        <f>data!BO392</f>
        <v>0</v>
      </c>
      <c r="J408" s="48">
        <f>data!BP392</f>
        <v>26300.110358687616</v>
      </c>
      <c r="K408" s="48">
        <f>data!BQ392</f>
        <v>19336.232849511071</v>
      </c>
      <c r="L408" s="48">
        <f>data!BR392</f>
        <v>10430.1190316104</v>
      </c>
      <c r="M408" s="48">
        <f>data!BS392</f>
        <v>0</v>
      </c>
    </row>
    <row r="409" spans="2:13" x14ac:dyDescent="0.2">
      <c r="B409" s="4" t="s">
        <v>426</v>
      </c>
      <c r="C409" s="48">
        <f>data!BI393</f>
        <v>0</v>
      </c>
      <c r="D409" s="48">
        <f>data!BJ393</f>
        <v>0</v>
      </c>
      <c r="E409" s="48">
        <f>data!BK393</f>
        <v>0</v>
      </c>
      <c r="F409" s="48">
        <f>data!BL393</f>
        <v>0</v>
      </c>
      <c r="G409" s="48">
        <f>data!BM393</f>
        <v>0</v>
      </c>
      <c r="H409" s="48">
        <f>data!BN393</f>
        <v>0</v>
      </c>
      <c r="I409" s="48">
        <f>data!BO393</f>
        <v>0</v>
      </c>
      <c r="J409" s="48">
        <f>data!BP393</f>
        <v>25977.174233903967</v>
      </c>
      <c r="K409" s="48">
        <f>data!BQ393</f>
        <v>19135.809391096016</v>
      </c>
      <c r="L409" s="48">
        <f>data!BR393</f>
        <v>10338.422136044435</v>
      </c>
      <c r="M409" s="48">
        <f>data!BS393</f>
        <v>0</v>
      </c>
    </row>
    <row r="410" spans="2:13" x14ac:dyDescent="0.2">
      <c r="B410" s="4" t="s">
        <v>427</v>
      </c>
      <c r="C410" s="48">
        <f>data!BI394</f>
        <v>0</v>
      </c>
      <c r="D410" s="48">
        <f>data!BJ394</f>
        <v>0</v>
      </c>
      <c r="E410" s="48">
        <f>data!BK394</f>
        <v>0</v>
      </c>
      <c r="F410" s="48">
        <f>data!BL394</f>
        <v>0</v>
      </c>
      <c r="G410" s="48">
        <f>data!BM394</f>
        <v>0</v>
      </c>
      <c r="H410" s="48">
        <f>data!BN394</f>
        <v>0</v>
      </c>
      <c r="I410" s="48">
        <f>data!BO394</f>
        <v>0</v>
      </c>
      <c r="J410" s="48">
        <f>data!BP394</f>
        <v>26112.580772228135</v>
      </c>
      <c r="K410" s="48">
        <f>data!BQ394</f>
        <v>19243.45513427952</v>
      </c>
      <c r="L410" s="48">
        <f>data!BR394</f>
        <v>10398.179099643268</v>
      </c>
      <c r="M410" s="48">
        <f>data!BS394</f>
        <v>0</v>
      </c>
    </row>
    <row r="411" spans="2:13" x14ac:dyDescent="0.2">
      <c r="B411" s="4" t="s">
        <v>428</v>
      </c>
      <c r="C411" s="48">
        <f>data!BI395</f>
        <v>0</v>
      </c>
      <c r="D411" s="48">
        <f>data!BJ395</f>
        <v>0</v>
      </c>
      <c r="E411" s="48">
        <f>data!BK395</f>
        <v>0</v>
      </c>
      <c r="F411" s="48">
        <f>data!BL395</f>
        <v>0</v>
      </c>
      <c r="G411" s="48">
        <f>data!BM395</f>
        <v>0</v>
      </c>
      <c r="H411" s="48">
        <f>data!BN395</f>
        <v>0</v>
      </c>
      <c r="I411" s="48">
        <f>data!BO395</f>
        <v>0</v>
      </c>
      <c r="J411" s="48">
        <f>data!BP395</f>
        <v>25116.981416515788</v>
      </c>
      <c r="K411" s="48">
        <f>data!BQ395</f>
        <v>18590.728765103529</v>
      </c>
      <c r="L411" s="48">
        <f>data!BR395</f>
        <v>10082.347483163383</v>
      </c>
      <c r="M411" s="48">
        <f>data!BS395</f>
        <v>0</v>
      </c>
    </row>
    <row r="412" spans="2:13" x14ac:dyDescent="0.2">
      <c r="B412" s="4" t="s">
        <v>429</v>
      </c>
      <c r="C412" s="48">
        <f>data!BI396</f>
        <v>0</v>
      </c>
      <c r="D412" s="48">
        <f>data!BJ396</f>
        <v>0</v>
      </c>
      <c r="E412" s="48">
        <f>data!BK396</f>
        <v>0</v>
      </c>
      <c r="F412" s="48">
        <f>data!BL396</f>
        <v>0</v>
      </c>
      <c r="G412" s="48">
        <f>data!BM396</f>
        <v>0</v>
      </c>
      <c r="H412" s="48">
        <f>data!BN396</f>
        <v>0</v>
      </c>
      <c r="I412" s="48">
        <f>data!BO396</f>
        <v>0</v>
      </c>
      <c r="J412" s="48">
        <f>data!BP396</f>
        <v>25687.765011574127</v>
      </c>
      <c r="K412" s="48">
        <f>data!BQ396</f>
        <v>18970.143963797851</v>
      </c>
      <c r="L412" s="48">
        <f>data!BR396</f>
        <v>10266.935764125514</v>
      </c>
      <c r="M412" s="48">
        <f>data!BS396</f>
        <v>0</v>
      </c>
    </row>
    <row r="413" spans="2:13" x14ac:dyDescent="0.2">
      <c r="B413" s="4" t="s">
        <v>430</v>
      </c>
      <c r="C413" s="48">
        <f>data!BI397</f>
        <v>0</v>
      </c>
      <c r="D413" s="48">
        <f>data!BJ397</f>
        <v>0</v>
      </c>
      <c r="E413" s="48">
        <f>data!BK397</f>
        <v>0</v>
      </c>
      <c r="F413" s="48">
        <f>data!BL397</f>
        <v>0</v>
      </c>
      <c r="G413" s="48">
        <f>data!BM397</f>
        <v>0</v>
      </c>
      <c r="H413" s="48">
        <f>data!BN397</f>
        <v>0</v>
      </c>
      <c r="I413" s="48">
        <f>data!BO397</f>
        <v>0</v>
      </c>
      <c r="J413" s="48">
        <f>data!BP397</f>
        <v>25958.708099836549</v>
      </c>
      <c r="K413" s="48">
        <f>data!BQ397</f>
        <v>19167.144954931664</v>
      </c>
      <c r="L413" s="48">
        <f>data!BR397</f>
        <v>10371.682519781289</v>
      </c>
      <c r="M413" s="48">
        <f>data!BS397</f>
        <v>0</v>
      </c>
    </row>
    <row r="414" spans="2:13" x14ac:dyDescent="0.2">
      <c r="B414" s="4" t="s">
        <v>431</v>
      </c>
      <c r="C414" s="48">
        <f>data!BI398</f>
        <v>0</v>
      </c>
      <c r="D414" s="48">
        <f>data!BJ398</f>
        <v>0</v>
      </c>
      <c r="E414" s="48">
        <f>data!BK398</f>
        <v>0</v>
      </c>
      <c r="F414" s="48">
        <f>data!BL398</f>
        <v>0</v>
      </c>
      <c r="G414" s="48">
        <f>data!BM398</f>
        <v>0</v>
      </c>
      <c r="H414" s="48">
        <f>data!BN398</f>
        <v>0</v>
      </c>
      <c r="I414" s="48">
        <f>data!BO398</f>
        <v>0</v>
      </c>
      <c r="J414" s="48">
        <f>data!BP398</f>
        <v>27314.713610163082</v>
      </c>
      <c r="K414" s="48">
        <f>data!BQ398</f>
        <v>20038.036031887401</v>
      </c>
      <c r="L414" s="48">
        <f>data!BR398</f>
        <v>10783.680998264897</v>
      </c>
      <c r="M414" s="48">
        <f>data!BS398</f>
        <v>0</v>
      </c>
    </row>
    <row r="415" spans="2:13" x14ac:dyDescent="0.2">
      <c r="B415" s="4" t="s">
        <v>432</v>
      </c>
      <c r="C415" s="48">
        <f>data!BI399</f>
        <v>0</v>
      </c>
      <c r="D415" s="48">
        <f>data!BJ399</f>
        <v>0</v>
      </c>
      <c r="E415" s="48">
        <f>data!BK399</f>
        <v>0</v>
      </c>
      <c r="F415" s="48">
        <f>data!BL399</f>
        <v>0</v>
      </c>
      <c r="G415" s="48">
        <f>data!BM399</f>
        <v>0</v>
      </c>
      <c r="H415" s="48">
        <f>data!BN399</f>
        <v>0</v>
      </c>
      <c r="I415" s="48">
        <f>data!BO399</f>
        <v>0</v>
      </c>
      <c r="J415" s="48">
        <f>data!BP399</f>
        <v>25624.983447723062</v>
      </c>
      <c r="K415" s="48">
        <f>data!BQ399</f>
        <v>18926.956258203456</v>
      </c>
      <c r="L415" s="48">
        <f>data!BR399</f>
        <v>10247.122151664489</v>
      </c>
      <c r="M415" s="48">
        <f>data!BS399</f>
        <v>0</v>
      </c>
    </row>
    <row r="416" spans="2:13" x14ac:dyDescent="0.2">
      <c r="B416" s="4" t="s">
        <v>433</v>
      </c>
      <c r="C416" s="48">
        <f>data!BI400</f>
        <v>0</v>
      </c>
      <c r="D416" s="48">
        <f>data!BJ400</f>
        <v>0</v>
      </c>
      <c r="E416" s="48">
        <f>data!BK400</f>
        <v>0</v>
      </c>
      <c r="F416" s="48">
        <f>data!BL400</f>
        <v>0</v>
      </c>
      <c r="G416" s="48">
        <f>data!BM400</f>
        <v>0</v>
      </c>
      <c r="H416" s="48">
        <f>data!BN400</f>
        <v>0</v>
      </c>
      <c r="I416" s="48">
        <f>data!BO400</f>
        <v>0</v>
      </c>
      <c r="J416" s="48">
        <f>data!BP400</f>
        <v>25670.773453053655</v>
      </c>
      <c r="K416" s="48">
        <f>data!BQ400</f>
        <v>18966.249606136989</v>
      </c>
      <c r="L416" s="48">
        <f>data!BR400</f>
        <v>10269.53943141526</v>
      </c>
      <c r="M416" s="48">
        <f>data!BS400</f>
        <v>0</v>
      </c>
    </row>
    <row r="417" spans="2:13" x14ac:dyDescent="0.2">
      <c r="B417" s="4" t="s">
        <v>434</v>
      </c>
      <c r="C417" s="48">
        <f>data!BI401</f>
        <v>0</v>
      </c>
      <c r="D417" s="48">
        <f>data!BJ401</f>
        <v>0</v>
      </c>
      <c r="E417" s="48">
        <f>data!BK401</f>
        <v>0</v>
      </c>
      <c r="F417" s="48">
        <f>data!BL401</f>
        <v>0</v>
      </c>
      <c r="G417" s="48">
        <f>data!BM401</f>
        <v>0</v>
      </c>
      <c r="H417" s="48">
        <f>data!BN401</f>
        <v>0</v>
      </c>
      <c r="I417" s="48">
        <f>data!BO401</f>
        <v>0</v>
      </c>
      <c r="J417" s="48">
        <f>data!BP401</f>
        <v>26243.584027506127</v>
      </c>
      <c r="K417" s="48">
        <f>data!BQ401</f>
        <v>19357.640697902076</v>
      </c>
      <c r="L417" s="48">
        <f>data!BR401</f>
        <v>10465.728272956048</v>
      </c>
      <c r="M417" s="48">
        <f>data!BS401</f>
        <v>0</v>
      </c>
    </row>
    <row r="418" spans="2:13" x14ac:dyDescent="0.2">
      <c r="B418" s="4" t="s">
        <v>435</v>
      </c>
      <c r="C418" s="48">
        <f>data!BI402</f>
        <v>0</v>
      </c>
      <c r="D418" s="48">
        <f>data!BJ402</f>
        <v>0</v>
      </c>
      <c r="E418" s="48">
        <f>data!BK402</f>
        <v>0</v>
      </c>
      <c r="F418" s="48">
        <f>data!BL402</f>
        <v>0</v>
      </c>
      <c r="G418" s="48">
        <f>data!BM402</f>
        <v>0</v>
      </c>
      <c r="H418" s="48">
        <f>data!BN402</f>
        <v>0</v>
      </c>
      <c r="I418" s="48">
        <f>data!BO402</f>
        <v>0</v>
      </c>
      <c r="J418" s="48">
        <f>data!BP402</f>
        <v>26177.968528840989</v>
      </c>
      <c r="K418" s="48">
        <f>data!BQ402</f>
        <v>19303.767760036906</v>
      </c>
      <c r="L418" s="48">
        <f>data!BR402</f>
        <v>10435.289187044096</v>
      </c>
      <c r="M418" s="48">
        <f>data!BS402</f>
        <v>0</v>
      </c>
    </row>
    <row r="419" spans="2:13" x14ac:dyDescent="0.2">
      <c r="B419" s="4" t="s">
        <v>436</v>
      </c>
      <c r="C419" s="48">
        <f>data!BI403</f>
        <v>0</v>
      </c>
      <c r="D419" s="48">
        <f>data!BJ403</f>
        <v>0</v>
      </c>
      <c r="E419" s="48">
        <f>data!BK403</f>
        <v>0</v>
      </c>
      <c r="F419" s="48">
        <f>data!BL403</f>
        <v>0</v>
      </c>
      <c r="G419" s="48">
        <f>data!BM403</f>
        <v>0</v>
      </c>
      <c r="H419" s="48">
        <f>data!BN403</f>
        <v>0</v>
      </c>
      <c r="I419" s="48">
        <f>data!BO403</f>
        <v>0</v>
      </c>
      <c r="J419" s="48">
        <f>data!BP403</f>
        <v>27563.984026797472</v>
      </c>
      <c r="K419" s="48">
        <f>data!BQ403</f>
        <v>20176.802072293045</v>
      </c>
      <c r="L419" s="48">
        <f>data!BR403</f>
        <v>10838.30638691121</v>
      </c>
      <c r="M419" s="48">
        <f>data!BS403</f>
        <v>0</v>
      </c>
    </row>
    <row r="420" spans="2:13" x14ac:dyDescent="0.2">
      <c r="B420" s="4" t="s">
        <v>437</v>
      </c>
      <c r="C420" s="48">
        <f>data!BI404</f>
        <v>0</v>
      </c>
      <c r="D420" s="48">
        <f>data!BJ404</f>
        <v>0</v>
      </c>
      <c r="E420" s="48">
        <f>data!BK404</f>
        <v>0</v>
      </c>
      <c r="F420" s="48">
        <f>data!BL404</f>
        <v>0</v>
      </c>
      <c r="G420" s="48">
        <f>data!BM404</f>
        <v>0</v>
      </c>
      <c r="H420" s="48">
        <f>data!BN404</f>
        <v>0</v>
      </c>
      <c r="I420" s="48">
        <f>data!BO404</f>
        <v>0</v>
      </c>
      <c r="J420" s="48">
        <f>data!BP404</f>
        <v>26465.735226056342</v>
      </c>
      <c r="K420" s="48">
        <f>data!BQ404</f>
        <v>19478.263826756884</v>
      </c>
      <c r="L420" s="48">
        <f>data!BR404</f>
        <v>10512.145430203862</v>
      </c>
      <c r="M420" s="48">
        <f>data!BS404</f>
        <v>0</v>
      </c>
    </row>
    <row r="421" spans="2:13" x14ac:dyDescent="0.2">
      <c r="B421" s="4" t="s">
        <v>438</v>
      </c>
      <c r="C421" s="48">
        <f>data!BI405</f>
        <v>0</v>
      </c>
      <c r="D421" s="48">
        <f>data!BJ405</f>
        <v>0</v>
      </c>
      <c r="E421" s="48">
        <f>data!BK405</f>
        <v>0</v>
      </c>
      <c r="F421" s="48">
        <f>data!BL405</f>
        <v>0</v>
      </c>
      <c r="G421" s="48">
        <f>data!BM405</f>
        <v>0</v>
      </c>
      <c r="H421" s="48">
        <f>data!BN405</f>
        <v>0</v>
      </c>
      <c r="I421" s="48">
        <f>data!BO405</f>
        <v>0</v>
      </c>
      <c r="J421" s="48">
        <f>data!BP405</f>
        <v>27336.335164664277</v>
      </c>
      <c r="K421" s="48">
        <f>data!BQ405</f>
        <v>20042.430973878472</v>
      </c>
      <c r="L421" s="48">
        <f>data!BR405</f>
        <v>10779.387336790907</v>
      </c>
      <c r="M421" s="48">
        <f>data!BS405</f>
        <v>0</v>
      </c>
    </row>
    <row r="422" spans="2:13" x14ac:dyDescent="0.2">
      <c r="B422" s="4" t="s">
        <v>439</v>
      </c>
      <c r="C422" s="48">
        <f>data!BI406</f>
        <v>0</v>
      </c>
      <c r="D422" s="48">
        <f>data!BJ406</f>
        <v>0</v>
      </c>
      <c r="E422" s="48">
        <f>data!BK406</f>
        <v>0</v>
      </c>
      <c r="F422" s="48">
        <f>data!BL406</f>
        <v>0</v>
      </c>
      <c r="G422" s="48">
        <f>data!BM406</f>
        <v>0</v>
      </c>
      <c r="H422" s="48">
        <f>data!BN406</f>
        <v>0</v>
      </c>
      <c r="I422" s="48">
        <f>data!BO406</f>
        <v>0</v>
      </c>
      <c r="J422" s="48">
        <f>data!BP406</f>
        <v>28480.865100744057</v>
      </c>
      <c r="K422" s="48">
        <f>data!BQ406</f>
        <v>20784.998124972983</v>
      </c>
      <c r="L422" s="48">
        <f>data!BR406</f>
        <v>11133.936010020961</v>
      </c>
      <c r="M422" s="48">
        <f>data!BS406</f>
        <v>0</v>
      </c>
    </row>
    <row r="423" spans="2:13" x14ac:dyDescent="0.2">
      <c r="B423" s="4" t="s">
        <v>440</v>
      </c>
      <c r="C423" s="48">
        <f>data!BI407</f>
        <v>0</v>
      </c>
      <c r="D423" s="48">
        <f>data!BJ407</f>
        <v>0</v>
      </c>
      <c r="E423" s="48">
        <f>data!BK407</f>
        <v>0</v>
      </c>
      <c r="F423" s="48">
        <f>data!BL407</f>
        <v>0</v>
      </c>
      <c r="G423" s="48">
        <f>data!BM407</f>
        <v>0</v>
      </c>
      <c r="H423" s="48">
        <f>data!BN407</f>
        <v>0</v>
      </c>
      <c r="I423" s="48">
        <f>data!BO407</f>
        <v>0</v>
      </c>
      <c r="J423" s="48">
        <f>data!BP407</f>
        <v>27652.049015286368</v>
      </c>
      <c r="K423" s="48">
        <f>data!BQ407</f>
        <v>20244.291999978563</v>
      </c>
      <c r="L423" s="48">
        <f>data!BR407</f>
        <v>10875.209747540091</v>
      </c>
      <c r="M423" s="48">
        <f>data!BS407</f>
        <v>0</v>
      </c>
    </row>
    <row r="424" spans="2:13" x14ac:dyDescent="0.2">
      <c r="B424" s="4" t="s">
        <v>441</v>
      </c>
      <c r="C424" s="48">
        <f>data!BI408</f>
        <v>0</v>
      </c>
      <c r="D424" s="48">
        <f>data!BJ408</f>
        <v>0</v>
      </c>
      <c r="E424" s="48">
        <f>data!BK408</f>
        <v>0</v>
      </c>
      <c r="F424" s="48">
        <f>data!BL408</f>
        <v>0</v>
      </c>
      <c r="G424" s="48">
        <f>data!BM408</f>
        <v>0</v>
      </c>
      <c r="H424" s="48">
        <f>data!BN408</f>
        <v>0</v>
      </c>
      <c r="I424" s="48">
        <f>data!BO408</f>
        <v>0</v>
      </c>
      <c r="J424" s="48">
        <f>data!BP408</f>
        <v>27650.636940219982</v>
      </c>
      <c r="K424" s="48">
        <f>data!BQ408</f>
        <v>20252.200908652521</v>
      </c>
      <c r="L424" s="48">
        <f>data!BR408</f>
        <v>10882.844618969539</v>
      </c>
      <c r="M424" s="48">
        <f>data!BS408</f>
        <v>0</v>
      </c>
    </row>
    <row r="425" spans="2:13" x14ac:dyDescent="0.2">
      <c r="B425" s="4" t="s">
        <v>442</v>
      </c>
      <c r="C425" s="48">
        <f>data!BI409</f>
        <v>0</v>
      </c>
      <c r="D425" s="48">
        <f>data!BJ409</f>
        <v>0</v>
      </c>
      <c r="E425" s="48">
        <f>data!BK409</f>
        <v>0</v>
      </c>
      <c r="F425" s="48">
        <f>data!BL409</f>
        <v>0</v>
      </c>
      <c r="G425" s="48">
        <f>data!BM409</f>
        <v>0</v>
      </c>
      <c r="H425" s="48">
        <f>data!BN409</f>
        <v>0</v>
      </c>
      <c r="I425" s="48">
        <f>data!BO409</f>
        <v>0</v>
      </c>
      <c r="J425" s="48">
        <f>data!BP409</f>
        <v>0</v>
      </c>
      <c r="K425" s="48">
        <f>data!BQ409</f>
        <v>21419.719784460773</v>
      </c>
      <c r="L425" s="48">
        <f>data!BR409</f>
        <v>11713.043124596259</v>
      </c>
      <c r="M425" s="48">
        <f>data!BS409</f>
        <v>0</v>
      </c>
    </row>
    <row r="426" spans="2:13" x14ac:dyDescent="0.2">
      <c r="B426" s="4" t="s">
        <v>443</v>
      </c>
      <c r="C426" s="48">
        <f>data!BI410</f>
        <v>0</v>
      </c>
      <c r="D426" s="48">
        <f>data!BJ410</f>
        <v>0</v>
      </c>
      <c r="E426" s="48">
        <f>data!BK410</f>
        <v>0</v>
      </c>
      <c r="F426" s="48">
        <f>data!BL410</f>
        <v>0</v>
      </c>
      <c r="G426" s="48">
        <f>data!BM410</f>
        <v>0</v>
      </c>
      <c r="H426" s="48">
        <f>data!BN410</f>
        <v>0</v>
      </c>
      <c r="I426" s="48">
        <f>data!BO410</f>
        <v>0</v>
      </c>
      <c r="J426" s="48">
        <f>data!BP410</f>
        <v>0</v>
      </c>
      <c r="K426" s="48">
        <f>data!BQ410</f>
        <v>21257.257044400008</v>
      </c>
      <c r="L426" s="48">
        <f>data!BR410</f>
        <v>11635.291337029639</v>
      </c>
      <c r="M426" s="48">
        <f>data!BS410</f>
        <v>0</v>
      </c>
    </row>
    <row r="427" spans="2:13" x14ac:dyDescent="0.2">
      <c r="B427" s="4" t="s">
        <v>444</v>
      </c>
      <c r="C427" s="48">
        <f>data!BI411</f>
        <v>0</v>
      </c>
      <c r="D427" s="48">
        <f>data!BJ411</f>
        <v>0</v>
      </c>
      <c r="E427" s="48">
        <f>data!BK411</f>
        <v>0</v>
      </c>
      <c r="F427" s="48">
        <f>data!BL411</f>
        <v>0</v>
      </c>
      <c r="G427" s="48">
        <f>data!BM411</f>
        <v>0</v>
      </c>
      <c r="H427" s="48">
        <f>data!BN411</f>
        <v>0</v>
      </c>
      <c r="I427" s="48">
        <f>data!BO411</f>
        <v>0</v>
      </c>
      <c r="J427" s="48">
        <f>data!BP411</f>
        <v>0</v>
      </c>
      <c r="K427" s="48">
        <f>data!BQ411</f>
        <v>20527.040837827321</v>
      </c>
      <c r="L427" s="48">
        <f>data!BR411</f>
        <v>11264.477910066891</v>
      </c>
      <c r="M427" s="48">
        <f>data!BS411</f>
        <v>0</v>
      </c>
    </row>
    <row r="428" spans="2:13" x14ac:dyDescent="0.2">
      <c r="B428" s="4" t="s">
        <v>445</v>
      </c>
      <c r="C428" s="48">
        <f>data!BI412</f>
        <v>0</v>
      </c>
      <c r="D428" s="48">
        <f>data!BJ412</f>
        <v>0</v>
      </c>
      <c r="E428" s="48">
        <f>data!BK412</f>
        <v>0</v>
      </c>
      <c r="F428" s="48">
        <f>data!BL412</f>
        <v>0</v>
      </c>
      <c r="G428" s="48">
        <f>data!BM412</f>
        <v>0</v>
      </c>
      <c r="H428" s="48">
        <f>data!BN412</f>
        <v>0</v>
      </c>
      <c r="I428" s="48">
        <f>data!BO412</f>
        <v>0</v>
      </c>
      <c r="J428" s="48">
        <f>data!BP412</f>
        <v>0</v>
      </c>
      <c r="K428" s="48">
        <f>data!BQ412</f>
        <v>20714.930153972869</v>
      </c>
      <c r="L428" s="48">
        <f>data!BR412</f>
        <v>11361.638007958392</v>
      </c>
      <c r="M428" s="48">
        <f>data!BS412</f>
        <v>0</v>
      </c>
    </row>
    <row r="429" spans="2:13" x14ac:dyDescent="0.2">
      <c r="B429" s="4" t="s">
        <v>446</v>
      </c>
      <c r="C429" s="48">
        <f>data!BI413</f>
        <v>0</v>
      </c>
      <c r="D429" s="48">
        <f>data!BJ413</f>
        <v>0</v>
      </c>
      <c r="E429" s="48">
        <f>data!BK413</f>
        <v>0</v>
      </c>
      <c r="F429" s="48">
        <f>data!BL413</f>
        <v>0</v>
      </c>
      <c r="G429" s="48">
        <f>data!BM413</f>
        <v>0</v>
      </c>
      <c r="H429" s="48">
        <f>data!BN413</f>
        <v>0</v>
      </c>
      <c r="I429" s="48">
        <f>data!BO413</f>
        <v>0</v>
      </c>
      <c r="J429" s="48">
        <f>data!BP413</f>
        <v>0</v>
      </c>
      <c r="K429" s="48">
        <f>data!BQ413</f>
        <v>20513.401009263558</v>
      </c>
      <c r="L429" s="48">
        <f>data!BR413</f>
        <v>11262.640583220245</v>
      </c>
      <c r="M429" s="48">
        <f>data!BS413</f>
        <v>0</v>
      </c>
    </row>
    <row r="430" spans="2:13" x14ac:dyDescent="0.2">
      <c r="B430" s="4" t="s">
        <v>447</v>
      </c>
      <c r="C430" s="48">
        <f>data!BI414</f>
        <v>0</v>
      </c>
      <c r="D430" s="48">
        <f>data!BJ414</f>
        <v>0</v>
      </c>
      <c r="E430" s="48">
        <f>data!BK414</f>
        <v>0</v>
      </c>
      <c r="F430" s="48">
        <f>data!BL414</f>
        <v>0</v>
      </c>
      <c r="G430" s="48">
        <f>data!BM414</f>
        <v>0</v>
      </c>
      <c r="H430" s="48">
        <f>data!BN414</f>
        <v>0</v>
      </c>
      <c r="I430" s="48">
        <f>data!BO414</f>
        <v>0</v>
      </c>
      <c r="J430" s="48">
        <f>data!BP414</f>
        <v>0</v>
      </c>
      <c r="K430" s="48">
        <f>data!BQ414</f>
        <v>20506.507033935897</v>
      </c>
      <c r="L430" s="48">
        <f>data!BR414</f>
        <v>11263.645186236696</v>
      </c>
      <c r="M430" s="48">
        <f>data!BS414</f>
        <v>0</v>
      </c>
    </row>
    <row r="431" spans="2:13" x14ac:dyDescent="0.2">
      <c r="B431" s="4" t="s">
        <v>448</v>
      </c>
      <c r="C431" s="48">
        <f>data!BI415</f>
        <v>0</v>
      </c>
      <c r="D431" s="48">
        <f>data!BJ415</f>
        <v>0</v>
      </c>
      <c r="E431" s="48">
        <f>data!BK415</f>
        <v>0</v>
      </c>
      <c r="F431" s="48">
        <f>data!BL415</f>
        <v>0</v>
      </c>
      <c r="G431" s="48">
        <f>data!BM415</f>
        <v>0</v>
      </c>
      <c r="H431" s="48">
        <f>data!BN415</f>
        <v>0</v>
      </c>
      <c r="I431" s="48">
        <f>data!BO415</f>
        <v>0</v>
      </c>
      <c r="J431" s="48">
        <f>data!BP415</f>
        <v>0</v>
      </c>
      <c r="K431" s="48">
        <f>data!BQ415</f>
        <v>20576.490616754454</v>
      </c>
      <c r="L431" s="48">
        <f>data!BR415</f>
        <v>11309.751021913067</v>
      </c>
      <c r="M431" s="48">
        <f>data!BS415</f>
        <v>0</v>
      </c>
    </row>
    <row r="432" spans="2:13" x14ac:dyDescent="0.2">
      <c r="B432" s="4" t="s">
        <v>449</v>
      </c>
      <c r="C432" s="48">
        <f>data!BI416</f>
        <v>0</v>
      </c>
      <c r="D432" s="48">
        <f>data!BJ416</f>
        <v>0</v>
      </c>
      <c r="E432" s="48">
        <f>data!BK416</f>
        <v>0</v>
      </c>
      <c r="F432" s="48">
        <f>data!BL416</f>
        <v>0</v>
      </c>
      <c r="G432" s="48">
        <f>data!BM416</f>
        <v>0</v>
      </c>
      <c r="H432" s="48">
        <f>data!BN416</f>
        <v>0</v>
      </c>
      <c r="I432" s="48">
        <f>data!BO416</f>
        <v>0</v>
      </c>
      <c r="J432" s="48">
        <f>data!BP416</f>
        <v>0</v>
      </c>
      <c r="K432" s="48">
        <f>data!BQ416</f>
        <v>19732.423010521867</v>
      </c>
      <c r="L432" s="48">
        <f>data!BR416</f>
        <v>10881.196552321011</v>
      </c>
      <c r="M432" s="48">
        <f>data!BS416</f>
        <v>0</v>
      </c>
    </row>
    <row r="433" spans="2:13" x14ac:dyDescent="0.2">
      <c r="B433" s="4" t="s">
        <v>450</v>
      </c>
      <c r="C433" s="48">
        <f>data!BI417</f>
        <v>0</v>
      </c>
      <c r="D433" s="48">
        <f>data!BJ417</f>
        <v>0</v>
      </c>
      <c r="E433" s="48">
        <f>data!BK417</f>
        <v>0</v>
      </c>
      <c r="F433" s="48">
        <f>data!BL417</f>
        <v>0</v>
      </c>
      <c r="G433" s="48">
        <f>data!BM417</f>
        <v>0</v>
      </c>
      <c r="H433" s="48">
        <f>data!BN417</f>
        <v>0</v>
      </c>
      <c r="I433" s="48">
        <f>data!BO417</f>
        <v>0</v>
      </c>
      <c r="J433" s="48">
        <f>data!BP417</f>
        <v>0</v>
      </c>
      <c r="K433" s="48">
        <f>data!BQ417</f>
        <v>20303.563377331804</v>
      </c>
      <c r="L433" s="48">
        <f>data!BR417</f>
        <v>11176.715493624581</v>
      </c>
      <c r="M433" s="48">
        <f>data!BS417</f>
        <v>0</v>
      </c>
    </row>
    <row r="434" spans="2:13" x14ac:dyDescent="0.2">
      <c r="B434" s="4" t="s">
        <v>451</v>
      </c>
      <c r="C434" s="48">
        <f>data!BI418</f>
        <v>0</v>
      </c>
      <c r="D434" s="48">
        <f>data!BJ418</f>
        <v>0</v>
      </c>
      <c r="E434" s="48">
        <f>data!BK418</f>
        <v>0</v>
      </c>
      <c r="F434" s="48">
        <f>data!BL418</f>
        <v>0</v>
      </c>
      <c r="G434" s="48">
        <f>data!BM418</f>
        <v>0</v>
      </c>
      <c r="H434" s="48">
        <f>data!BN418</f>
        <v>0</v>
      </c>
      <c r="I434" s="48">
        <f>data!BO418</f>
        <v>0</v>
      </c>
      <c r="J434" s="48">
        <f>data!BP418</f>
        <v>0</v>
      </c>
      <c r="K434" s="48">
        <f>data!BQ418</f>
        <v>19964.85594295898</v>
      </c>
      <c r="L434" s="48">
        <f>data!BR418</f>
        <v>11009.55123818603</v>
      </c>
      <c r="M434" s="48">
        <f>data!BS418</f>
        <v>0</v>
      </c>
    </row>
    <row r="435" spans="2:13" x14ac:dyDescent="0.2">
      <c r="B435" s="4" t="s">
        <v>452</v>
      </c>
      <c r="C435" s="48">
        <f>data!BI419</f>
        <v>0</v>
      </c>
      <c r="D435" s="48">
        <f>data!BJ419</f>
        <v>0</v>
      </c>
      <c r="E435" s="48">
        <f>data!BK419</f>
        <v>0</v>
      </c>
      <c r="F435" s="48">
        <f>data!BL419</f>
        <v>0</v>
      </c>
      <c r="G435" s="48">
        <f>data!BM419</f>
        <v>0</v>
      </c>
      <c r="H435" s="48">
        <f>data!BN419</f>
        <v>0</v>
      </c>
      <c r="I435" s="48">
        <f>data!BO419</f>
        <v>0</v>
      </c>
      <c r="J435" s="48">
        <f>data!BP419</f>
        <v>0</v>
      </c>
      <c r="K435" s="48">
        <f>data!BQ419</f>
        <v>19086.686257627596</v>
      </c>
      <c r="L435" s="48">
        <f>data!BR419</f>
        <v>10575.184401057038</v>
      </c>
      <c r="M435" s="48">
        <f>data!BS419</f>
        <v>0</v>
      </c>
    </row>
    <row r="436" spans="2:13" x14ac:dyDescent="0.2">
      <c r="B436" s="4" t="s">
        <v>453</v>
      </c>
      <c r="C436" s="48">
        <f>data!BI420</f>
        <v>0</v>
      </c>
      <c r="D436" s="48">
        <f>data!BJ420</f>
        <v>0</v>
      </c>
      <c r="E436" s="48">
        <f>data!BK420</f>
        <v>0</v>
      </c>
      <c r="F436" s="48">
        <f>data!BL420</f>
        <v>0</v>
      </c>
      <c r="G436" s="48">
        <f>data!BM420</f>
        <v>0</v>
      </c>
      <c r="H436" s="48">
        <f>data!BN420</f>
        <v>0</v>
      </c>
      <c r="I436" s="48">
        <f>data!BO420</f>
        <v>0</v>
      </c>
      <c r="J436" s="48">
        <f>data!BP420</f>
        <v>0</v>
      </c>
      <c r="K436" s="48">
        <f>data!BQ420</f>
        <v>17946.785470129533</v>
      </c>
      <c r="L436" s="48">
        <f>data!BR420</f>
        <v>10006.934350828406</v>
      </c>
      <c r="M436" s="48">
        <f>data!BS420</f>
        <v>0</v>
      </c>
    </row>
    <row r="437" spans="2:13" x14ac:dyDescent="0.2">
      <c r="B437" s="4" t="s">
        <v>454</v>
      </c>
      <c r="C437" s="48">
        <f>data!BI421</f>
        <v>0</v>
      </c>
      <c r="D437" s="48">
        <f>data!BJ421</f>
        <v>0</v>
      </c>
      <c r="E437" s="48">
        <f>data!BK421</f>
        <v>0</v>
      </c>
      <c r="F437" s="48">
        <f>data!BL421</f>
        <v>0</v>
      </c>
      <c r="G437" s="48">
        <f>data!BM421</f>
        <v>0</v>
      </c>
      <c r="H437" s="48">
        <f>data!BN421</f>
        <v>0</v>
      </c>
      <c r="I437" s="48">
        <f>data!BO421</f>
        <v>0</v>
      </c>
      <c r="J437" s="48">
        <f>data!BP421</f>
        <v>0</v>
      </c>
      <c r="K437" s="48">
        <f>data!BQ421</f>
        <v>18018.919719273534</v>
      </c>
      <c r="L437" s="48">
        <f>data!BR421</f>
        <v>10037.618788740619</v>
      </c>
      <c r="M437" s="48">
        <f>data!BS421</f>
        <v>0</v>
      </c>
    </row>
    <row r="438" spans="2:13" x14ac:dyDescent="0.2">
      <c r="B438" s="4" t="s">
        <v>455</v>
      </c>
      <c r="C438" s="48">
        <f>data!BI422</f>
        <v>0</v>
      </c>
      <c r="D438" s="48">
        <f>data!BJ422</f>
        <v>0</v>
      </c>
      <c r="E438" s="48">
        <f>data!BK422</f>
        <v>0</v>
      </c>
      <c r="F438" s="48">
        <f>data!BL422</f>
        <v>0</v>
      </c>
      <c r="G438" s="48">
        <f>data!BM422</f>
        <v>0</v>
      </c>
      <c r="H438" s="48">
        <f>data!BN422</f>
        <v>0</v>
      </c>
      <c r="I438" s="48">
        <f>data!BO422</f>
        <v>0</v>
      </c>
      <c r="J438" s="48">
        <f>data!BP422</f>
        <v>0</v>
      </c>
      <c r="K438" s="48">
        <f>data!BQ422</f>
        <v>16782.877289282231</v>
      </c>
      <c r="L438" s="48">
        <f>data!BR422</f>
        <v>9424.3156220988403</v>
      </c>
      <c r="M438" s="48">
        <f>data!BS422</f>
        <v>0</v>
      </c>
    </row>
    <row r="439" spans="2:13" x14ac:dyDescent="0.2">
      <c r="B439" s="4" t="s">
        <v>456</v>
      </c>
      <c r="C439" s="48">
        <f>data!BI423</f>
        <v>0</v>
      </c>
      <c r="D439" s="48">
        <f>data!BJ423</f>
        <v>0</v>
      </c>
      <c r="E439" s="48">
        <f>data!BK423</f>
        <v>0</v>
      </c>
      <c r="F439" s="48">
        <f>data!BL423</f>
        <v>0</v>
      </c>
      <c r="G439" s="48">
        <f>data!BM423</f>
        <v>0</v>
      </c>
      <c r="H439" s="48">
        <f>data!BN423</f>
        <v>0</v>
      </c>
      <c r="I439" s="48">
        <f>data!BO423</f>
        <v>0</v>
      </c>
      <c r="J439" s="48">
        <f>data!BP423</f>
        <v>0</v>
      </c>
      <c r="K439" s="48">
        <f>data!BQ423</f>
        <v>16169.246041232136</v>
      </c>
      <c r="L439" s="48">
        <f>data!BR423</f>
        <v>9117.4579961215622</v>
      </c>
      <c r="M439" s="48">
        <f>data!BS423</f>
        <v>0</v>
      </c>
    </row>
    <row r="440" spans="2:13" x14ac:dyDescent="0.2">
      <c r="B440" s="4" t="s">
        <v>457</v>
      </c>
      <c r="C440" s="48">
        <f>data!BI424</f>
        <v>0</v>
      </c>
      <c r="D440" s="48">
        <f>data!BJ424</f>
        <v>0</v>
      </c>
      <c r="E440" s="48">
        <f>data!BK424</f>
        <v>0</v>
      </c>
      <c r="F440" s="48">
        <f>data!BL424</f>
        <v>0</v>
      </c>
      <c r="G440" s="48">
        <f>data!BM424</f>
        <v>0</v>
      </c>
      <c r="H440" s="48">
        <f>data!BN424</f>
        <v>0</v>
      </c>
      <c r="I440" s="48">
        <f>data!BO424</f>
        <v>0</v>
      </c>
      <c r="J440" s="48">
        <f>data!BP424</f>
        <v>0</v>
      </c>
      <c r="K440" s="48">
        <f>data!BQ424</f>
        <v>16256.375038660466</v>
      </c>
      <c r="L440" s="48">
        <f>data!BR424</f>
        <v>9167.2474281095292</v>
      </c>
      <c r="M440" s="48">
        <f>data!BS424</f>
        <v>0</v>
      </c>
    </row>
    <row r="441" spans="2:13" x14ac:dyDescent="0.2">
      <c r="B441" s="4" t="s">
        <v>458</v>
      </c>
      <c r="C441" s="48">
        <f>data!BI425</f>
        <v>0</v>
      </c>
      <c r="D441" s="48">
        <f>data!BJ425</f>
        <v>0</v>
      </c>
      <c r="E441" s="48">
        <f>data!BK425</f>
        <v>0</v>
      </c>
      <c r="F441" s="48">
        <f>data!BL425</f>
        <v>0</v>
      </c>
      <c r="G441" s="48">
        <f>data!BM425</f>
        <v>0</v>
      </c>
      <c r="H441" s="48">
        <f>data!BN425</f>
        <v>0</v>
      </c>
      <c r="I441" s="48">
        <f>data!BO425</f>
        <v>0</v>
      </c>
      <c r="J441" s="48">
        <f>data!BP425</f>
        <v>0</v>
      </c>
      <c r="K441" s="48">
        <f>data!BQ425</f>
        <v>17577.364500443582</v>
      </c>
      <c r="L441" s="48">
        <f>data!BR425</f>
        <v>9835.9803888924471</v>
      </c>
      <c r="M441" s="48">
        <f>data!BS425</f>
        <v>0</v>
      </c>
    </row>
    <row r="442" spans="2:13" x14ac:dyDescent="0.2">
      <c r="B442" s="4" t="s">
        <v>459</v>
      </c>
      <c r="C442" s="48">
        <f>data!BI426</f>
        <v>0</v>
      </c>
      <c r="D442" s="48">
        <f>data!BJ426</f>
        <v>0</v>
      </c>
      <c r="E442" s="48">
        <f>data!BK426</f>
        <v>0</v>
      </c>
      <c r="F442" s="48">
        <f>data!BL426</f>
        <v>0</v>
      </c>
      <c r="G442" s="48">
        <f>data!BM426</f>
        <v>0</v>
      </c>
      <c r="H442" s="48">
        <f>data!BN426</f>
        <v>0</v>
      </c>
      <c r="I442" s="48">
        <f>data!BO426</f>
        <v>0</v>
      </c>
      <c r="J442" s="48">
        <f>data!BP426</f>
        <v>0</v>
      </c>
      <c r="K442" s="48">
        <f>data!BQ426</f>
        <v>17642.0896360185</v>
      </c>
      <c r="L442" s="48">
        <f>data!BR426</f>
        <v>9876.1360044732792</v>
      </c>
      <c r="M442" s="48">
        <f>data!BS426</f>
        <v>0</v>
      </c>
    </row>
    <row r="443" spans="2:13" x14ac:dyDescent="0.2">
      <c r="B443" s="4" t="s">
        <v>460</v>
      </c>
      <c r="C443" s="48">
        <f>data!BI427</f>
        <v>0</v>
      </c>
      <c r="D443" s="48">
        <f>data!BJ427</f>
        <v>0</v>
      </c>
      <c r="E443" s="48">
        <f>data!BK427</f>
        <v>0</v>
      </c>
      <c r="F443" s="48">
        <f>data!BL427</f>
        <v>0</v>
      </c>
      <c r="G443" s="48">
        <f>data!BM427</f>
        <v>0</v>
      </c>
      <c r="H443" s="48">
        <f>data!BN427</f>
        <v>0</v>
      </c>
      <c r="I443" s="48">
        <f>data!BO427</f>
        <v>0</v>
      </c>
      <c r="J443" s="48">
        <f>data!BP427</f>
        <v>0</v>
      </c>
      <c r="K443" s="48">
        <f>data!BQ427</f>
        <v>17563.981298384104</v>
      </c>
      <c r="L443" s="48">
        <f>data!BR427</f>
        <v>9845.3296716407021</v>
      </c>
      <c r="M443" s="48">
        <f>data!BS427</f>
        <v>0</v>
      </c>
    </row>
    <row r="444" spans="2:13" x14ac:dyDescent="0.2">
      <c r="B444" s="4" t="s">
        <v>461</v>
      </c>
      <c r="C444" s="48">
        <f>data!BI428</f>
        <v>0</v>
      </c>
      <c r="D444" s="48">
        <f>data!BJ428</f>
        <v>0</v>
      </c>
      <c r="E444" s="48">
        <f>data!BK428</f>
        <v>0</v>
      </c>
      <c r="F444" s="48">
        <f>data!BL428</f>
        <v>0</v>
      </c>
      <c r="G444" s="48">
        <f>data!BM428</f>
        <v>0</v>
      </c>
      <c r="H444" s="48">
        <f>data!BN428</f>
        <v>0</v>
      </c>
      <c r="I444" s="48">
        <f>data!BO428</f>
        <v>0</v>
      </c>
      <c r="J444" s="48">
        <f>data!BP428</f>
        <v>0</v>
      </c>
      <c r="K444" s="48">
        <f>data!BQ428</f>
        <v>17146.586285633639</v>
      </c>
      <c r="L444" s="48">
        <f>data!BR428</f>
        <v>9639.8308741626461</v>
      </c>
      <c r="M444" s="48">
        <f>data!BS428</f>
        <v>0</v>
      </c>
    </row>
    <row r="445" spans="2:13" x14ac:dyDescent="0.2">
      <c r="B445" s="4" t="s">
        <v>462</v>
      </c>
      <c r="C445" s="48">
        <f>data!BI429</f>
        <v>0</v>
      </c>
      <c r="D445" s="48">
        <f>data!BJ429</f>
        <v>0</v>
      </c>
      <c r="E445" s="48">
        <f>data!BK429</f>
        <v>0</v>
      </c>
      <c r="F445" s="48">
        <f>data!BL429</f>
        <v>0</v>
      </c>
      <c r="G445" s="48">
        <f>data!BM429</f>
        <v>0</v>
      </c>
      <c r="H445" s="48">
        <f>data!BN429</f>
        <v>0</v>
      </c>
      <c r="I445" s="48">
        <f>data!BO429</f>
        <v>0</v>
      </c>
      <c r="J445" s="48">
        <f>data!BP429</f>
        <v>0</v>
      </c>
      <c r="K445" s="48">
        <f>data!BQ429</f>
        <v>18032.11306580127</v>
      </c>
      <c r="L445" s="48">
        <f>data!BR429</f>
        <v>10083.07700818002</v>
      </c>
      <c r="M445" s="48">
        <f>data!BS429</f>
        <v>0</v>
      </c>
    </row>
    <row r="446" spans="2:13" x14ac:dyDescent="0.2">
      <c r="B446" s="4" t="s">
        <v>463</v>
      </c>
      <c r="C446" s="48">
        <f>data!BI430</f>
        <v>0</v>
      </c>
      <c r="D446" s="48">
        <f>data!BJ430</f>
        <v>0</v>
      </c>
      <c r="E446" s="48">
        <f>data!BK430</f>
        <v>0</v>
      </c>
      <c r="F446" s="48">
        <f>data!BL430</f>
        <v>0</v>
      </c>
      <c r="G446" s="48">
        <f>data!BM430</f>
        <v>0</v>
      </c>
      <c r="H446" s="48">
        <f>data!BN430</f>
        <v>0</v>
      </c>
      <c r="I446" s="48">
        <f>data!BO430</f>
        <v>0</v>
      </c>
      <c r="J446" s="48">
        <f>data!BP430</f>
        <v>0</v>
      </c>
      <c r="K446" s="48">
        <f>data!BQ430</f>
        <v>19185.514649555371</v>
      </c>
      <c r="L446" s="48">
        <f>data!BR430</f>
        <v>10661.258174266115</v>
      </c>
      <c r="M446" s="48">
        <f>data!BS430</f>
        <v>0</v>
      </c>
    </row>
    <row r="447" spans="2:13" x14ac:dyDescent="0.2">
      <c r="B447" s="4" t="s">
        <v>464</v>
      </c>
      <c r="C447" s="48">
        <f>data!BI431</f>
        <v>0</v>
      </c>
      <c r="D447" s="48">
        <f>data!BJ431</f>
        <v>0</v>
      </c>
      <c r="E447" s="48">
        <f>data!BK431</f>
        <v>0</v>
      </c>
      <c r="F447" s="48">
        <f>data!BL431</f>
        <v>0</v>
      </c>
      <c r="G447" s="48">
        <f>data!BM431</f>
        <v>0</v>
      </c>
      <c r="H447" s="48">
        <f>data!BN431</f>
        <v>0</v>
      </c>
      <c r="I447" s="48">
        <f>data!BO431</f>
        <v>0</v>
      </c>
      <c r="J447" s="48">
        <f>data!BP431</f>
        <v>0</v>
      </c>
      <c r="K447" s="48">
        <f>data!BQ431</f>
        <v>19644.353201393285</v>
      </c>
      <c r="L447" s="48">
        <f>data!BR431</f>
        <v>10905.805317635744</v>
      </c>
      <c r="M447" s="48">
        <f>data!BS431</f>
        <v>0</v>
      </c>
    </row>
    <row r="448" spans="2:13" x14ac:dyDescent="0.2">
      <c r="B448" s="4" t="s">
        <v>465</v>
      </c>
      <c r="C448" s="48">
        <f>data!BI432</f>
        <v>0</v>
      </c>
      <c r="D448" s="48">
        <f>data!BJ432</f>
        <v>0</v>
      </c>
      <c r="E448" s="48">
        <f>data!BK432</f>
        <v>0</v>
      </c>
      <c r="F448" s="48">
        <f>data!BL432</f>
        <v>0</v>
      </c>
      <c r="G448" s="48">
        <f>data!BM432</f>
        <v>0</v>
      </c>
      <c r="H448" s="48">
        <f>data!BN432</f>
        <v>0</v>
      </c>
      <c r="I448" s="48">
        <f>data!BO432</f>
        <v>0</v>
      </c>
      <c r="J448" s="48">
        <f>data!BP432</f>
        <v>0</v>
      </c>
      <c r="K448" s="48">
        <f>data!BQ432</f>
        <v>19431.610914954839</v>
      </c>
      <c r="L448" s="48">
        <f>data!BR432</f>
        <v>10813.487693391213</v>
      </c>
      <c r="M448" s="48">
        <f>data!BS432</f>
        <v>0</v>
      </c>
    </row>
    <row r="449" spans="2:13" x14ac:dyDescent="0.2">
      <c r="B449" s="4" t="s">
        <v>466</v>
      </c>
      <c r="C449" s="48">
        <f>data!BI433</f>
        <v>0</v>
      </c>
      <c r="D449" s="48">
        <f>data!BJ433</f>
        <v>0</v>
      </c>
      <c r="E449" s="48">
        <f>data!BK433</f>
        <v>0</v>
      </c>
      <c r="F449" s="48">
        <f>data!BL433</f>
        <v>0</v>
      </c>
      <c r="G449" s="48">
        <f>data!BM433</f>
        <v>0</v>
      </c>
      <c r="H449" s="48">
        <f>data!BN433</f>
        <v>0</v>
      </c>
      <c r="I449" s="48">
        <f>data!BO433</f>
        <v>0</v>
      </c>
      <c r="J449" s="48">
        <f>data!BP433</f>
        <v>0</v>
      </c>
      <c r="K449" s="48">
        <f>data!BQ433</f>
        <v>20188.117216489889</v>
      </c>
      <c r="L449" s="48">
        <f>data!BR433</f>
        <v>11186.607316471214</v>
      </c>
      <c r="M449" s="48">
        <f>data!BS433</f>
        <v>0</v>
      </c>
    </row>
    <row r="450" spans="2:13" x14ac:dyDescent="0.2">
      <c r="B450" s="4" t="s">
        <v>467</v>
      </c>
      <c r="C450" s="48">
        <f>data!BI434</f>
        <v>0</v>
      </c>
      <c r="D450" s="48">
        <f>data!BJ434</f>
        <v>0</v>
      </c>
      <c r="E450" s="48">
        <f>data!BK434</f>
        <v>0</v>
      </c>
      <c r="F450" s="48">
        <f>data!BL434</f>
        <v>0</v>
      </c>
      <c r="G450" s="48">
        <f>data!BM434</f>
        <v>0</v>
      </c>
      <c r="H450" s="48">
        <f>data!BN434</f>
        <v>0</v>
      </c>
      <c r="I450" s="48">
        <f>data!BO434</f>
        <v>0</v>
      </c>
      <c r="J450" s="48">
        <f>data!BP434</f>
        <v>0</v>
      </c>
      <c r="K450" s="48">
        <f>data!BQ434</f>
        <v>20260.181692596831</v>
      </c>
      <c r="L450" s="48">
        <f>data!BR434</f>
        <v>11209.871827046853</v>
      </c>
      <c r="M450" s="48">
        <f>data!BS434</f>
        <v>0</v>
      </c>
    </row>
    <row r="451" spans="2:13" x14ac:dyDescent="0.2">
      <c r="B451" s="4" t="s">
        <v>468</v>
      </c>
      <c r="C451" s="48">
        <f>data!BI435</f>
        <v>0</v>
      </c>
      <c r="D451" s="48">
        <f>data!BJ435</f>
        <v>0</v>
      </c>
      <c r="E451" s="48">
        <f>data!BK435</f>
        <v>0</v>
      </c>
      <c r="F451" s="48">
        <f>data!BL435</f>
        <v>0</v>
      </c>
      <c r="G451" s="48">
        <f>data!BM435</f>
        <v>0</v>
      </c>
      <c r="H451" s="48">
        <f>data!BN435</f>
        <v>0</v>
      </c>
      <c r="I451" s="48">
        <f>data!BO435</f>
        <v>0</v>
      </c>
      <c r="J451" s="48">
        <f>data!BP435</f>
        <v>0</v>
      </c>
      <c r="K451" s="48">
        <f>data!BQ435</f>
        <v>21151.989500726035</v>
      </c>
      <c r="L451" s="48">
        <f>data!BR435</f>
        <v>11636.857665808668</v>
      </c>
      <c r="M451" s="48">
        <f>data!BS435</f>
        <v>0</v>
      </c>
    </row>
    <row r="452" spans="2:13" x14ac:dyDescent="0.2">
      <c r="B452" s="4" t="s">
        <v>469</v>
      </c>
      <c r="C452" s="48">
        <f>data!BI436</f>
        <v>0</v>
      </c>
      <c r="D452" s="48">
        <f>data!BJ436</f>
        <v>0</v>
      </c>
      <c r="E452" s="48">
        <f>data!BK436</f>
        <v>0</v>
      </c>
      <c r="F452" s="48">
        <f>data!BL436</f>
        <v>0</v>
      </c>
      <c r="G452" s="48">
        <f>data!BM436</f>
        <v>0</v>
      </c>
      <c r="H452" s="48">
        <f>data!BN436</f>
        <v>0</v>
      </c>
      <c r="I452" s="48">
        <f>data!BO436</f>
        <v>0</v>
      </c>
      <c r="J452" s="48">
        <f>data!BP436</f>
        <v>0</v>
      </c>
      <c r="K452" s="48">
        <f>data!BQ436</f>
        <v>20882.461413103949</v>
      </c>
      <c r="L452" s="48">
        <f>data!BR436</f>
        <v>11485.014744872797</v>
      </c>
      <c r="M452" s="48">
        <f>data!BS436</f>
        <v>0</v>
      </c>
    </row>
    <row r="453" spans="2:13" x14ac:dyDescent="0.2">
      <c r="B453" s="4" t="s">
        <v>470</v>
      </c>
      <c r="C453" s="48">
        <f>data!BI437</f>
        <v>0</v>
      </c>
      <c r="D453" s="48">
        <f>data!BJ437</f>
        <v>0</v>
      </c>
      <c r="E453" s="48">
        <f>data!BK437</f>
        <v>0</v>
      </c>
      <c r="F453" s="48">
        <f>data!BL437</f>
        <v>0</v>
      </c>
      <c r="G453" s="48">
        <f>data!BM437</f>
        <v>0</v>
      </c>
      <c r="H453" s="48">
        <f>data!BN437</f>
        <v>0</v>
      </c>
      <c r="I453" s="48">
        <f>data!BO437</f>
        <v>0</v>
      </c>
      <c r="J453" s="48">
        <f>data!BP437</f>
        <v>0</v>
      </c>
      <c r="K453" s="48">
        <f>data!BQ437</f>
        <v>20526.909219306304</v>
      </c>
      <c r="L453" s="48">
        <f>data!BR437</f>
        <v>11315.516314398106</v>
      </c>
      <c r="M453" s="48">
        <f>data!BS437</f>
        <v>0</v>
      </c>
    </row>
    <row r="454" spans="2:13" x14ac:dyDescent="0.2">
      <c r="B454" s="4" t="s">
        <v>471</v>
      </c>
      <c r="C454" s="48">
        <f>data!BI438</f>
        <v>0</v>
      </c>
      <c r="D454" s="48">
        <f>data!BJ438</f>
        <v>0</v>
      </c>
      <c r="E454" s="48">
        <f>data!BK438</f>
        <v>0</v>
      </c>
      <c r="F454" s="48">
        <f>data!BL438</f>
        <v>0</v>
      </c>
      <c r="G454" s="48">
        <f>data!BM438</f>
        <v>0</v>
      </c>
      <c r="H454" s="48">
        <f>data!BN438</f>
        <v>0</v>
      </c>
      <c r="I454" s="48">
        <f>data!BO438</f>
        <v>0</v>
      </c>
      <c r="J454" s="48">
        <f>data!BP438</f>
        <v>0</v>
      </c>
      <c r="K454" s="48">
        <f>data!BQ438</f>
        <v>19988.778457990673</v>
      </c>
      <c r="L454" s="48">
        <f>data!BR438</f>
        <v>11051.894280255541</v>
      </c>
      <c r="M454" s="48">
        <f>data!BS438</f>
        <v>0</v>
      </c>
    </row>
    <row r="455" spans="2:13" x14ac:dyDescent="0.2">
      <c r="B455" s="4" t="s">
        <v>472</v>
      </c>
      <c r="C455" s="48">
        <f>data!BI439</f>
        <v>0</v>
      </c>
      <c r="D455" s="48">
        <f>data!BJ439</f>
        <v>0</v>
      </c>
      <c r="E455" s="48">
        <f>data!BK439</f>
        <v>0</v>
      </c>
      <c r="F455" s="48">
        <f>data!BL439</f>
        <v>0</v>
      </c>
      <c r="G455" s="48">
        <f>data!BM439</f>
        <v>0</v>
      </c>
      <c r="H455" s="48">
        <f>data!BN439</f>
        <v>0</v>
      </c>
      <c r="I455" s="48">
        <f>data!BO439</f>
        <v>0</v>
      </c>
      <c r="J455" s="48">
        <f>data!BP439</f>
        <v>0</v>
      </c>
      <c r="K455" s="48">
        <f>data!BQ439</f>
        <v>19216.782844125068</v>
      </c>
      <c r="L455" s="48">
        <f>data!BR439</f>
        <v>10670.904219651346</v>
      </c>
      <c r="M455" s="48">
        <f>data!BS439</f>
        <v>0</v>
      </c>
    </row>
    <row r="456" spans="2:13" x14ac:dyDescent="0.2">
      <c r="B456" s="4" t="s">
        <v>473</v>
      </c>
      <c r="C456" s="48">
        <f>data!BI440</f>
        <v>0</v>
      </c>
      <c r="D456" s="48">
        <f>data!BJ440</f>
        <v>0</v>
      </c>
      <c r="E456" s="48">
        <f>data!BK440</f>
        <v>0</v>
      </c>
      <c r="F456" s="48">
        <f>data!BL440</f>
        <v>0</v>
      </c>
      <c r="G456" s="48">
        <f>data!BM440</f>
        <v>0</v>
      </c>
      <c r="H456" s="48">
        <f>data!BN440</f>
        <v>0</v>
      </c>
      <c r="I456" s="48">
        <f>data!BO440</f>
        <v>0</v>
      </c>
      <c r="J456" s="48">
        <f>data!BP440</f>
        <v>0</v>
      </c>
      <c r="K456" s="48">
        <f>data!BQ440</f>
        <v>19138.112624545989</v>
      </c>
      <c r="L456" s="48">
        <f>data!BR440</f>
        <v>10632.222531966279</v>
      </c>
      <c r="M456" s="48">
        <f>data!BS440</f>
        <v>0</v>
      </c>
    </row>
    <row r="457" spans="2:13" x14ac:dyDescent="0.2">
      <c r="B457" s="4" t="s">
        <v>474</v>
      </c>
      <c r="C457" s="48">
        <f>data!BI441</f>
        <v>0</v>
      </c>
      <c r="D457" s="48">
        <f>data!BJ441</f>
        <v>0</v>
      </c>
      <c r="E457" s="48">
        <f>data!BK441</f>
        <v>0</v>
      </c>
      <c r="F457" s="48">
        <f>data!BL441</f>
        <v>0</v>
      </c>
      <c r="G457" s="48">
        <f>data!BM441</f>
        <v>0</v>
      </c>
      <c r="H457" s="48">
        <f>data!BN441</f>
        <v>0</v>
      </c>
      <c r="I457" s="48">
        <f>data!BO441</f>
        <v>0</v>
      </c>
      <c r="J457" s="48">
        <f>data!BP441</f>
        <v>0</v>
      </c>
      <c r="K457" s="48">
        <f>data!BQ441</f>
        <v>19988.094585483181</v>
      </c>
      <c r="L457" s="48">
        <f>data!BR441</f>
        <v>11065.161166152306</v>
      </c>
      <c r="M457" s="48">
        <f>data!BS441</f>
        <v>0</v>
      </c>
    </row>
    <row r="458" spans="2:13" x14ac:dyDescent="0.2">
      <c r="B458" s="4" t="s">
        <v>475</v>
      </c>
      <c r="C458" s="48">
        <f>data!BI442</f>
        <v>0</v>
      </c>
      <c r="D458" s="48">
        <f>data!BJ442</f>
        <v>0</v>
      </c>
      <c r="E458" s="48">
        <f>data!BK442</f>
        <v>0</v>
      </c>
      <c r="F458" s="48">
        <f>data!BL442</f>
        <v>0</v>
      </c>
      <c r="G458" s="48">
        <f>data!BM442</f>
        <v>0</v>
      </c>
      <c r="H458" s="48">
        <f>data!BN442</f>
        <v>0</v>
      </c>
      <c r="I458" s="48">
        <f>data!BO442</f>
        <v>0</v>
      </c>
      <c r="J458" s="48">
        <f>data!BP442</f>
        <v>0</v>
      </c>
      <c r="K458" s="48">
        <f>data!BQ442</f>
        <v>19738.355951208272</v>
      </c>
      <c r="L458" s="48">
        <f>data!BR442</f>
        <v>10927.266793526693</v>
      </c>
      <c r="M458" s="48">
        <f>data!BS442</f>
        <v>0</v>
      </c>
    </row>
    <row r="459" spans="2:13" x14ac:dyDescent="0.2">
      <c r="B459" s="4" t="s">
        <v>476</v>
      </c>
      <c r="C459" s="48">
        <f>data!BI443</f>
        <v>0</v>
      </c>
      <c r="D459" s="48">
        <f>data!BJ443</f>
        <v>0</v>
      </c>
      <c r="E459" s="48">
        <f>data!BK443</f>
        <v>0</v>
      </c>
      <c r="F459" s="48">
        <f>data!BL443</f>
        <v>0</v>
      </c>
      <c r="G459" s="48">
        <f>data!BM443</f>
        <v>0</v>
      </c>
      <c r="H459" s="48">
        <f>data!BN443</f>
        <v>0</v>
      </c>
      <c r="I459" s="48">
        <f>data!BO443</f>
        <v>0</v>
      </c>
      <c r="J459" s="48">
        <f>data!BP443</f>
        <v>0</v>
      </c>
      <c r="K459" s="48">
        <f>data!BQ443</f>
        <v>19641.465837530963</v>
      </c>
      <c r="L459" s="48">
        <f>data!BR443</f>
        <v>10892.211238563266</v>
      </c>
      <c r="M459" s="48">
        <f>data!BS443</f>
        <v>0</v>
      </c>
    </row>
    <row r="460" spans="2:13" x14ac:dyDescent="0.2">
      <c r="B460" s="4" t="s">
        <v>477</v>
      </c>
      <c r="C460" s="48">
        <f>data!BI444</f>
        <v>0</v>
      </c>
      <c r="D460" s="48">
        <f>data!BJ444</f>
        <v>0</v>
      </c>
      <c r="E460" s="48">
        <f>data!BK444</f>
        <v>0</v>
      </c>
      <c r="F460" s="48">
        <f>data!BL444</f>
        <v>0</v>
      </c>
      <c r="G460" s="48">
        <f>data!BM444</f>
        <v>0</v>
      </c>
      <c r="H460" s="48">
        <f>data!BN444</f>
        <v>0</v>
      </c>
      <c r="I460" s="48">
        <f>data!BO444</f>
        <v>0</v>
      </c>
      <c r="J460" s="48">
        <f>data!BP444</f>
        <v>0</v>
      </c>
      <c r="K460" s="48">
        <f>data!BQ444</f>
        <v>19487.530417962575</v>
      </c>
      <c r="L460" s="48">
        <f>data!BR444</f>
        <v>10814.633761095027</v>
      </c>
      <c r="M460" s="48">
        <f>data!BS444</f>
        <v>0</v>
      </c>
    </row>
    <row r="461" spans="2:13" x14ac:dyDescent="0.2">
      <c r="B461" s="4" t="s">
        <v>478</v>
      </c>
      <c r="C461" s="48">
        <f>data!BI445</f>
        <v>0</v>
      </c>
      <c r="D461" s="48">
        <f>data!BJ445</f>
        <v>0</v>
      </c>
      <c r="E461" s="48">
        <f>data!BK445</f>
        <v>0</v>
      </c>
      <c r="F461" s="48">
        <f>data!BL445</f>
        <v>0</v>
      </c>
      <c r="G461" s="48">
        <f>data!BM445</f>
        <v>0</v>
      </c>
      <c r="H461" s="48">
        <f>data!BN445</f>
        <v>0</v>
      </c>
      <c r="I461" s="48">
        <f>data!BO445</f>
        <v>0</v>
      </c>
      <c r="J461" s="48">
        <f>data!BP445</f>
        <v>0</v>
      </c>
      <c r="K461" s="48">
        <f>data!BQ445</f>
        <v>20858.947194267173</v>
      </c>
      <c r="L461" s="48">
        <f>data!BR445</f>
        <v>11489.177833450372</v>
      </c>
      <c r="M461" s="48">
        <f>data!BS445</f>
        <v>0</v>
      </c>
    </row>
    <row r="462" spans="2:13" x14ac:dyDescent="0.2">
      <c r="B462" s="4" t="s">
        <v>479</v>
      </c>
      <c r="C462" s="48">
        <f>data!BI446</f>
        <v>0</v>
      </c>
      <c r="D462" s="48">
        <f>data!BJ446</f>
        <v>0</v>
      </c>
      <c r="E462" s="48">
        <f>data!BK446</f>
        <v>0</v>
      </c>
      <c r="F462" s="48">
        <f>data!BL446</f>
        <v>0</v>
      </c>
      <c r="G462" s="48">
        <f>data!BM446</f>
        <v>0</v>
      </c>
      <c r="H462" s="48">
        <f>data!BN446</f>
        <v>0</v>
      </c>
      <c r="I462" s="48">
        <f>data!BO446</f>
        <v>0</v>
      </c>
      <c r="J462" s="48">
        <f>data!BP446</f>
        <v>0</v>
      </c>
      <c r="K462" s="48">
        <f>data!BQ446</f>
        <v>21205.452551730497</v>
      </c>
      <c r="L462" s="48">
        <f>data!BR446</f>
        <v>11661.31683467177</v>
      </c>
      <c r="M462" s="48">
        <f>data!BS446</f>
        <v>0</v>
      </c>
    </row>
    <row r="463" spans="2:13" x14ac:dyDescent="0.2">
      <c r="B463" s="4" t="s">
        <v>480</v>
      </c>
      <c r="C463" s="48">
        <f>data!BI447</f>
        <v>0</v>
      </c>
      <c r="D463" s="48">
        <f>data!BJ447</f>
        <v>0</v>
      </c>
      <c r="E463" s="48">
        <f>data!BK447</f>
        <v>0</v>
      </c>
      <c r="F463" s="48">
        <f>data!BL447</f>
        <v>0</v>
      </c>
      <c r="G463" s="48">
        <f>data!BM447</f>
        <v>0</v>
      </c>
      <c r="H463" s="48">
        <f>data!BN447</f>
        <v>0</v>
      </c>
      <c r="I463" s="48">
        <f>data!BO447</f>
        <v>0</v>
      </c>
      <c r="J463" s="48">
        <f>data!BP447</f>
        <v>0</v>
      </c>
      <c r="K463" s="48">
        <f>data!BQ447</f>
        <v>20410.054354777316</v>
      </c>
      <c r="L463" s="48">
        <f>data!BR447</f>
        <v>11275.893102636355</v>
      </c>
      <c r="M463" s="48">
        <f>data!BS447</f>
        <v>0</v>
      </c>
    </row>
    <row r="464" spans="2:13" x14ac:dyDescent="0.2">
      <c r="B464" s="4" t="s">
        <v>481</v>
      </c>
      <c r="C464" s="48">
        <f>data!BI448</f>
        <v>0</v>
      </c>
      <c r="D464" s="48">
        <f>data!BJ448</f>
        <v>0</v>
      </c>
      <c r="E464" s="48">
        <f>data!BK448</f>
        <v>0</v>
      </c>
      <c r="F464" s="48">
        <f>data!BL448</f>
        <v>0</v>
      </c>
      <c r="G464" s="48">
        <f>data!BM448</f>
        <v>0</v>
      </c>
      <c r="H464" s="48">
        <f>data!BN448</f>
        <v>0</v>
      </c>
      <c r="I464" s="48">
        <f>data!BO448</f>
        <v>0</v>
      </c>
      <c r="J464" s="48">
        <f>data!BP448</f>
        <v>0</v>
      </c>
      <c r="K464" s="48">
        <f>data!BQ448</f>
        <v>21957.9487177458</v>
      </c>
      <c r="L464" s="48">
        <f>data!BR448</f>
        <v>12036.064121153655</v>
      </c>
      <c r="M464" s="48">
        <f>data!BS448</f>
        <v>0</v>
      </c>
    </row>
    <row r="465" spans="2:13" x14ac:dyDescent="0.2">
      <c r="B465" s="4" t="s">
        <v>482</v>
      </c>
      <c r="C465" s="48">
        <f>data!BI449</f>
        <v>0</v>
      </c>
      <c r="D465" s="48">
        <f>data!BJ449</f>
        <v>0</v>
      </c>
      <c r="E465" s="48">
        <f>data!BK449</f>
        <v>0</v>
      </c>
      <c r="F465" s="48">
        <f>data!BL449</f>
        <v>0</v>
      </c>
      <c r="G465" s="48">
        <f>data!BM449</f>
        <v>0</v>
      </c>
      <c r="H465" s="48">
        <f>data!BN449</f>
        <v>0</v>
      </c>
      <c r="I465" s="48">
        <f>data!BO449</f>
        <v>0</v>
      </c>
      <c r="J465" s="48">
        <f>data!BP449</f>
        <v>0</v>
      </c>
      <c r="K465" s="48">
        <f>data!BQ449</f>
        <v>21803.199353766788</v>
      </c>
      <c r="L465" s="48">
        <f>data!BR449</f>
        <v>11970.936607874341</v>
      </c>
      <c r="M465" s="48">
        <f>data!BS449</f>
        <v>0</v>
      </c>
    </row>
    <row r="466" spans="2:13" x14ac:dyDescent="0.2">
      <c r="B466" s="4" t="s">
        <v>483</v>
      </c>
      <c r="C466" s="48">
        <f>data!BI450</f>
        <v>0</v>
      </c>
      <c r="D466" s="48">
        <f>data!BJ450</f>
        <v>0</v>
      </c>
      <c r="E466" s="48">
        <f>data!BK450</f>
        <v>0</v>
      </c>
      <c r="F466" s="48">
        <f>data!BL450</f>
        <v>0</v>
      </c>
      <c r="G466" s="48">
        <f>data!BM450</f>
        <v>0</v>
      </c>
      <c r="H466" s="48">
        <f>data!BN450</f>
        <v>0</v>
      </c>
      <c r="I466" s="48">
        <f>data!BO450</f>
        <v>0</v>
      </c>
      <c r="J466" s="48">
        <f>data!BP450</f>
        <v>0</v>
      </c>
      <c r="K466" s="48">
        <f>data!BQ450</f>
        <v>23513.95250329189</v>
      </c>
      <c r="L466" s="48">
        <f>data!BR450</f>
        <v>12818.715419031181</v>
      </c>
      <c r="M466" s="48">
        <f>data!BS450</f>
        <v>0</v>
      </c>
    </row>
    <row r="467" spans="2:13" x14ac:dyDescent="0.2">
      <c r="B467" s="4" t="s">
        <v>484</v>
      </c>
      <c r="C467" s="48">
        <f>data!BI451</f>
        <v>0</v>
      </c>
      <c r="D467" s="48">
        <f>data!BJ451</f>
        <v>0</v>
      </c>
      <c r="E467" s="48">
        <f>data!BK451</f>
        <v>0</v>
      </c>
      <c r="F467" s="48">
        <f>data!BL451</f>
        <v>0</v>
      </c>
      <c r="G467" s="48">
        <f>data!BM451</f>
        <v>0</v>
      </c>
      <c r="H467" s="48">
        <f>data!BN451</f>
        <v>0</v>
      </c>
      <c r="I467" s="48">
        <f>data!BO451</f>
        <v>0</v>
      </c>
      <c r="J467" s="48">
        <f>data!BP451</f>
        <v>0</v>
      </c>
      <c r="K467" s="48">
        <f>data!BQ451</f>
        <v>22413.107953719402</v>
      </c>
      <c r="L467" s="48">
        <f>data!BR451</f>
        <v>12279.662585218714</v>
      </c>
      <c r="M467" s="48">
        <f>data!BS451</f>
        <v>0</v>
      </c>
    </row>
    <row r="468" spans="2:13" x14ac:dyDescent="0.2">
      <c r="B468" s="4" t="s">
        <v>485</v>
      </c>
      <c r="C468" s="48">
        <f>data!BI452</f>
        <v>0</v>
      </c>
      <c r="D468" s="48">
        <f>data!BJ452</f>
        <v>0</v>
      </c>
      <c r="E468" s="48">
        <f>data!BK452</f>
        <v>0</v>
      </c>
      <c r="F468" s="48">
        <f>data!BL452</f>
        <v>0</v>
      </c>
      <c r="G468" s="48">
        <f>data!BM452</f>
        <v>0</v>
      </c>
      <c r="H468" s="48">
        <f>data!BN452</f>
        <v>0</v>
      </c>
      <c r="I468" s="48">
        <f>data!BO452</f>
        <v>0</v>
      </c>
      <c r="J468" s="48">
        <f>data!BP452</f>
        <v>0</v>
      </c>
      <c r="K468" s="48">
        <f>data!BQ452</f>
        <v>20774.400430301117</v>
      </c>
      <c r="L468" s="48">
        <f>data!BR452</f>
        <v>11463.367356851077</v>
      </c>
      <c r="M468" s="48">
        <f>data!BS452</f>
        <v>0</v>
      </c>
    </row>
    <row r="469" spans="2:13" x14ac:dyDescent="0.2">
      <c r="B469" s="4" t="s">
        <v>486</v>
      </c>
      <c r="C469" s="48">
        <f>data!BI453</f>
        <v>0</v>
      </c>
      <c r="D469" s="48">
        <f>data!BJ453</f>
        <v>0</v>
      </c>
      <c r="E469" s="48">
        <f>data!BK453</f>
        <v>0</v>
      </c>
      <c r="F469" s="48">
        <f>data!BL453</f>
        <v>0</v>
      </c>
      <c r="G469" s="48">
        <f>data!BM453</f>
        <v>0</v>
      </c>
      <c r="H469" s="48">
        <f>data!BN453</f>
        <v>0</v>
      </c>
      <c r="I469" s="48">
        <f>data!BO453</f>
        <v>0</v>
      </c>
      <c r="J469" s="48">
        <f>data!BP453</f>
        <v>0</v>
      </c>
      <c r="K469" s="48">
        <f>data!BQ453</f>
        <v>21448.317240071305</v>
      </c>
      <c r="L469" s="48">
        <f>data!BR453</f>
        <v>11813.235775326433</v>
      </c>
      <c r="M469" s="48">
        <f>data!BS453</f>
        <v>0</v>
      </c>
    </row>
    <row r="470" spans="2:13" x14ac:dyDescent="0.2">
      <c r="B470" s="4" t="s">
        <v>487</v>
      </c>
      <c r="C470" s="48">
        <f>data!BI454</f>
        <v>0</v>
      </c>
      <c r="D470" s="48">
        <f>data!BJ454</f>
        <v>0</v>
      </c>
      <c r="E470" s="48">
        <f>data!BK454</f>
        <v>0</v>
      </c>
      <c r="F470" s="48">
        <f>data!BL454</f>
        <v>0</v>
      </c>
      <c r="G470" s="48">
        <f>data!BM454</f>
        <v>0</v>
      </c>
      <c r="H470" s="48">
        <f>data!BN454</f>
        <v>0</v>
      </c>
      <c r="I470" s="48">
        <f>data!BO454</f>
        <v>0</v>
      </c>
      <c r="J470" s="48">
        <f>data!BP454</f>
        <v>0</v>
      </c>
      <c r="K470" s="48">
        <f>data!BQ454</f>
        <v>21716.453024391947</v>
      </c>
      <c r="L470" s="48">
        <f>data!BR454</f>
        <v>11942.198173785053</v>
      </c>
      <c r="M470" s="48">
        <f>data!BS454</f>
        <v>0</v>
      </c>
    </row>
    <row r="471" spans="2:13" x14ac:dyDescent="0.2">
      <c r="B471" s="4" t="s">
        <v>488</v>
      </c>
      <c r="C471" s="48">
        <f>data!BI455</f>
        <v>0</v>
      </c>
      <c r="D471" s="48">
        <f>data!BJ455</f>
        <v>0</v>
      </c>
      <c r="E471" s="48">
        <f>data!BK455</f>
        <v>0</v>
      </c>
      <c r="F471" s="48">
        <f>data!BL455</f>
        <v>0</v>
      </c>
      <c r="G471" s="48">
        <f>data!BM455</f>
        <v>0</v>
      </c>
      <c r="H471" s="48">
        <f>data!BN455</f>
        <v>0</v>
      </c>
      <c r="I471" s="48">
        <f>data!BO455</f>
        <v>0</v>
      </c>
      <c r="J471" s="48">
        <f>data!BP455</f>
        <v>0</v>
      </c>
      <c r="K471" s="48">
        <f>data!BQ455</f>
        <v>22348.638565302594</v>
      </c>
      <c r="L471" s="48">
        <f>data!BR455</f>
        <v>12258.437720193924</v>
      </c>
      <c r="M471" s="48">
        <f>data!BS455</f>
        <v>0</v>
      </c>
    </row>
    <row r="472" spans="2:13" x14ac:dyDescent="0.2">
      <c r="B472" s="4" t="s">
        <v>489</v>
      </c>
      <c r="C472" s="48">
        <f>data!BI456</f>
        <v>0</v>
      </c>
      <c r="D472" s="48">
        <f>data!BJ456</f>
        <v>0</v>
      </c>
      <c r="E472" s="48">
        <f>data!BK456</f>
        <v>0</v>
      </c>
      <c r="F472" s="48">
        <f>data!BL456</f>
        <v>0</v>
      </c>
      <c r="G472" s="48">
        <f>data!BM456</f>
        <v>0</v>
      </c>
      <c r="H472" s="48">
        <f>data!BN456</f>
        <v>0</v>
      </c>
      <c r="I472" s="48">
        <f>data!BO456</f>
        <v>0</v>
      </c>
      <c r="J472" s="48">
        <f>data!BP456</f>
        <v>0</v>
      </c>
      <c r="K472" s="48">
        <f>data!BQ456</f>
        <v>22606.309493512555</v>
      </c>
      <c r="L472" s="48">
        <f>data!BR456</f>
        <v>12389.561594995379</v>
      </c>
      <c r="M472" s="48">
        <f>data!BS456</f>
        <v>0</v>
      </c>
    </row>
    <row r="473" spans="2:13" x14ac:dyDescent="0.2">
      <c r="B473" s="4" t="s">
        <v>490</v>
      </c>
      <c r="C473" s="48">
        <f>data!BI457</f>
        <v>0</v>
      </c>
      <c r="D473" s="48">
        <f>data!BJ457</f>
        <v>0</v>
      </c>
      <c r="E473" s="48">
        <f>data!BK457</f>
        <v>0</v>
      </c>
      <c r="F473" s="48">
        <f>data!BL457</f>
        <v>0</v>
      </c>
      <c r="G473" s="48">
        <f>data!BM457</f>
        <v>0</v>
      </c>
      <c r="H473" s="48">
        <f>data!BN457</f>
        <v>0</v>
      </c>
      <c r="I473" s="48">
        <f>data!BO457</f>
        <v>0</v>
      </c>
      <c r="J473" s="48">
        <f>data!BP457</f>
        <v>0</v>
      </c>
      <c r="K473" s="48">
        <f>data!BQ457</f>
        <v>22590.221103725533</v>
      </c>
      <c r="L473" s="48">
        <f>data!BR457</f>
        <v>12390.271745241727</v>
      </c>
      <c r="M473" s="48">
        <f>data!BS457</f>
        <v>0</v>
      </c>
    </row>
    <row r="474" spans="2:13" x14ac:dyDescent="0.2">
      <c r="B474" s="4" t="s">
        <v>491</v>
      </c>
      <c r="C474" s="48">
        <f>data!BI458</f>
        <v>0</v>
      </c>
      <c r="D474" s="48">
        <f>data!BJ458</f>
        <v>0</v>
      </c>
      <c r="E474" s="48">
        <f>data!BK458</f>
        <v>0</v>
      </c>
      <c r="F474" s="48">
        <f>data!BL458</f>
        <v>0</v>
      </c>
      <c r="G474" s="48">
        <f>data!BM458</f>
        <v>0</v>
      </c>
      <c r="H474" s="48">
        <f>data!BN458</f>
        <v>0</v>
      </c>
      <c r="I474" s="48">
        <f>data!BO458</f>
        <v>0</v>
      </c>
      <c r="J474" s="48">
        <f>data!BP458</f>
        <v>0</v>
      </c>
      <c r="K474" s="48">
        <f>data!BQ458</f>
        <v>22227.856504089199</v>
      </c>
      <c r="L474" s="48">
        <f>data!BR458</f>
        <v>12196.408572771732</v>
      </c>
      <c r="M474" s="48">
        <f>data!BS458</f>
        <v>0</v>
      </c>
    </row>
    <row r="475" spans="2:13" x14ac:dyDescent="0.2">
      <c r="B475" s="4" t="s">
        <v>492</v>
      </c>
      <c r="C475" s="48">
        <f>data!BI459</f>
        <v>0</v>
      </c>
      <c r="D475" s="48">
        <f>data!BJ459</f>
        <v>0</v>
      </c>
      <c r="E475" s="48">
        <f>data!BK459</f>
        <v>0</v>
      </c>
      <c r="F475" s="48">
        <f>data!BL459</f>
        <v>0</v>
      </c>
      <c r="G475" s="48">
        <f>data!BM459</f>
        <v>0</v>
      </c>
      <c r="H475" s="48">
        <f>data!BN459</f>
        <v>0</v>
      </c>
      <c r="I475" s="48">
        <f>data!BO459</f>
        <v>0</v>
      </c>
      <c r="J475" s="48">
        <f>data!BP459</f>
        <v>0</v>
      </c>
      <c r="K475" s="48">
        <f>data!BQ459</f>
        <v>0</v>
      </c>
      <c r="L475" s="48">
        <f>data!BR459</f>
        <v>12607.802965497678</v>
      </c>
      <c r="M475" s="48">
        <f>data!BS459</f>
        <v>0</v>
      </c>
    </row>
    <row r="476" spans="2:13" x14ac:dyDescent="0.2">
      <c r="B476" s="4" t="s">
        <v>493</v>
      </c>
      <c r="C476" s="48">
        <f>data!BI460</f>
        <v>0</v>
      </c>
      <c r="D476" s="48">
        <f>data!BJ460</f>
        <v>0</v>
      </c>
      <c r="E476" s="48">
        <f>data!BK460</f>
        <v>0</v>
      </c>
      <c r="F476" s="48">
        <f>data!BL460</f>
        <v>0</v>
      </c>
      <c r="G476" s="48">
        <f>data!BM460</f>
        <v>0</v>
      </c>
      <c r="H476" s="48">
        <f>data!BN460</f>
        <v>0</v>
      </c>
      <c r="I476" s="48">
        <f>data!BO460</f>
        <v>0</v>
      </c>
      <c r="J476" s="48">
        <f>data!BP460</f>
        <v>0</v>
      </c>
      <c r="K476" s="48">
        <f>data!BQ460</f>
        <v>0</v>
      </c>
      <c r="L476" s="48">
        <f>data!BR460</f>
        <v>12415.163312629398</v>
      </c>
      <c r="M476" s="48">
        <f>data!BS460</f>
        <v>0</v>
      </c>
    </row>
    <row r="477" spans="2:13" x14ac:dyDescent="0.2">
      <c r="B477" s="4" t="s">
        <v>494</v>
      </c>
      <c r="C477" s="48">
        <f>data!BI461</f>
        <v>0</v>
      </c>
      <c r="D477" s="48">
        <f>data!BJ461</f>
        <v>0</v>
      </c>
      <c r="E477" s="48">
        <f>data!BK461</f>
        <v>0</v>
      </c>
      <c r="F477" s="48">
        <f>data!BL461</f>
        <v>0</v>
      </c>
      <c r="G477" s="48">
        <f>data!BM461</f>
        <v>0</v>
      </c>
      <c r="H477" s="48">
        <f>data!BN461</f>
        <v>0</v>
      </c>
      <c r="I477" s="48">
        <f>data!BO461</f>
        <v>0</v>
      </c>
      <c r="J477" s="48">
        <f>data!BP461</f>
        <v>0</v>
      </c>
      <c r="K477" s="48">
        <f>data!BQ461</f>
        <v>0</v>
      </c>
      <c r="L477" s="48">
        <f>data!BR461</f>
        <v>12833.610310251566</v>
      </c>
      <c r="M477" s="48">
        <f>data!BS461</f>
        <v>0</v>
      </c>
    </row>
    <row r="478" spans="2:13" x14ac:dyDescent="0.2">
      <c r="B478" s="4" t="s">
        <v>495</v>
      </c>
      <c r="C478" s="48">
        <f>data!BI462</f>
        <v>0</v>
      </c>
      <c r="D478" s="48">
        <f>data!BJ462</f>
        <v>0</v>
      </c>
      <c r="E478" s="48">
        <f>data!BK462</f>
        <v>0</v>
      </c>
      <c r="F478" s="48">
        <f>data!BL462</f>
        <v>0</v>
      </c>
      <c r="G478" s="48">
        <f>data!BM462</f>
        <v>0</v>
      </c>
      <c r="H478" s="48">
        <f>data!BN462</f>
        <v>0</v>
      </c>
      <c r="I478" s="48">
        <f>data!BO462</f>
        <v>0</v>
      </c>
      <c r="J478" s="48">
        <f>data!BP462</f>
        <v>0</v>
      </c>
      <c r="K478" s="48">
        <f>data!BQ462</f>
        <v>0</v>
      </c>
      <c r="L478" s="48">
        <f>data!BR462</f>
        <v>13037.191725812647</v>
      </c>
      <c r="M478" s="48">
        <f>data!BS462</f>
        <v>0</v>
      </c>
    </row>
    <row r="479" spans="2:13" x14ac:dyDescent="0.2">
      <c r="B479" s="4" t="s">
        <v>496</v>
      </c>
      <c r="C479" s="48">
        <f>data!BI463</f>
        <v>0</v>
      </c>
      <c r="D479" s="48">
        <f>data!BJ463</f>
        <v>0</v>
      </c>
      <c r="E479" s="48">
        <f>data!BK463</f>
        <v>0</v>
      </c>
      <c r="F479" s="48">
        <f>data!BL463</f>
        <v>0</v>
      </c>
      <c r="G479" s="48">
        <f>data!BM463</f>
        <v>0</v>
      </c>
      <c r="H479" s="48">
        <f>data!BN463</f>
        <v>0</v>
      </c>
      <c r="I479" s="48">
        <f>data!BO463</f>
        <v>0</v>
      </c>
      <c r="J479" s="48">
        <f>data!BP463</f>
        <v>0</v>
      </c>
      <c r="K479" s="48">
        <f>data!BQ463</f>
        <v>0</v>
      </c>
      <c r="L479" s="48">
        <f>data!BR463</f>
        <v>13035.16705675519</v>
      </c>
      <c r="M479" s="48">
        <f>data!BS463</f>
        <v>0</v>
      </c>
    </row>
    <row r="480" spans="2:13" x14ac:dyDescent="0.2">
      <c r="B480" s="4" t="s">
        <v>497</v>
      </c>
      <c r="C480" s="48">
        <f>data!BI464</f>
        <v>0</v>
      </c>
      <c r="D480" s="48">
        <f>data!BJ464</f>
        <v>0</v>
      </c>
      <c r="E480" s="48">
        <f>data!BK464</f>
        <v>0</v>
      </c>
      <c r="F480" s="48">
        <f>data!BL464</f>
        <v>0</v>
      </c>
      <c r="G480" s="48">
        <f>data!BM464</f>
        <v>0</v>
      </c>
      <c r="H480" s="48">
        <f>data!BN464</f>
        <v>0</v>
      </c>
      <c r="I480" s="48">
        <f>data!BO464</f>
        <v>0</v>
      </c>
      <c r="J480" s="48">
        <f>data!BP464</f>
        <v>0</v>
      </c>
      <c r="K480" s="48">
        <f>data!BQ464</f>
        <v>0</v>
      </c>
      <c r="L480" s="48">
        <f>data!BR464</f>
        <v>12406.699366547316</v>
      </c>
      <c r="M480" s="48">
        <f>data!BS464</f>
        <v>0</v>
      </c>
    </row>
    <row r="481" spans="2:13" x14ac:dyDescent="0.2">
      <c r="B481" s="4" t="s">
        <v>498</v>
      </c>
      <c r="C481" s="48">
        <f>data!BI465</f>
        <v>0</v>
      </c>
      <c r="D481" s="48">
        <f>data!BJ465</f>
        <v>0</v>
      </c>
      <c r="E481" s="48">
        <f>data!BK465</f>
        <v>0</v>
      </c>
      <c r="F481" s="48">
        <f>data!BL465</f>
        <v>0</v>
      </c>
      <c r="G481" s="48">
        <f>data!BM465</f>
        <v>0</v>
      </c>
      <c r="H481" s="48">
        <f>data!BN465</f>
        <v>0</v>
      </c>
      <c r="I481" s="48">
        <f>data!BO465</f>
        <v>0</v>
      </c>
      <c r="J481" s="48">
        <f>data!BP465</f>
        <v>0</v>
      </c>
      <c r="K481" s="48">
        <f>data!BQ465</f>
        <v>0</v>
      </c>
      <c r="L481" s="48">
        <f>data!BR465</f>
        <v>12048.974360314673</v>
      </c>
      <c r="M481" s="48">
        <f>data!BS465</f>
        <v>0</v>
      </c>
    </row>
    <row r="482" spans="2:13" x14ac:dyDescent="0.2">
      <c r="B482" s="4" t="s">
        <v>499</v>
      </c>
      <c r="C482" s="48">
        <f>data!BI466</f>
        <v>0</v>
      </c>
      <c r="D482" s="48">
        <f>data!BJ466</f>
        <v>0</v>
      </c>
      <c r="E482" s="48">
        <f>data!BK466</f>
        <v>0</v>
      </c>
      <c r="F482" s="48">
        <f>data!BL466</f>
        <v>0</v>
      </c>
      <c r="G482" s="48">
        <f>data!BM466</f>
        <v>0</v>
      </c>
      <c r="H482" s="48">
        <f>data!BN466</f>
        <v>0</v>
      </c>
      <c r="I482" s="48">
        <f>data!BO466</f>
        <v>0</v>
      </c>
      <c r="J482" s="48">
        <f>data!BP466</f>
        <v>0</v>
      </c>
      <c r="K482" s="48">
        <f>data!BQ466</f>
        <v>0</v>
      </c>
      <c r="L482" s="48">
        <f>data!BR466</f>
        <v>11733.323744440211</v>
      </c>
      <c r="M482" s="48">
        <f>data!BS466</f>
        <v>0</v>
      </c>
    </row>
    <row r="483" spans="2:13" x14ac:dyDescent="0.2">
      <c r="B483" s="4" t="s">
        <v>500</v>
      </c>
      <c r="C483" s="48">
        <f>data!BI467</f>
        <v>0</v>
      </c>
      <c r="D483" s="48">
        <f>data!BJ467</f>
        <v>0</v>
      </c>
      <c r="E483" s="48">
        <f>data!BK467</f>
        <v>0</v>
      </c>
      <c r="F483" s="48">
        <f>data!BL467</f>
        <v>0</v>
      </c>
      <c r="G483" s="48">
        <f>data!BM467</f>
        <v>0</v>
      </c>
      <c r="H483" s="48">
        <f>data!BN467</f>
        <v>0</v>
      </c>
      <c r="I483" s="48">
        <f>data!BO467</f>
        <v>0</v>
      </c>
      <c r="J483" s="48">
        <f>data!BP467</f>
        <v>0</v>
      </c>
      <c r="K483" s="48">
        <f>data!BQ467</f>
        <v>0</v>
      </c>
      <c r="L483" s="48">
        <f>data!BR467</f>
        <v>12066.973504806081</v>
      </c>
      <c r="M483" s="48">
        <f>data!BS467</f>
        <v>0</v>
      </c>
    </row>
    <row r="484" spans="2:13" x14ac:dyDescent="0.2">
      <c r="B484" s="4" t="s">
        <v>501</v>
      </c>
      <c r="C484" s="48">
        <f>data!BI468</f>
        <v>0</v>
      </c>
      <c r="D484" s="48">
        <f>data!BJ468</f>
        <v>0</v>
      </c>
      <c r="E484" s="48">
        <f>data!BK468</f>
        <v>0</v>
      </c>
      <c r="F484" s="48">
        <f>data!BL468</f>
        <v>0</v>
      </c>
      <c r="G484" s="48">
        <f>data!BM468</f>
        <v>0</v>
      </c>
      <c r="H484" s="48">
        <f>data!BN468</f>
        <v>0</v>
      </c>
      <c r="I484" s="48">
        <f>data!BO468</f>
        <v>0</v>
      </c>
      <c r="J484" s="48">
        <f>data!BP468</f>
        <v>0</v>
      </c>
      <c r="K484" s="48">
        <f>data!BQ468</f>
        <v>0</v>
      </c>
      <c r="L484" s="48">
        <f>data!BR468</f>
        <v>11937.369751700158</v>
      </c>
      <c r="M484" s="48">
        <f>data!BS468</f>
        <v>0</v>
      </c>
    </row>
    <row r="485" spans="2:13" x14ac:dyDescent="0.2">
      <c r="B485" s="4" t="s">
        <v>502</v>
      </c>
      <c r="C485" s="48">
        <f>data!BI469</f>
        <v>0</v>
      </c>
      <c r="D485" s="48">
        <f>data!BJ469</f>
        <v>0</v>
      </c>
      <c r="E485" s="48">
        <f>data!BK469</f>
        <v>0</v>
      </c>
      <c r="F485" s="48">
        <f>data!BL469</f>
        <v>0</v>
      </c>
      <c r="G485" s="48">
        <f>data!BM469</f>
        <v>0</v>
      </c>
      <c r="H485" s="48">
        <f>data!BN469</f>
        <v>0</v>
      </c>
      <c r="I485" s="48">
        <f>data!BO469</f>
        <v>0</v>
      </c>
      <c r="J485" s="48">
        <f>data!BP469</f>
        <v>0</v>
      </c>
      <c r="K485" s="48">
        <f>data!BQ469</f>
        <v>0</v>
      </c>
      <c r="L485" s="48">
        <f>data!BR469</f>
        <v>11626.233436685172</v>
      </c>
      <c r="M485" s="48">
        <f>data!BS469</f>
        <v>0</v>
      </c>
    </row>
    <row r="486" spans="2:13" x14ac:dyDescent="0.2">
      <c r="B486" s="4" t="s">
        <v>503</v>
      </c>
      <c r="C486" s="48">
        <f>data!BI470</f>
        <v>0</v>
      </c>
      <c r="D486" s="48">
        <f>data!BJ470</f>
        <v>0</v>
      </c>
      <c r="E486" s="48">
        <f>data!BK470</f>
        <v>0</v>
      </c>
      <c r="F486" s="48">
        <f>data!BL470</f>
        <v>0</v>
      </c>
      <c r="G486" s="48">
        <f>data!BM470</f>
        <v>0</v>
      </c>
      <c r="H486" s="48">
        <f>data!BN470</f>
        <v>0</v>
      </c>
      <c r="I486" s="48">
        <f>data!BO470</f>
        <v>0</v>
      </c>
      <c r="J486" s="48">
        <f>data!BP470</f>
        <v>0</v>
      </c>
      <c r="K486" s="48">
        <f>data!BQ470</f>
        <v>0</v>
      </c>
      <c r="L486" s="48">
        <f>data!BR470</f>
        <v>11457.363013108441</v>
      </c>
      <c r="M486" s="48">
        <f>data!BS470</f>
        <v>0</v>
      </c>
    </row>
    <row r="487" spans="2:13" x14ac:dyDescent="0.2">
      <c r="B487" s="4" t="s">
        <v>504</v>
      </c>
      <c r="C487" s="48">
        <f>data!BI471</f>
        <v>0</v>
      </c>
      <c r="D487" s="48">
        <f>data!BJ471</f>
        <v>0</v>
      </c>
      <c r="E487" s="48">
        <f>data!BK471</f>
        <v>0</v>
      </c>
      <c r="F487" s="48">
        <f>data!BL471</f>
        <v>0</v>
      </c>
      <c r="G487" s="48">
        <f>data!BM471</f>
        <v>0</v>
      </c>
      <c r="H487" s="48">
        <f>data!BN471</f>
        <v>0</v>
      </c>
      <c r="I487" s="48">
        <f>data!BO471</f>
        <v>0</v>
      </c>
      <c r="J487" s="48">
        <f>data!BP471</f>
        <v>0</v>
      </c>
      <c r="K487" s="48">
        <f>data!BQ471</f>
        <v>0</v>
      </c>
      <c r="L487" s="48">
        <f>data!BR471</f>
        <v>12355.286314337409</v>
      </c>
      <c r="M487" s="48">
        <f>data!BS471</f>
        <v>0</v>
      </c>
    </row>
    <row r="488" spans="2:13" x14ac:dyDescent="0.2">
      <c r="B488" s="4" t="s">
        <v>505</v>
      </c>
      <c r="C488" s="48">
        <f>data!BI472</f>
        <v>0</v>
      </c>
      <c r="D488" s="48">
        <f>data!BJ472</f>
        <v>0</v>
      </c>
      <c r="E488" s="48">
        <f>data!BK472</f>
        <v>0</v>
      </c>
      <c r="F488" s="48">
        <f>data!BL472</f>
        <v>0</v>
      </c>
      <c r="G488" s="48">
        <f>data!BM472</f>
        <v>0</v>
      </c>
      <c r="H488" s="48">
        <f>data!BN472</f>
        <v>0</v>
      </c>
      <c r="I488" s="48">
        <f>data!BO472</f>
        <v>0</v>
      </c>
      <c r="J488" s="48">
        <f>data!BP472</f>
        <v>0</v>
      </c>
      <c r="K488" s="48">
        <f>data!BQ472</f>
        <v>0</v>
      </c>
      <c r="L488" s="48">
        <f>data!BR472</f>
        <v>12495.440492007245</v>
      </c>
      <c r="M488" s="48">
        <f>data!BS472</f>
        <v>0</v>
      </c>
    </row>
    <row r="489" spans="2:13" x14ac:dyDescent="0.2">
      <c r="B489" s="4" t="s">
        <v>506</v>
      </c>
      <c r="C489" s="48">
        <f>data!BI473</f>
        <v>0</v>
      </c>
      <c r="D489" s="48">
        <f>data!BJ473</f>
        <v>0</v>
      </c>
      <c r="E489" s="48">
        <f>data!BK473</f>
        <v>0</v>
      </c>
      <c r="F489" s="48">
        <f>data!BL473</f>
        <v>0</v>
      </c>
      <c r="G489" s="48">
        <f>data!BM473</f>
        <v>0</v>
      </c>
      <c r="H489" s="48">
        <f>data!BN473</f>
        <v>0</v>
      </c>
      <c r="I489" s="48">
        <f>data!BO473</f>
        <v>0</v>
      </c>
      <c r="J489" s="48">
        <f>data!BP473</f>
        <v>0</v>
      </c>
      <c r="K489" s="48">
        <f>data!BQ473</f>
        <v>0</v>
      </c>
      <c r="L489" s="48">
        <f>data!BR473</f>
        <v>12280.270321316459</v>
      </c>
      <c r="M489" s="48">
        <f>data!BS473</f>
        <v>0</v>
      </c>
    </row>
    <row r="490" spans="2:13" x14ac:dyDescent="0.2">
      <c r="B490" s="4" t="s">
        <v>507</v>
      </c>
      <c r="C490" s="48">
        <f>data!BI474</f>
        <v>0</v>
      </c>
      <c r="D490" s="48">
        <f>data!BJ474</f>
        <v>0</v>
      </c>
      <c r="E490" s="48">
        <f>data!BK474</f>
        <v>0</v>
      </c>
      <c r="F490" s="48">
        <f>data!BL474</f>
        <v>0</v>
      </c>
      <c r="G490" s="48">
        <f>data!BM474</f>
        <v>0</v>
      </c>
      <c r="H490" s="48">
        <f>data!BN474</f>
        <v>0</v>
      </c>
      <c r="I490" s="48">
        <f>data!BO474</f>
        <v>0</v>
      </c>
      <c r="J490" s="48">
        <f>data!BP474</f>
        <v>0</v>
      </c>
      <c r="K490" s="48">
        <f>data!BQ474</f>
        <v>0</v>
      </c>
      <c r="L490" s="48">
        <f>data!BR474</f>
        <v>12176.2457224226</v>
      </c>
      <c r="M490" s="48">
        <f>data!BS474</f>
        <v>0</v>
      </c>
    </row>
    <row r="491" spans="2:13" x14ac:dyDescent="0.2">
      <c r="B491" s="4" t="s">
        <v>508</v>
      </c>
      <c r="C491" s="48">
        <f>data!BI475</f>
        <v>0</v>
      </c>
      <c r="D491" s="48">
        <f>data!BJ475</f>
        <v>0</v>
      </c>
      <c r="E491" s="48">
        <f>data!BK475</f>
        <v>0</v>
      </c>
      <c r="F491" s="48">
        <f>data!BL475</f>
        <v>0</v>
      </c>
      <c r="G491" s="48">
        <f>data!BM475</f>
        <v>0</v>
      </c>
      <c r="H491" s="48">
        <f>data!BN475</f>
        <v>0</v>
      </c>
      <c r="I491" s="48">
        <f>data!BO475</f>
        <v>0</v>
      </c>
      <c r="J491" s="48">
        <f>data!BP475</f>
        <v>0</v>
      </c>
      <c r="K491" s="48">
        <f>data!BQ475</f>
        <v>0</v>
      </c>
      <c r="L491" s="48">
        <f>data!BR475</f>
        <v>12261.009881383927</v>
      </c>
      <c r="M491" s="48">
        <f>data!BS475</f>
        <v>0</v>
      </c>
    </row>
    <row r="492" spans="2:13" x14ac:dyDescent="0.2">
      <c r="B492" s="4" t="s">
        <v>509</v>
      </c>
      <c r="C492" s="48">
        <f>data!BI476</f>
        <v>0</v>
      </c>
      <c r="D492" s="48">
        <f>data!BJ476</f>
        <v>0</v>
      </c>
      <c r="E492" s="48">
        <f>data!BK476</f>
        <v>0</v>
      </c>
      <c r="F492" s="48">
        <f>data!BL476</f>
        <v>0</v>
      </c>
      <c r="G492" s="48">
        <f>data!BM476</f>
        <v>0</v>
      </c>
      <c r="H492" s="48">
        <f>data!BN476</f>
        <v>0</v>
      </c>
      <c r="I492" s="48">
        <f>data!BO476</f>
        <v>0</v>
      </c>
      <c r="J492" s="48">
        <f>data!BP476</f>
        <v>0</v>
      </c>
      <c r="K492" s="48">
        <f>data!BQ476</f>
        <v>0</v>
      </c>
      <c r="L492" s="48">
        <f>data!BR476</f>
        <v>12597.562951748407</v>
      </c>
      <c r="M492" s="48">
        <f>data!BS476</f>
        <v>0</v>
      </c>
    </row>
    <row r="493" spans="2:13" x14ac:dyDescent="0.2">
      <c r="B493" s="4" t="s">
        <v>510</v>
      </c>
      <c r="C493" s="48">
        <f>data!BI477</f>
        <v>0</v>
      </c>
      <c r="D493" s="48">
        <f>data!BJ477</f>
        <v>0</v>
      </c>
      <c r="E493" s="48">
        <f>data!BK477</f>
        <v>0</v>
      </c>
      <c r="F493" s="48">
        <f>data!BL477</f>
        <v>0</v>
      </c>
      <c r="G493" s="48">
        <f>data!BM477</f>
        <v>0</v>
      </c>
      <c r="H493" s="48">
        <f>data!BN477</f>
        <v>0</v>
      </c>
      <c r="I493" s="48">
        <f>data!BO477</f>
        <v>0</v>
      </c>
      <c r="J493" s="48">
        <f>data!BP477</f>
        <v>0</v>
      </c>
      <c r="K493" s="48">
        <f>data!BQ477</f>
        <v>0</v>
      </c>
      <c r="L493" s="48">
        <f>data!BR477</f>
        <v>12638.600121492753</v>
      </c>
      <c r="M493" s="48">
        <f>data!BS477</f>
        <v>0</v>
      </c>
    </row>
    <row r="494" spans="2:13" x14ac:dyDescent="0.2">
      <c r="B494" s="4" t="s">
        <v>511</v>
      </c>
      <c r="C494" s="48">
        <f>data!BI478</f>
        <v>0</v>
      </c>
      <c r="D494" s="48">
        <f>data!BJ478</f>
        <v>0</v>
      </c>
      <c r="E494" s="48">
        <f>data!BK478</f>
        <v>0</v>
      </c>
      <c r="F494" s="48">
        <f>data!BL478</f>
        <v>0</v>
      </c>
      <c r="G494" s="48">
        <f>data!BM478</f>
        <v>0</v>
      </c>
      <c r="H494" s="48">
        <f>data!BN478</f>
        <v>0</v>
      </c>
      <c r="I494" s="48">
        <f>data!BO478</f>
        <v>0</v>
      </c>
      <c r="J494" s="48">
        <f>data!BP478</f>
        <v>0</v>
      </c>
      <c r="K494" s="48">
        <f>data!BQ478</f>
        <v>0</v>
      </c>
      <c r="L494" s="48">
        <f>data!BR478</f>
        <v>13504.576954921717</v>
      </c>
      <c r="M494" s="48">
        <f>data!BS478</f>
        <v>0</v>
      </c>
    </row>
    <row r="495" spans="2:13" x14ac:dyDescent="0.2">
      <c r="B495" s="4" t="s">
        <v>512</v>
      </c>
      <c r="C495" s="48">
        <f>data!BI479</f>
        <v>0</v>
      </c>
      <c r="D495" s="48">
        <f>data!BJ479</f>
        <v>0</v>
      </c>
      <c r="E495" s="48">
        <f>data!BK479</f>
        <v>0</v>
      </c>
      <c r="F495" s="48">
        <f>data!BL479</f>
        <v>0</v>
      </c>
      <c r="G495" s="48">
        <f>data!BM479</f>
        <v>0</v>
      </c>
      <c r="H495" s="48">
        <f>data!BN479</f>
        <v>0</v>
      </c>
      <c r="I495" s="48">
        <f>data!BO479</f>
        <v>0</v>
      </c>
      <c r="J495" s="48">
        <f>data!BP479</f>
        <v>0</v>
      </c>
      <c r="K495" s="48">
        <f>data!BQ479</f>
        <v>0</v>
      </c>
      <c r="L495" s="48">
        <f>data!BR479</f>
        <v>14057.5543315264</v>
      </c>
      <c r="M495" s="48">
        <f>data!BS479</f>
        <v>0</v>
      </c>
    </row>
    <row r="496" spans="2:13" x14ac:dyDescent="0.2">
      <c r="B496" s="4" t="s">
        <v>513</v>
      </c>
      <c r="C496" s="48">
        <f>data!BI480</f>
        <v>0</v>
      </c>
      <c r="D496" s="48">
        <f>data!BJ480</f>
        <v>0</v>
      </c>
      <c r="E496" s="48">
        <f>data!BK480</f>
        <v>0</v>
      </c>
      <c r="F496" s="48">
        <f>data!BL480</f>
        <v>0</v>
      </c>
      <c r="G496" s="48">
        <f>data!BM480</f>
        <v>0</v>
      </c>
      <c r="H496" s="48">
        <f>data!BN480</f>
        <v>0</v>
      </c>
      <c r="I496" s="48">
        <f>data!BO480</f>
        <v>0</v>
      </c>
      <c r="J496" s="48">
        <f>data!BP480</f>
        <v>0</v>
      </c>
      <c r="K496" s="48">
        <f>data!BQ480</f>
        <v>0</v>
      </c>
      <c r="L496" s="48">
        <f>data!BR480</f>
        <v>13704.510675555613</v>
      </c>
      <c r="M496" s="48">
        <f>data!BS480</f>
        <v>0</v>
      </c>
    </row>
    <row r="497" spans="2:13" x14ac:dyDescent="0.2">
      <c r="B497" s="4" t="s">
        <v>514</v>
      </c>
      <c r="C497" s="48">
        <f>data!BI481</f>
        <v>0</v>
      </c>
      <c r="D497" s="48">
        <f>data!BJ481</f>
        <v>0</v>
      </c>
      <c r="E497" s="48">
        <f>data!BK481</f>
        <v>0</v>
      </c>
      <c r="F497" s="48">
        <f>data!BL481</f>
        <v>0</v>
      </c>
      <c r="G497" s="48">
        <f>data!BM481</f>
        <v>0</v>
      </c>
      <c r="H497" s="48">
        <f>data!BN481</f>
        <v>0</v>
      </c>
      <c r="I497" s="48">
        <f>data!BO481</f>
        <v>0</v>
      </c>
      <c r="J497" s="48">
        <f>data!BP481</f>
        <v>0</v>
      </c>
      <c r="K497" s="48">
        <f>data!BQ481</f>
        <v>0</v>
      </c>
      <c r="L497" s="48">
        <f>data!BR481</f>
        <v>13516.801018184566</v>
      </c>
      <c r="M497" s="48">
        <f>data!BS481</f>
        <v>0</v>
      </c>
    </row>
    <row r="498" spans="2:13" x14ac:dyDescent="0.2">
      <c r="B498" s="4" t="s">
        <v>515</v>
      </c>
      <c r="C498" s="48">
        <f>data!BI482</f>
        <v>0</v>
      </c>
      <c r="D498" s="48">
        <f>data!BJ482</f>
        <v>0</v>
      </c>
      <c r="E498" s="48">
        <f>data!BK482</f>
        <v>0</v>
      </c>
      <c r="F498" s="48">
        <f>data!BL482</f>
        <v>0</v>
      </c>
      <c r="G498" s="48">
        <f>data!BM482</f>
        <v>0</v>
      </c>
      <c r="H498" s="48">
        <f>data!BN482</f>
        <v>0</v>
      </c>
      <c r="I498" s="48">
        <f>data!BO482</f>
        <v>0</v>
      </c>
      <c r="J498" s="48">
        <f>data!BP482</f>
        <v>0</v>
      </c>
      <c r="K498" s="48">
        <f>data!BQ482</f>
        <v>0</v>
      </c>
      <c r="L498" s="48">
        <f>data!BR482</f>
        <v>13544.538884084996</v>
      </c>
      <c r="M498" s="48">
        <f>data!BS482</f>
        <v>0</v>
      </c>
    </row>
    <row r="499" spans="2:13" x14ac:dyDescent="0.2">
      <c r="B499" s="4" t="s">
        <v>516</v>
      </c>
      <c r="C499" s="48">
        <f>data!BI483</f>
        <v>0</v>
      </c>
      <c r="D499" s="48">
        <f>data!BJ483</f>
        <v>0</v>
      </c>
      <c r="E499" s="48">
        <f>data!BK483</f>
        <v>0</v>
      </c>
      <c r="F499" s="48">
        <f>data!BL483</f>
        <v>0</v>
      </c>
      <c r="G499" s="48">
        <f>data!BM483</f>
        <v>0</v>
      </c>
      <c r="H499" s="48">
        <f>data!BN483</f>
        <v>0</v>
      </c>
      <c r="I499" s="48">
        <f>data!BO483</f>
        <v>0</v>
      </c>
      <c r="J499" s="48">
        <f>data!BP483</f>
        <v>0</v>
      </c>
      <c r="K499" s="48">
        <f>data!BQ483</f>
        <v>0</v>
      </c>
      <c r="L499" s="48">
        <f>data!BR483</f>
        <v>13658.578193255929</v>
      </c>
      <c r="M499" s="48">
        <f>data!BS483</f>
        <v>0</v>
      </c>
    </row>
    <row r="500" spans="2:13" x14ac:dyDescent="0.2">
      <c r="B500" s="4" t="s">
        <v>517</v>
      </c>
      <c r="C500" s="48">
        <f>data!BI484</f>
        <v>0</v>
      </c>
      <c r="D500" s="48">
        <f>data!BJ484</f>
        <v>0</v>
      </c>
      <c r="E500" s="48">
        <f>data!BK484</f>
        <v>0</v>
      </c>
      <c r="F500" s="48">
        <f>data!BL484</f>
        <v>0</v>
      </c>
      <c r="G500" s="48">
        <f>data!BM484</f>
        <v>0</v>
      </c>
      <c r="H500" s="48">
        <f>data!BN484</f>
        <v>0</v>
      </c>
      <c r="I500" s="48">
        <f>data!BO484</f>
        <v>0</v>
      </c>
      <c r="J500" s="48">
        <f>data!BP484</f>
        <v>0</v>
      </c>
      <c r="K500" s="48">
        <f>data!BQ484</f>
        <v>0</v>
      </c>
      <c r="L500" s="48">
        <f>data!BR484</f>
        <v>13488.691094343889</v>
      </c>
      <c r="M500" s="48">
        <f>data!BS484</f>
        <v>0</v>
      </c>
    </row>
    <row r="501" spans="2:13" x14ac:dyDescent="0.2">
      <c r="B501" s="4" t="s">
        <v>518</v>
      </c>
      <c r="C501" s="48">
        <f>data!BI485</f>
        <v>0</v>
      </c>
      <c r="D501" s="48">
        <f>data!BJ485</f>
        <v>0</v>
      </c>
      <c r="E501" s="48">
        <f>data!BK485</f>
        <v>0</v>
      </c>
      <c r="F501" s="48">
        <f>data!BL485</f>
        <v>0</v>
      </c>
      <c r="G501" s="48">
        <f>data!BM485</f>
        <v>0</v>
      </c>
      <c r="H501" s="48">
        <f>data!BN485</f>
        <v>0</v>
      </c>
      <c r="I501" s="48">
        <f>data!BO485</f>
        <v>0</v>
      </c>
      <c r="J501" s="48">
        <f>data!BP485</f>
        <v>0</v>
      </c>
      <c r="K501" s="48">
        <f>data!BQ485</f>
        <v>0</v>
      </c>
      <c r="L501" s="48">
        <f>data!BR485</f>
        <v>13841.907047961162</v>
      </c>
      <c r="M501" s="48">
        <f>data!BS485</f>
        <v>0</v>
      </c>
    </row>
    <row r="502" spans="2:13" x14ac:dyDescent="0.2">
      <c r="B502" s="4" t="s">
        <v>519</v>
      </c>
      <c r="C502" s="48">
        <f>data!BI486</f>
        <v>0</v>
      </c>
      <c r="D502" s="48">
        <f>data!BJ486</f>
        <v>0</v>
      </c>
      <c r="E502" s="48">
        <f>data!BK486</f>
        <v>0</v>
      </c>
      <c r="F502" s="48">
        <f>data!BL486</f>
        <v>0</v>
      </c>
      <c r="G502" s="48">
        <f>data!BM486</f>
        <v>0</v>
      </c>
      <c r="H502" s="48">
        <f>data!BN486</f>
        <v>0</v>
      </c>
      <c r="I502" s="48">
        <f>data!BO486</f>
        <v>0</v>
      </c>
      <c r="J502" s="48">
        <f>data!BP486</f>
        <v>0</v>
      </c>
      <c r="K502" s="48">
        <f>data!BQ486</f>
        <v>0</v>
      </c>
      <c r="L502" s="48">
        <f>data!BR486</f>
        <v>13421.593397175124</v>
      </c>
      <c r="M502" s="48">
        <f>data!BS486</f>
        <v>0</v>
      </c>
    </row>
    <row r="503" spans="2:13" x14ac:dyDescent="0.2">
      <c r="B503" s="4" t="s">
        <v>520</v>
      </c>
      <c r="C503" s="48">
        <f>data!BI487</f>
        <v>0</v>
      </c>
      <c r="D503" s="48">
        <f>data!BJ487</f>
        <v>0</v>
      </c>
      <c r="E503" s="48">
        <f>data!BK487</f>
        <v>0</v>
      </c>
      <c r="F503" s="48">
        <f>data!BL487</f>
        <v>0</v>
      </c>
      <c r="G503" s="48">
        <f>data!BM487</f>
        <v>0</v>
      </c>
      <c r="H503" s="48">
        <f>data!BN487</f>
        <v>0</v>
      </c>
      <c r="I503" s="48">
        <f>data!BO487</f>
        <v>0</v>
      </c>
      <c r="J503" s="48">
        <f>data!BP487</f>
        <v>0</v>
      </c>
      <c r="K503" s="48">
        <f>data!BQ487</f>
        <v>0</v>
      </c>
      <c r="L503" s="48">
        <f>data!BR487</f>
        <v>13211.275635739854</v>
      </c>
      <c r="M503" s="48">
        <f>data!BS487</f>
        <v>0</v>
      </c>
    </row>
    <row r="504" spans="2:13" x14ac:dyDescent="0.2">
      <c r="B504" s="4" t="s">
        <v>521</v>
      </c>
      <c r="C504" s="48">
        <f>data!BI488</f>
        <v>0</v>
      </c>
      <c r="D504" s="48">
        <f>data!BJ488</f>
        <v>0</v>
      </c>
      <c r="E504" s="48">
        <f>data!BK488</f>
        <v>0</v>
      </c>
      <c r="F504" s="48">
        <f>data!BL488</f>
        <v>0</v>
      </c>
      <c r="G504" s="48">
        <f>data!BM488</f>
        <v>0</v>
      </c>
      <c r="H504" s="48">
        <f>data!BN488</f>
        <v>0</v>
      </c>
      <c r="I504" s="48">
        <f>data!BO488</f>
        <v>0</v>
      </c>
      <c r="J504" s="48">
        <f>data!BP488</f>
        <v>0</v>
      </c>
      <c r="K504" s="48">
        <f>data!BQ488</f>
        <v>0</v>
      </c>
      <c r="L504" s="48">
        <f>data!BR488</f>
        <v>13210.115970275918</v>
      </c>
      <c r="M504" s="48">
        <f>data!BS488</f>
        <v>0</v>
      </c>
    </row>
    <row r="505" spans="2:13" x14ac:dyDescent="0.2">
      <c r="B505" s="4" t="s">
        <v>522</v>
      </c>
      <c r="C505" s="48">
        <f>data!BI489</f>
        <v>0</v>
      </c>
      <c r="D505" s="48">
        <f>data!BJ489</f>
        <v>0</v>
      </c>
      <c r="E505" s="48">
        <f>data!BK489</f>
        <v>0</v>
      </c>
      <c r="F505" s="48">
        <f>data!BL489</f>
        <v>0</v>
      </c>
      <c r="G505" s="48">
        <f>data!BM489</f>
        <v>0</v>
      </c>
      <c r="H505" s="48">
        <f>data!BN489</f>
        <v>0</v>
      </c>
      <c r="I505" s="48">
        <f>data!BO489</f>
        <v>0</v>
      </c>
      <c r="J505" s="48">
        <f>data!BP489</f>
        <v>0</v>
      </c>
      <c r="K505" s="48">
        <f>data!BQ489</f>
        <v>0</v>
      </c>
      <c r="L505" s="48">
        <f>data!BR489</f>
        <v>12825.857517330211</v>
      </c>
      <c r="M505" s="48">
        <f>data!BS489</f>
        <v>0</v>
      </c>
    </row>
    <row r="506" spans="2:13" x14ac:dyDescent="0.2">
      <c r="B506" s="4" t="s">
        <v>523</v>
      </c>
      <c r="C506" s="48">
        <f>data!BI490</f>
        <v>0</v>
      </c>
      <c r="D506" s="48">
        <f>data!BJ490</f>
        <v>0</v>
      </c>
      <c r="E506" s="48">
        <f>data!BK490</f>
        <v>0</v>
      </c>
      <c r="F506" s="48">
        <f>data!BL490</f>
        <v>0</v>
      </c>
      <c r="G506" s="48">
        <f>data!BM490</f>
        <v>0</v>
      </c>
      <c r="H506" s="48">
        <f>data!BN490</f>
        <v>0</v>
      </c>
      <c r="I506" s="48">
        <f>data!BO490</f>
        <v>0</v>
      </c>
      <c r="J506" s="48">
        <f>data!BP490</f>
        <v>0</v>
      </c>
      <c r="K506" s="48">
        <f>data!BQ490</f>
        <v>0</v>
      </c>
      <c r="L506" s="48">
        <f>data!BR490</f>
        <v>12934.301255027016</v>
      </c>
      <c r="M506" s="48">
        <f>data!BS490</f>
        <v>0</v>
      </c>
    </row>
    <row r="507" spans="2:13" x14ac:dyDescent="0.2">
      <c r="B507" s="4" t="s">
        <v>524</v>
      </c>
      <c r="C507" s="48">
        <f>data!BI491</f>
        <v>0</v>
      </c>
      <c r="D507" s="48">
        <f>data!BJ491</f>
        <v>0</v>
      </c>
      <c r="E507" s="48">
        <f>data!BK491</f>
        <v>0</v>
      </c>
      <c r="F507" s="48">
        <f>data!BL491</f>
        <v>0</v>
      </c>
      <c r="G507" s="48">
        <f>data!BM491</f>
        <v>0</v>
      </c>
      <c r="H507" s="48">
        <f>data!BN491</f>
        <v>0</v>
      </c>
      <c r="I507" s="48">
        <f>data!BO491</f>
        <v>0</v>
      </c>
      <c r="J507" s="48">
        <f>data!BP491</f>
        <v>0</v>
      </c>
      <c r="K507" s="48">
        <f>data!BQ491</f>
        <v>0</v>
      </c>
      <c r="L507" s="48">
        <f>data!BR491</f>
        <v>13283.659035935805</v>
      </c>
      <c r="M507" s="48">
        <f>data!BS491</f>
        <v>0</v>
      </c>
    </row>
    <row r="508" spans="2:13" x14ac:dyDescent="0.2">
      <c r="B508" s="4" t="s">
        <v>525</v>
      </c>
      <c r="C508" s="48">
        <f>data!BI492</f>
        <v>0</v>
      </c>
      <c r="D508" s="48">
        <f>data!BJ492</f>
        <v>0</v>
      </c>
      <c r="E508" s="48">
        <f>data!BK492</f>
        <v>0</v>
      </c>
      <c r="F508" s="48">
        <f>data!BL492</f>
        <v>0</v>
      </c>
      <c r="G508" s="48">
        <f>data!BM492</f>
        <v>0</v>
      </c>
      <c r="H508" s="48">
        <f>data!BN492</f>
        <v>0</v>
      </c>
      <c r="I508" s="48">
        <f>data!BO492</f>
        <v>0</v>
      </c>
      <c r="J508" s="48">
        <f>data!BP492</f>
        <v>0</v>
      </c>
      <c r="K508" s="48">
        <f>data!BQ492</f>
        <v>0</v>
      </c>
      <c r="L508" s="48">
        <f>data!BR492</f>
        <v>14128.715938802752</v>
      </c>
      <c r="M508" s="48">
        <f>data!BS492</f>
        <v>0</v>
      </c>
    </row>
    <row r="509" spans="2:13" x14ac:dyDescent="0.2">
      <c r="B509" s="4" t="s">
        <v>526</v>
      </c>
      <c r="C509" s="48">
        <f>data!BI493</f>
        <v>0</v>
      </c>
      <c r="D509" s="48">
        <f>data!BJ493</f>
        <v>0</v>
      </c>
      <c r="E509" s="48">
        <f>data!BK493</f>
        <v>0</v>
      </c>
      <c r="F509" s="48">
        <f>data!BL493</f>
        <v>0</v>
      </c>
      <c r="G509" s="48">
        <f>data!BM493</f>
        <v>0</v>
      </c>
      <c r="H509" s="48">
        <f>data!BN493</f>
        <v>0</v>
      </c>
      <c r="I509" s="48">
        <f>data!BO493</f>
        <v>0</v>
      </c>
      <c r="J509" s="48">
        <f>data!BP493</f>
        <v>0</v>
      </c>
      <c r="K509" s="48">
        <f>data!BQ493</f>
        <v>0</v>
      </c>
      <c r="L509" s="48">
        <f>data!BR493</f>
        <v>14018.166980093814</v>
      </c>
      <c r="M509" s="48">
        <f>data!BS493</f>
        <v>0</v>
      </c>
    </row>
    <row r="510" spans="2:13" x14ac:dyDescent="0.2">
      <c r="B510" s="4" t="s">
        <v>527</v>
      </c>
      <c r="C510" s="48">
        <f>data!BI494</f>
        <v>0</v>
      </c>
      <c r="D510" s="48">
        <f>data!BJ494</f>
        <v>0</v>
      </c>
      <c r="E510" s="48">
        <f>data!BK494</f>
        <v>0</v>
      </c>
      <c r="F510" s="48">
        <f>data!BL494</f>
        <v>0</v>
      </c>
      <c r="G510" s="48">
        <f>data!BM494</f>
        <v>0</v>
      </c>
      <c r="H510" s="48">
        <f>data!BN494</f>
        <v>0</v>
      </c>
      <c r="I510" s="48">
        <f>data!BO494</f>
        <v>0</v>
      </c>
      <c r="J510" s="48">
        <f>data!BP494</f>
        <v>0</v>
      </c>
      <c r="K510" s="48">
        <f>data!BQ494</f>
        <v>0</v>
      </c>
      <c r="L510" s="48">
        <f>data!BR494</f>
        <v>14265.2613498597</v>
      </c>
      <c r="M510" s="48">
        <f>data!BS494</f>
        <v>0</v>
      </c>
    </row>
    <row r="511" spans="2:13" x14ac:dyDescent="0.2">
      <c r="B511" s="4" t="s">
        <v>528</v>
      </c>
      <c r="C511" s="48">
        <f>data!BI495</f>
        <v>0</v>
      </c>
      <c r="D511" s="48">
        <f>data!BJ495</f>
        <v>0</v>
      </c>
      <c r="E511" s="48">
        <f>data!BK495</f>
        <v>0</v>
      </c>
      <c r="F511" s="48">
        <f>data!BL495</f>
        <v>0</v>
      </c>
      <c r="G511" s="48">
        <f>data!BM495</f>
        <v>0</v>
      </c>
      <c r="H511" s="48">
        <f>data!BN495</f>
        <v>0</v>
      </c>
      <c r="I511" s="48">
        <f>data!BO495</f>
        <v>0</v>
      </c>
      <c r="J511" s="48">
        <f>data!BP495</f>
        <v>0</v>
      </c>
      <c r="K511" s="48">
        <f>data!BQ495</f>
        <v>0</v>
      </c>
      <c r="L511" s="48">
        <f>data!BR495</f>
        <v>14385.966487903384</v>
      </c>
      <c r="M511" s="48">
        <f>data!BS495</f>
        <v>0</v>
      </c>
    </row>
    <row r="512" spans="2:13" x14ac:dyDescent="0.2">
      <c r="B512" s="4" t="s">
        <v>529</v>
      </c>
      <c r="C512" s="48">
        <f>data!BI496</f>
        <v>0</v>
      </c>
      <c r="D512" s="48">
        <f>data!BJ496</f>
        <v>0</v>
      </c>
      <c r="E512" s="48">
        <f>data!BK496</f>
        <v>0</v>
      </c>
      <c r="F512" s="48">
        <f>data!BL496</f>
        <v>0</v>
      </c>
      <c r="G512" s="48">
        <f>data!BM496</f>
        <v>0</v>
      </c>
      <c r="H512" s="48">
        <f>data!BN496</f>
        <v>0</v>
      </c>
      <c r="I512" s="48">
        <f>data!BO496</f>
        <v>0</v>
      </c>
      <c r="J512" s="48">
        <f>data!BP496</f>
        <v>0</v>
      </c>
      <c r="K512" s="48">
        <f>data!BQ496</f>
        <v>0</v>
      </c>
      <c r="L512" s="48">
        <f>data!BR496</f>
        <v>14952.026537688156</v>
      </c>
      <c r="M512" s="48">
        <f>data!BS496</f>
        <v>0</v>
      </c>
    </row>
    <row r="513" spans="2:13" x14ac:dyDescent="0.2">
      <c r="B513" s="4" t="s">
        <v>530</v>
      </c>
      <c r="C513" s="48">
        <f>data!BI497</f>
        <v>0</v>
      </c>
      <c r="D513" s="48">
        <f>data!BJ497</f>
        <v>0</v>
      </c>
      <c r="E513" s="48">
        <f>data!BK497</f>
        <v>0</v>
      </c>
      <c r="F513" s="48">
        <f>data!BL497</f>
        <v>0</v>
      </c>
      <c r="G513" s="48">
        <f>data!BM497</f>
        <v>0</v>
      </c>
      <c r="H513" s="48">
        <f>data!BN497</f>
        <v>0</v>
      </c>
      <c r="I513" s="48">
        <f>data!BO497</f>
        <v>0</v>
      </c>
      <c r="J513" s="48">
        <f>data!BP497</f>
        <v>0</v>
      </c>
      <c r="K513" s="48">
        <f>data!BQ497</f>
        <v>0</v>
      </c>
      <c r="L513" s="48">
        <f>data!BR497</f>
        <v>15482.709760114032</v>
      </c>
      <c r="M513" s="48">
        <f>data!BS497</f>
        <v>0</v>
      </c>
    </row>
    <row r="514" spans="2:13" x14ac:dyDescent="0.2">
      <c r="B514" s="4" t="s">
        <v>531</v>
      </c>
      <c r="C514" s="48">
        <f>data!BI498</f>
        <v>0</v>
      </c>
      <c r="D514" s="48">
        <f>data!BJ498</f>
        <v>0</v>
      </c>
      <c r="E514" s="48">
        <f>data!BK498</f>
        <v>0</v>
      </c>
      <c r="F514" s="48">
        <f>data!BL498</f>
        <v>0</v>
      </c>
      <c r="G514" s="48">
        <f>data!BM498</f>
        <v>0</v>
      </c>
      <c r="H514" s="48">
        <f>data!BN498</f>
        <v>0</v>
      </c>
      <c r="I514" s="48">
        <f>data!BO498</f>
        <v>0</v>
      </c>
      <c r="J514" s="48">
        <f>data!BP498</f>
        <v>0</v>
      </c>
      <c r="K514" s="48">
        <f>data!BQ498</f>
        <v>0</v>
      </c>
      <c r="L514" s="48">
        <f>data!BR498</f>
        <v>16359.52731518638</v>
      </c>
      <c r="M514" s="48">
        <f>data!BS498</f>
        <v>0</v>
      </c>
    </row>
    <row r="515" spans="2:13" x14ac:dyDescent="0.2">
      <c r="B515" s="4" t="s">
        <v>532</v>
      </c>
      <c r="C515" s="48">
        <f>data!BI499</f>
        <v>0</v>
      </c>
      <c r="D515" s="48">
        <f>data!BJ499</f>
        <v>0</v>
      </c>
      <c r="E515" s="48">
        <f>data!BK499</f>
        <v>0</v>
      </c>
      <c r="F515" s="48">
        <f>data!BL499</f>
        <v>0</v>
      </c>
      <c r="G515" s="48">
        <f>data!BM499</f>
        <v>0</v>
      </c>
      <c r="H515" s="48">
        <f>data!BN499</f>
        <v>0</v>
      </c>
      <c r="I515" s="48">
        <f>data!BO499</f>
        <v>0</v>
      </c>
      <c r="J515" s="48">
        <f>data!BP499</f>
        <v>0</v>
      </c>
      <c r="K515" s="48">
        <f>data!BQ499</f>
        <v>0</v>
      </c>
      <c r="L515" s="48">
        <f>data!BR499</f>
        <v>16474.76534273845</v>
      </c>
      <c r="M515" s="48">
        <f>data!BS499</f>
        <v>0</v>
      </c>
    </row>
    <row r="516" spans="2:13" x14ac:dyDescent="0.2">
      <c r="B516" s="4" t="s">
        <v>533</v>
      </c>
      <c r="C516" s="48">
        <f>data!BI500</f>
        <v>0</v>
      </c>
      <c r="D516" s="48">
        <f>data!BJ500</f>
        <v>0</v>
      </c>
      <c r="E516" s="48">
        <f>data!BK500</f>
        <v>0</v>
      </c>
      <c r="F516" s="48">
        <f>data!BL500</f>
        <v>0</v>
      </c>
      <c r="G516" s="48">
        <f>data!BM500</f>
        <v>0</v>
      </c>
      <c r="H516" s="48">
        <f>data!BN500</f>
        <v>0</v>
      </c>
      <c r="I516" s="48">
        <f>data!BO500</f>
        <v>0</v>
      </c>
      <c r="J516" s="48">
        <f>data!BP500</f>
        <v>0</v>
      </c>
      <c r="K516" s="48">
        <f>data!BQ500</f>
        <v>0</v>
      </c>
      <c r="L516" s="48">
        <f>data!BR500</f>
        <v>15856.289304204476</v>
      </c>
      <c r="M516" s="48">
        <f>data!BS500</f>
        <v>0</v>
      </c>
    </row>
    <row r="517" spans="2:13" x14ac:dyDescent="0.2">
      <c r="B517" s="4" t="s">
        <v>534</v>
      </c>
      <c r="C517" s="48">
        <f>data!BI501</f>
        <v>0</v>
      </c>
      <c r="D517" s="48">
        <f>data!BJ501</f>
        <v>0</v>
      </c>
      <c r="E517" s="48">
        <f>data!BK501</f>
        <v>0</v>
      </c>
      <c r="F517" s="48">
        <f>data!BL501</f>
        <v>0</v>
      </c>
      <c r="G517" s="48">
        <f>data!BM501</f>
        <v>0</v>
      </c>
      <c r="H517" s="48">
        <f>data!BN501</f>
        <v>0</v>
      </c>
      <c r="I517" s="48">
        <f>data!BO501</f>
        <v>0</v>
      </c>
      <c r="J517" s="48">
        <f>data!BP501</f>
        <v>0</v>
      </c>
      <c r="K517" s="48">
        <f>data!BQ501</f>
        <v>0</v>
      </c>
      <c r="L517" s="48">
        <f>data!BR501</f>
        <v>16284.602520901422</v>
      </c>
      <c r="M517" s="48">
        <f>data!BS501</f>
        <v>0</v>
      </c>
    </row>
    <row r="518" spans="2:13" x14ac:dyDescent="0.2">
      <c r="B518" s="4" t="s">
        <v>535</v>
      </c>
      <c r="C518" s="48">
        <f>data!BI502</f>
        <v>0</v>
      </c>
      <c r="D518" s="48">
        <f>data!BJ502</f>
        <v>0</v>
      </c>
      <c r="E518" s="48">
        <f>data!BK502</f>
        <v>0</v>
      </c>
      <c r="F518" s="48">
        <f>data!BL502</f>
        <v>0</v>
      </c>
      <c r="G518" s="48">
        <f>data!BM502</f>
        <v>0</v>
      </c>
      <c r="H518" s="48">
        <f>data!BN502</f>
        <v>0</v>
      </c>
      <c r="I518" s="48">
        <f>data!BO502</f>
        <v>0</v>
      </c>
      <c r="J518" s="48">
        <f>data!BP502</f>
        <v>0</v>
      </c>
      <c r="K518" s="48">
        <f>data!BQ502</f>
        <v>0</v>
      </c>
      <c r="L518" s="48">
        <f>data!BR502</f>
        <v>16023.683279135841</v>
      </c>
      <c r="M518" s="48">
        <f>data!BS502</f>
        <v>0</v>
      </c>
    </row>
    <row r="519" spans="2:13" x14ac:dyDescent="0.2">
      <c r="B519" s="4" t="s">
        <v>536</v>
      </c>
      <c r="C519" s="48">
        <f>data!BI503</f>
        <v>0</v>
      </c>
      <c r="D519" s="48">
        <f>data!BJ503</f>
        <v>0</v>
      </c>
      <c r="E519" s="48">
        <f>data!BK503</f>
        <v>0</v>
      </c>
      <c r="F519" s="48">
        <f>data!BL503</f>
        <v>0</v>
      </c>
      <c r="G519" s="48">
        <f>data!BM503</f>
        <v>0</v>
      </c>
      <c r="H519" s="48">
        <f>data!BN503</f>
        <v>0</v>
      </c>
      <c r="I519" s="48">
        <f>data!BO503</f>
        <v>0</v>
      </c>
      <c r="J519" s="48">
        <f>data!BP503</f>
        <v>0</v>
      </c>
      <c r="K519" s="48">
        <f>data!BQ503</f>
        <v>0</v>
      </c>
      <c r="L519" s="48">
        <f>data!BR503</f>
        <v>15572.454380592395</v>
      </c>
      <c r="M519" s="48">
        <f>data!BS503</f>
        <v>0</v>
      </c>
    </row>
    <row r="520" spans="2:13" x14ac:dyDescent="0.2">
      <c r="B520" s="4" t="s">
        <v>537</v>
      </c>
      <c r="C520" s="48">
        <f>data!BI504</f>
        <v>0</v>
      </c>
      <c r="D520" s="48">
        <f>data!BJ504</f>
        <v>0</v>
      </c>
      <c r="E520" s="48">
        <f>data!BK504</f>
        <v>0</v>
      </c>
      <c r="F520" s="48">
        <f>data!BL504</f>
        <v>0</v>
      </c>
      <c r="G520" s="48">
        <f>data!BM504</f>
        <v>0</v>
      </c>
      <c r="H520" s="48">
        <f>data!BN504</f>
        <v>0</v>
      </c>
      <c r="I520" s="48">
        <f>data!BO504</f>
        <v>0</v>
      </c>
      <c r="J520" s="48">
        <f>data!BP504</f>
        <v>0</v>
      </c>
      <c r="K520" s="48">
        <f>data!BQ504</f>
        <v>0</v>
      </c>
      <c r="L520" s="48">
        <f>data!BR504</f>
        <v>15805.625063610318</v>
      </c>
      <c r="M520" s="48">
        <f>data!BS504</f>
        <v>0</v>
      </c>
    </row>
    <row r="521" spans="2:13" x14ac:dyDescent="0.2">
      <c r="B521" s="4" t="s">
        <v>538</v>
      </c>
      <c r="C521" s="48">
        <f>data!BI505</f>
        <v>0</v>
      </c>
      <c r="D521" s="48">
        <f>data!BJ505</f>
        <v>0</v>
      </c>
      <c r="E521" s="48">
        <f>data!BK505</f>
        <v>0</v>
      </c>
      <c r="F521" s="48">
        <f>data!BL505</f>
        <v>0</v>
      </c>
      <c r="G521" s="48">
        <f>data!BM505</f>
        <v>0</v>
      </c>
      <c r="H521" s="48">
        <f>data!BN505</f>
        <v>0</v>
      </c>
      <c r="I521" s="48">
        <f>data!BO505</f>
        <v>0</v>
      </c>
      <c r="J521" s="48">
        <f>data!BP505</f>
        <v>0</v>
      </c>
      <c r="K521" s="48">
        <f>data!BQ505</f>
        <v>0</v>
      </c>
      <c r="L521" s="48">
        <f>data!BR505</f>
        <v>15618.623982480705</v>
      </c>
      <c r="M521" s="48">
        <f>data!BS505</f>
        <v>0</v>
      </c>
    </row>
    <row r="522" spans="2:13" x14ac:dyDescent="0.2">
      <c r="B522" s="4" t="s">
        <v>539</v>
      </c>
      <c r="C522" s="48">
        <f>data!BI506</f>
        <v>0</v>
      </c>
      <c r="D522" s="48">
        <f>data!BJ506</f>
        <v>0</v>
      </c>
      <c r="E522" s="48">
        <f>data!BK506</f>
        <v>0</v>
      </c>
      <c r="F522" s="48">
        <f>data!BL506</f>
        <v>0</v>
      </c>
      <c r="G522" s="48">
        <f>data!BM506</f>
        <v>0</v>
      </c>
      <c r="H522" s="48">
        <f>data!BN506</f>
        <v>0</v>
      </c>
      <c r="I522" s="48">
        <f>data!BO506</f>
        <v>0</v>
      </c>
      <c r="J522" s="48">
        <f>data!BP506</f>
        <v>0</v>
      </c>
      <c r="K522" s="48">
        <f>data!BQ506</f>
        <v>0</v>
      </c>
      <c r="L522" s="48">
        <f>data!BR506</f>
        <v>15551.00071821275</v>
      </c>
      <c r="M522" s="48">
        <f>data!BS506</f>
        <v>0</v>
      </c>
    </row>
    <row r="523" spans="2:13" x14ac:dyDescent="0.2">
      <c r="B523" s="4" t="s">
        <v>540</v>
      </c>
      <c r="C523" s="48">
        <f>data!BI507</f>
        <v>0</v>
      </c>
      <c r="D523" s="48">
        <f>data!BJ507</f>
        <v>0</v>
      </c>
      <c r="E523" s="48">
        <f>data!BK507</f>
        <v>0</v>
      </c>
      <c r="F523" s="48">
        <f>data!BL507</f>
        <v>0</v>
      </c>
      <c r="G523" s="48">
        <f>data!BM507</f>
        <v>0</v>
      </c>
      <c r="H523" s="48">
        <f>data!BN507</f>
        <v>0</v>
      </c>
      <c r="I523" s="48">
        <f>data!BO507</f>
        <v>0</v>
      </c>
      <c r="J523" s="48">
        <f>data!BP507</f>
        <v>0</v>
      </c>
      <c r="K523" s="48">
        <f>data!BQ507</f>
        <v>0</v>
      </c>
      <c r="L523" s="48">
        <f>data!BR507</f>
        <v>15350.11470063281</v>
      </c>
      <c r="M523" s="48">
        <f>data!BS507</f>
        <v>0</v>
      </c>
    </row>
    <row r="524" spans="2:13" x14ac:dyDescent="0.2">
      <c r="B524" s="4" t="s">
        <v>541</v>
      </c>
      <c r="C524" s="48">
        <f>data!BI508</f>
        <v>0</v>
      </c>
      <c r="D524" s="48">
        <f>data!BJ508</f>
        <v>0</v>
      </c>
      <c r="E524" s="48">
        <f>data!BK508</f>
        <v>0</v>
      </c>
      <c r="F524" s="48">
        <f>data!BL508</f>
        <v>0</v>
      </c>
      <c r="G524" s="48">
        <f>data!BM508</f>
        <v>0</v>
      </c>
      <c r="H524" s="48">
        <f>data!BN508</f>
        <v>0</v>
      </c>
      <c r="I524" s="48">
        <f>data!BO508</f>
        <v>0</v>
      </c>
      <c r="J524" s="48">
        <f>data!BP508</f>
        <v>0</v>
      </c>
      <c r="K524" s="48">
        <f>data!BQ508</f>
        <v>0</v>
      </c>
      <c r="L524" s="48">
        <f>data!BR508</f>
        <v>15205.253534047344</v>
      </c>
      <c r="M524" s="48">
        <f>data!BS508</f>
        <v>0</v>
      </c>
    </row>
    <row r="525" spans="2:13" x14ac:dyDescent="0.2"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</row>
    <row r="526" spans="2:13" x14ac:dyDescent="0.2"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</row>
    <row r="527" spans="2:13" x14ac:dyDescent="0.2"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</row>
    <row r="528" spans="2:13" x14ac:dyDescent="0.2"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</row>
    <row r="529" spans="3:13" x14ac:dyDescent="0.2"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</row>
    <row r="530" spans="3:13" x14ac:dyDescent="0.2"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</row>
    <row r="531" spans="3:13" x14ac:dyDescent="0.2"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</row>
    <row r="532" spans="3:13" x14ac:dyDescent="0.2"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</row>
    <row r="533" spans="3:13" x14ac:dyDescent="0.2"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</row>
    <row r="534" spans="3:13" x14ac:dyDescent="0.2"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</row>
    <row r="535" spans="3:13" x14ac:dyDescent="0.2"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</row>
    <row r="536" spans="3:13" x14ac:dyDescent="0.2"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</row>
    <row r="537" spans="3:13" x14ac:dyDescent="0.2"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</row>
    <row r="538" spans="3:13" x14ac:dyDescent="0.2"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</row>
    <row r="539" spans="3:13" x14ac:dyDescent="0.2"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</row>
    <row r="540" spans="3:13" x14ac:dyDescent="0.2"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</row>
    <row r="541" spans="3:13" x14ac:dyDescent="0.2"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</row>
    <row r="542" spans="3:13" x14ac:dyDescent="0.2"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</row>
    <row r="543" spans="3:13" x14ac:dyDescent="0.2"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</row>
    <row r="544" spans="3:13" x14ac:dyDescent="0.2"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</row>
    <row r="545" spans="3:13" x14ac:dyDescent="0.2"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</row>
    <row r="546" spans="3:13" x14ac:dyDescent="0.2"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</row>
    <row r="547" spans="3:13" x14ac:dyDescent="0.2"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</row>
    <row r="548" spans="3:13" x14ac:dyDescent="0.2"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</row>
    <row r="549" spans="3:13" x14ac:dyDescent="0.2"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</row>
    <row r="550" spans="3:13" x14ac:dyDescent="0.2"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</row>
    <row r="551" spans="3:13" x14ac:dyDescent="0.2"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</row>
    <row r="552" spans="3:13" x14ac:dyDescent="0.2"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</row>
    <row r="553" spans="3:13" x14ac:dyDescent="0.2"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</row>
    <row r="554" spans="3:13" x14ac:dyDescent="0.2"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</row>
    <row r="555" spans="3:13" x14ac:dyDescent="0.2"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</row>
    <row r="556" spans="3:13" x14ac:dyDescent="0.2"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</row>
    <row r="557" spans="3:13" x14ac:dyDescent="0.2"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</row>
    <row r="558" spans="3:13" x14ac:dyDescent="0.2"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</row>
    <row r="559" spans="3:13" x14ac:dyDescent="0.2"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</row>
    <row r="560" spans="3:13" x14ac:dyDescent="0.2"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</row>
    <row r="561" spans="3:13" x14ac:dyDescent="0.2"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</row>
    <row r="562" spans="3:13" x14ac:dyDescent="0.2"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</row>
    <row r="563" spans="3:13" x14ac:dyDescent="0.2"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</row>
    <row r="564" spans="3:13" x14ac:dyDescent="0.2"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</row>
    <row r="565" spans="3:13" x14ac:dyDescent="0.2"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</row>
    <row r="566" spans="3:13" x14ac:dyDescent="0.2"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</row>
    <row r="567" spans="3:13" x14ac:dyDescent="0.2"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</row>
    <row r="568" spans="3:13" x14ac:dyDescent="0.2"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</row>
    <row r="569" spans="3:13" x14ac:dyDescent="0.2"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</row>
    <row r="570" spans="3:13" x14ac:dyDescent="0.2"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</row>
    <row r="571" spans="3:13" x14ac:dyDescent="0.2"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</row>
    <row r="572" spans="3:13" x14ac:dyDescent="0.2"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</row>
    <row r="573" spans="3:13" x14ac:dyDescent="0.2"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</row>
    <row r="574" spans="3:13" x14ac:dyDescent="0.2"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</row>
    <row r="575" spans="3:13" x14ac:dyDescent="0.2"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</row>
    <row r="576" spans="3:13" x14ac:dyDescent="0.2"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</row>
    <row r="577" spans="3:13" x14ac:dyDescent="0.2"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</row>
    <row r="578" spans="3:13" x14ac:dyDescent="0.2"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</row>
    <row r="579" spans="3:13" x14ac:dyDescent="0.2"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</row>
    <row r="580" spans="3:13" x14ac:dyDescent="0.2"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</row>
    <row r="581" spans="3:13" x14ac:dyDescent="0.2"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</row>
    <row r="582" spans="3:13" x14ac:dyDescent="0.2"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</row>
    <row r="583" spans="3:13" x14ac:dyDescent="0.2"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</row>
    <row r="584" spans="3:13" x14ac:dyDescent="0.2"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</row>
    <row r="585" spans="3:13" x14ac:dyDescent="0.2"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</row>
    <row r="586" spans="3:13" x14ac:dyDescent="0.2"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</row>
    <row r="587" spans="3:13" x14ac:dyDescent="0.2"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</row>
    <row r="588" spans="3:13" x14ac:dyDescent="0.2"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</row>
    <row r="589" spans="3:13" x14ac:dyDescent="0.2"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</row>
    <row r="590" spans="3:13" x14ac:dyDescent="0.2"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</row>
    <row r="591" spans="3:13" x14ac:dyDescent="0.2"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</row>
    <row r="592" spans="3:13" x14ac:dyDescent="0.2"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</row>
    <row r="593" spans="3:13" x14ac:dyDescent="0.2"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</row>
    <row r="594" spans="3:13" x14ac:dyDescent="0.2"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</row>
    <row r="595" spans="3:13" x14ac:dyDescent="0.2"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</row>
    <row r="596" spans="3:13" x14ac:dyDescent="0.2"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</row>
    <row r="597" spans="3:13" x14ac:dyDescent="0.2"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</row>
    <row r="598" spans="3:13" x14ac:dyDescent="0.2"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</row>
    <row r="599" spans="3:13" x14ac:dyDescent="0.2"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</row>
    <row r="600" spans="3:13" x14ac:dyDescent="0.2"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</row>
    <row r="601" spans="3:13" x14ac:dyDescent="0.2"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</row>
    <row r="602" spans="3:13" x14ac:dyDescent="0.2"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</row>
    <row r="603" spans="3:13" x14ac:dyDescent="0.2"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</row>
    <row r="604" spans="3:13" x14ac:dyDescent="0.2"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</row>
    <row r="605" spans="3:13" x14ac:dyDescent="0.2"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</row>
    <row r="606" spans="3:13" x14ac:dyDescent="0.2"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</row>
    <row r="607" spans="3:13" x14ac:dyDescent="0.2"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</row>
    <row r="608" spans="3:13" x14ac:dyDescent="0.2"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</row>
    <row r="609" spans="3:13" x14ac:dyDescent="0.2"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</row>
    <row r="610" spans="3:13" x14ac:dyDescent="0.2"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</row>
    <row r="611" spans="3:13" x14ac:dyDescent="0.2"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</row>
    <row r="612" spans="3:13" x14ac:dyDescent="0.2"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</row>
    <row r="613" spans="3:13" x14ac:dyDescent="0.2"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</row>
    <row r="614" spans="3:13" x14ac:dyDescent="0.2"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</row>
    <row r="615" spans="3:13" x14ac:dyDescent="0.2"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</row>
    <row r="616" spans="3:13" x14ac:dyDescent="0.2"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</row>
    <row r="617" spans="3:13" x14ac:dyDescent="0.2"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</row>
    <row r="618" spans="3:13" x14ac:dyDescent="0.2"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</row>
    <row r="619" spans="3:13" x14ac:dyDescent="0.2"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</row>
    <row r="620" spans="3:13" x14ac:dyDescent="0.2"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</row>
    <row r="621" spans="3:13" x14ac:dyDescent="0.2"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</row>
    <row r="622" spans="3:13" x14ac:dyDescent="0.2"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</row>
    <row r="623" spans="3:13" x14ac:dyDescent="0.2"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</row>
    <row r="624" spans="3:13" x14ac:dyDescent="0.2"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</row>
    <row r="625" spans="3:13" x14ac:dyDescent="0.2"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</row>
    <row r="626" spans="3:13" x14ac:dyDescent="0.2"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</row>
    <row r="627" spans="3:13" x14ac:dyDescent="0.2"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</row>
    <row r="628" spans="3:13" x14ac:dyDescent="0.2"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</row>
    <row r="629" spans="3:13" x14ac:dyDescent="0.2"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</row>
    <row r="630" spans="3:13" x14ac:dyDescent="0.2"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</row>
    <row r="631" spans="3:13" x14ac:dyDescent="0.2"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</row>
    <row r="632" spans="3:13" x14ac:dyDescent="0.2"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</row>
    <row r="633" spans="3:13" x14ac:dyDescent="0.2"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</row>
    <row r="634" spans="3:13" x14ac:dyDescent="0.2"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</row>
    <row r="635" spans="3:13" x14ac:dyDescent="0.2"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</row>
    <row r="636" spans="3:13" x14ac:dyDescent="0.2"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</row>
    <row r="637" spans="3:13" x14ac:dyDescent="0.2"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</row>
    <row r="638" spans="3:13" x14ac:dyDescent="0.2"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</row>
    <row r="639" spans="3:13" x14ac:dyDescent="0.2"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</row>
    <row r="640" spans="3:13" x14ac:dyDescent="0.2"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</row>
    <row r="641" spans="3:13" x14ac:dyDescent="0.2"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</row>
    <row r="642" spans="3:13" x14ac:dyDescent="0.2"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</row>
    <row r="643" spans="3:13" x14ac:dyDescent="0.2"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</row>
    <row r="644" spans="3:13" x14ac:dyDescent="0.2"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</row>
    <row r="645" spans="3:13" x14ac:dyDescent="0.2"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</row>
    <row r="646" spans="3:13" x14ac:dyDescent="0.2"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</row>
    <row r="647" spans="3:13" x14ac:dyDescent="0.2"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</row>
    <row r="648" spans="3:13" x14ac:dyDescent="0.2"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</row>
    <row r="649" spans="3:13" x14ac:dyDescent="0.2"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</row>
    <row r="650" spans="3:13" x14ac:dyDescent="0.2"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</row>
    <row r="651" spans="3:13" x14ac:dyDescent="0.2"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</row>
    <row r="652" spans="3:13" x14ac:dyDescent="0.2"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</row>
    <row r="653" spans="3:13" x14ac:dyDescent="0.2"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</row>
    <row r="654" spans="3:13" x14ac:dyDescent="0.2"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</row>
    <row r="655" spans="3:13" x14ac:dyDescent="0.2"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</row>
    <row r="656" spans="3:13" x14ac:dyDescent="0.2"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</row>
    <row r="657" spans="3:13" x14ac:dyDescent="0.2"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</row>
    <row r="658" spans="3:13" x14ac:dyDescent="0.2"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</row>
    <row r="659" spans="3:13" x14ac:dyDescent="0.2"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</row>
    <row r="660" spans="3:13" x14ac:dyDescent="0.2"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</row>
    <row r="661" spans="3:13" x14ac:dyDescent="0.2"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</row>
    <row r="662" spans="3:13" x14ac:dyDescent="0.2"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</row>
    <row r="663" spans="3:13" x14ac:dyDescent="0.2"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</row>
    <row r="664" spans="3:13" x14ac:dyDescent="0.2"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</row>
    <row r="665" spans="3:13" x14ac:dyDescent="0.2"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</row>
    <row r="666" spans="3:13" x14ac:dyDescent="0.2"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</row>
    <row r="667" spans="3:13" x14ac:dyDescent="0.2"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</row>
    <row r="668" spans="3:13" x14ac:dyDescent="0.2"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</row>
    <row r="669" spans="3:13" x14ac:dyDescent="0.2"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</row>
    <row r="670" spans="3:13" x14ac:dyDescent="0.2"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</row>
    <row r="671" spans="3:13" x14ac:dyDescent="0.2"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</row>
    <row r="672" spans="3:13" x14ac:dyDescent="0.2"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</row>
    <row r="673" spans="3:13" x14ac:dyDescent="0.2"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</row>
    <row r="674" spans="3:13" x14ac:dyDescent="0.2"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</row>
    <row r="675" spans="3:13" x14ac:dyDescent="0.2"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</row>
    <row r="676" spans="3:13" x14ac:dyDescent="0.2"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</row>
    <row r="677" spans="3:13" x14ac:dyDescent="0.2"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</row>
    <row r="678" spans="3:13" x14ac:dyDescent="0.2"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</row>
    <row r="679" spans="3:13" x14ac:dyDescent="0.2"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</row>
    <row r="680" spans="3:13" x14ac:dyDescent="0.2"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</row>
    <row r="681" spans="3:13" x14ac:dyDescent="0.2"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</row>
    <row r="682" spans="3:13" x14ac:dyDescent="0.2"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</row>
    <row r="683" spans="3:13" x14ac:dyDescent="0.2"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</row>
    <row r="684" spans="3:13" x14ac:dyDescent="0.2"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</row>
    <row r="685" spans="3:13" x14ac:dyDescent="0.2"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</row>
    <row r="686" spans="3:13" x14ac:dyDescent="0.2"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</row>
    <row r="687" spans="3:13" x14ac:dyDescent="0.2"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</row>
    <row r="688" spans="3:13" x14ac:dyDescent="0.2"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</row>
    <row r="689" spans="3:13" x14ac:dyDescent="0.2"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</row>
    <row r="690" spans="3:13" x14ac:dyDescent="0.2"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</row>
    <row r="691" spans="3:13" x14ac:dyDescent="0.2"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</row>
    <row r="692" spans="3:13" x14ac:dyDescent="0.2"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</row>
    <row r="693" spans="3:13" x14ac:dyDescent="0.2"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</row>
    <row r="694" spans="3:13" x14ac:dyDescent="0.2"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</row>
    <row r="695" spans="3:13" x14ac:dyDescent="0.2"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</row>
    <row r="696" spans="3:13" x14ac:dyDescent="0.2"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</row>
    <row r="697" spans="3:13" x14ac:dyDescent="0.2"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</row>
    <row r="698" spans="3:13" x14ac:dyDescent="0.2"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</row>
    <row r="699" spans="3:13" x14ac:dyDescent="0.2"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</row>
    <row r="700" spans="3:13" x14ac:dyDescent="0.2"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</row>
    <row r="701" spans="3:13" x14ac:dyDescent="0.2"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</row>
    <row r="702" spans="3:13" x14ac:dyDescent="0.2"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</row>
    <row r="703" spans="3:13" x14ac:dyDescent="0.2"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</row>
    <row r="704" spans="3:13" x14ac:dyDescent="0.2"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</row>
    <row r="705" spans="3:13" x14ac:dyDescent="0.2"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</row>
    <row r="706" spans="3:13" x14ac:dyDescent="0.2"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</row>
    <row r="707" spans="3:13" x14ac:dyDescent="0.2"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</row>
    <row r="708" spans="3:13" x14ac:dyDescent="0.2"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</row>
    <row r="709" spans="3:13" x14ac:dyDescent="0.2"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</row>
    <row r="710" spans="3:13" x14ac:dyDescent="0.2"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</row>
    <row r="711" spans="3:13" x14ac:dyDescent="0.2"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</row>
    <row r="712" spans="3:13" x14ac:dyDescent="0.2"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</row>
    <row r="713" spans="3:13" x14ac:dyDescent="0.2"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</row>
    <row r="714" spans="3:13" x14ac:dyDescent="0.2"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</row>
    <row r="715" spans="3:13" x14ac:dyDescent="0.2"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</row>
    <row r="716" spans="3:13" x14ac:dyDescent="0.2"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</row>
    <row r="717" spans="3:13" x14ac:dyDescent="0.2"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</row>
    <row r="718" spans="3:13" x14ac:dyDescent="0.2"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</row>
    <row r="719" spans="3:13" x14ac:dyDescent="0.2"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</row>
    <row r="720" spans="3:13" x14ac:dyDescent="0.2"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</row>
    <row r="721" spans="3:13" x14ac:dyDescent="0.2"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</row>
    <row r="722" spans="3:13" x14ac:dyDescent="0.2"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</row>
    <row r="723" spans="3:13" x14ac:dyDescent="0.2"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</row>
    <row r="724" spans="3:13" x14ac:dyDescent="0.2"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</row>
    <row r="725" spans="3:13" x14ac:dyDescent="0.2"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</row>
    <row r="726" spans="3:13" x14ac:dyDescent="0.2"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</row>
    <row r="727" spans="3:13" x14ac:dyDescent="0.2"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</row>
    <row r="728" spans="3:13" x14ac:dyDescent="0.2"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</row>
    <row r="729" spans="3:13" x14ac:dyDescent="0.2"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</row>
    <row r="730" spans="3:13" x14ac:dyDescent="0.2"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</row>
    <row r="731" spans="3:13" x14ac:dyDescent="0.2"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</row>
    <row r="732" spans="3:13" x14ac:dyDescent="0.2"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</row>
    <row r="733" spans="3:13" x14ac:dyDescent="0.2"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</row>
    <row r="734" spans="3:13" x14ac:dyDescent="0.2"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</row>
    <row r="735" spans="3:13" x14ac:dyDescent="0.2"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</row>
    <row r="736" spans="3:13" x14ac:dyDescent="0.2"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</row>
    <row r="737" spans="3:13" x14ac:dyDescent="0.2"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</row>
    <row r="738" spans="3:13" x14ac:dyDescent="0.2"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</row>
    <row r="739" spans="3:13" x14ac:dyDescent="0.2"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</row>
    <row r="740" spans="3:13" x14ac:dyDescent="0.2"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</row>
    <row r="741" spans="3:13" x14ac:dyDescent="0.2"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</row>
    <row r="742" spans="3:13" x14ac:dyDescent="0.2"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</row>
    <row r="743" spans="3:13" x14ac:dyDescent="0.2"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</row>
    <row r="744" spans="3:13" x14ac:dyDescent="0.2"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</row>
    <row r="745" spans="3:13" x14ac:dyDescent="0.2"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</row>
    <row r="746" spans="3:13" x14ac:dyDescent="0.2"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</row>
    <row r="747" spans="3:13" x14ac:dyDescent="0.2"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</row>
    <row r="748" spans="3:13" x14ac:dyDescent="0.2"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</row>
    <row r="749" spans="3:13" x14ac:dyDescent="0.2"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</row>
    <row r="750" spans="3:13" x14ac:dyDescent="0.2"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</row>
    <row r="751" spans="3:13" x14ac:dyDescent="0.2"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</row>
    <row r="752" spans="3:13" x14ac:dyDescent="0.2"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</row>
    <row r="753" spans="3:13" x14ac:dyDescent="0.2"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</row>
    <row r="754" spans="3:13" x14ac:dyDescent="0.2"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</row>
    <row r="755" spans="3:13" x14ac:dyDescent="0.2"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</row>
    <row r="756" spans="3:13" x14ac:dyDescent="0.2"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</row>
    <row r="757" spans="3:13" x14ac:dyDescent="0.2"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</row>
    <row r="758" spans="3:13" x14ac:dyDescent="0.2"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</row>
    <row r="759" spans="3:13" x14ac:dyDescent="0.2"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</row>
    <row r="760" spans="3:13" x14ac:dyDescent="0.2"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</row>
    <row r="761" spans="3:13" x14ac:dyDescent="0.2"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</row>
    <row r="762" spans="3:13" x14ac:dyDescent="0.2"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</row>
    <row r="763" spans="3:13" x14ac:dyDescent="0.2"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</row>
    <row r="764" spans="3:13" x14ac:dyDescent="0.2"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</row>
    <row r="765" spans="3:13" x14ac:dyDescent="0.2"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</row>
    <row r="766" spans="3:13" x14ac:dyDescent="0.2"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</row>
    <row r="767" spans="3:13" x14ac:dyDescent="0.2"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</row>
    <row r="768" spans="3:13" x14ac:dyDescent="0.2"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</row>
    <row r="769" spans="3:13" x14ac:dyDescent="0.2"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</row>
    <row r="770" spans="3:13" x14ac:dyDescent="0.2"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</row>
    <row r="771" spans="3:13" x14ac:dyDescent="0.2"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</row>
    <row r="772" spans="3:13" x14ac:dyDescent="0.2"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</row>
    <row r="773" spans="3:13" x14ac:dyDescent="0.2"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</row>
    <row r="774" spans="3:13" x14ac:dyDescent="0.2"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</row>
    <row r="775" spans="3:13" x14ac:dyDescent="0.2"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</row>
    <row r="776" spans="3:13" x14ac:dyDescent="0.2"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</row>
    <row r="777" spans="3:13" x14ac:dyDescent="0.2"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</row>
    <row r="778" spans="3:13" x14ac:dyDescent="0.2"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</row>
    <row r="779" spans="3:13" x14ac:dyDescent="0.2"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</row>
    <row r="780" spans="3:13" x14ac:dyDescent="0.2"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</row>
    <row r="781" spans="3:13" x14ac:dyDescent="0.2"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</row>
    <row r="782" spans="3:13" x14ac:dyDescent="0.2"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</row>
    <row r="783" spans="3:13" x14ac:dyDescent="0.2"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</row>
    <row r="784" spans="3:13" x14ac:dyDescent="0.2"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</row>
    <row r="785" spans="3:13" x14ac:dyDescent="0.2"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</row>
    <row r="786" spans="3:13" x14ac:dyDescent="0.2"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</row>
    <row r="787" spans="3:13" x14ac:dyDescent="0.2"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</row>
    <row r="788" spans="3:13" x14ac:dyDescent="0.2"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</row>
    <row r="789" spans="3:13" x14ac:dyDescent="0.2"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</row>
    <row r="790" spans="3:13" x14ac:dyDescent="0.2"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</row>
    <row r="791" spans="3:13" x14ac:dyDescent="0.2"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</row>
    <row r="792" spans="3:13" x14ac:dyDescent="0.2"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</row>
    <row r="793" spans="3:13" x14ac:dyDescent="0.2"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</row>
    <row r="794" spans="3:13" x14ac:dyDescent="0.2"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</row>
    <row r="795" spans="3:13" x14ac:dyDescent="0.2"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</row>
    <row r="796" spans="3:13" x14ac:dyDescent="0.2"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</row>
    <row r="797" spans="3:13" x14ac:dyDescent="0.2"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</row>
    <row r="798" spans="3:13" x14ac:dyDescent="0.2"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</row>
    <row r="799" spans="3:13" x14ac:dyDescent="0.2"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</row>
    <row r="800" spans="3:13" x14ac:dyDescent="0.2"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</row>
    <row r="801" spans="3:13" x14ac:dyDescent="0.2"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</row>
    <row r="802" spans="3:13" x14ac:dyDescent="0.2"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</row>
    <row r="803" spans="3:13" x14ac:dyDescent="0.2"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</row>
    <row r="804" spans="3:13" x14ac:dyDescent="0.2"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</row>
    <row r="805" spans="3:13" x14ac:dyDescent="0.2"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</row>
    <row r="806" spans="3:13" x14ac:dyDescent="0.2"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</row>
    <row r="807" spans="3:13" x14ac:dyDescent="0.2"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</row>
    <row r="808" spans="3:13" x14ac:dyDescent="0.2"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</row>
    <row r="809" spans="3:13" x14ac:dyDescent="0.2"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</row>
    <row r="810" spans="3:13" x14ac:dyDescent="0.2"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</row>
    <row r="811" spans="3:13" x14ac:dyDescent="0.2"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</row>
    <row r="812" spans="3:13" x14ac:dyDescent="0.2"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</row>
    <row r="813" spans="3:13" x14ac:dyDescent="0.2"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</row>
    <row r="814" spans="3:13" x14ac:dyDescent="0.2"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</row>
    <row r="815" spans="3:13" x14ac:dyDescent="0.2"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</row>
    <row r="816" spans="3:13" x14ac:dyDescent="0.2"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</row>
    <row r="817" spans="3:13" x14ac:dyDescent="0.2"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</row>
    <row r="818" spans="3:13" x14ac:dyDescent="0.2"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</row>
    <row r="819" spans="3:13" x14ac:dyDescent="0.2"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</row>
    <row r="820" spans="3:13" x14ac:dyDescent="0.2"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</row>
    <row r="821" spans="3:13" x14ac:dyDescent="0.2"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</row>
    <row r="822" spans="3:13" x14ac:dyDescent="0.2"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</row>
    <row r="823" spans="3:13" x14ac:dyDescent="0.2"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</row>
    <row r="824" spans="3:13" x14ac:dyDescent="0.2"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</row>
    <row r="825" spans="3:13" x14ac:dyDescent="0.2"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</row>
    <row r="826" spans="3:13" x14ac:dyDescent="0.2"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</row>
    <row r="827" spans="3:13" x14ac:dyDescent="0.2"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</row>
    <row r="828" spans="3:13" x14ac:dyDescent="0.2">
      <c r="C828" s="48"/>
      <c r="D828" s="48"/>
      <c r="E828" s="48"/>
      <c r="F828" s="48"/>
      <c r="G828" s="48"/>
      <c r="H828" s="48"/>
      <c r="I828" s="48"/>
      <c r="J828" s="48"/>
      <c r="K828" s="48"/>
      <c r="L828" s="48"/>
      <c r="M828" s="48"/>
    </row>
    <row r="829" spans="3:13" x14ac:dyDescent="0.2"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8"/>
    </row>
    <row r="830" spans="3:13" x14ac:dyDescent="0.2">
      <c r="C830" s="48"/>
      <c r="D830" s="48"/>
      <c r="E830" s="48"/>
      <c r="F830" s="48"/>
      <c r="G830" s="48"/>
      <c r="H830" s="48"/>
      <c r="I830" s="48"/>
      <c r="J830" s="48"/>
      <c r="K830" s="48"/>
      <c r="L830" s="48"/>
      <c r="M830" s="48"/>
    </row>
    <row r="831" spans="3:13" x14ac:dyDescent="0.2"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8"/>
    </row>
    <row r="832" spans="3:13" x14ac:dyDescent="0.2">
      <c r="C832" s="48"/>
      <c r="D832" s="48"/>
      <c r="E832" s="48"/>
      <c r="F832" s="48"/>
      <c r="G832" s="48"/>
      <c r="H832" s="48"/>
      <c r="I832" s="48"/>
      <c r="J832" s="48"/>
      <c r="K832" s="48"/>
      <c r="L832" s="48"/>
      <c r="M832" s="48"/>
    </row>
    <row r="833" spans="3:13" x14ac:dyDescent="0.2"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8"/>
    </row>
    <row r="834" spans="3:13" x14ac:dyDescent="0.2">
      <c r="C834" s="48"/>
      <c r="D834" s="48"/>
      <c r="E834" s="48"/>
      <c r="F834" s="48"/>
      <c r="G834" s="48"/>
      <c r="H834" s="48"/>
      <c r="I834" s="48"/>
      <c r="J834" s="48"/>
      <c r="K834" s="48"/>
      <c r="L834" s="48"/>
      <c r="M834" s="48"/>
    </row>
    <row r="835" spans="3:13" x14ac:dyDescent="0.2"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8"/>
    </row>
    <row r="836" spans="3:13" x14ac:dyDescent="0.2">
      <c r="C836" s="48"/>
      <c r="D836" s="48"/>
      <c r="E836" s="48"/>
      <c r="F836" s="48"/>
      <c r="G836" s="48"/>
      <c r="H836" s="48"/>
      <c r="I836" s="48"/>
      <c r="J836" s="48"/>
      <c r="K836" s="48"/>
      <c r="L836" s="48"/>
      <c r="M836" s="48"/>
    </row>
    <row r="837" spans="3:13" x14ac:dyDescent="0.2"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8"/>
    </row>
    <row r="838" spans="3:13" x14ac:dyDescent="0.2">
      <c r="C838" s="48"/>
      <c r="D838" s="48"/>
      <c r="E838" s="48"/>
      <c r="F838" s="48"/>
      <c r="G838" s="48"/>
      <c r="H838" s="48"/>
      <c r="I838" s="48"/>
      <c r="J838" s="48"/>
      <c r="K838" s="48"/>
      <c r="L838" s="48"/>
      <c r="M838" s="48"/>
    </row>
    <row r="839" spans="3:13" x14ac:dyDescent="0.2"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8"/>
    </row>
    <row r="840" spans="3:13" x14ac:dyDescent="0.2">
      <c r="C840" s="48"/>
      <c r="D840" s="48"/>
      <c r="E840" s="48"/>
      <c r="F840" s="48"/>
      <c r="G840" s="48"/>
      <c r="H840" s="48"/>
      <c r="I840" s="48"/>
      <c r="J840" s="48"/>
      <c r="K840" s="48"/>
      <c r="L840" s="48"/>
      <c r="M840" s="48"/>
    </row>
    <row r="841" spans="3:13" x14ac:dyDescent="0.2"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</row>
    <row r="842" spans="3:13" x14ac:dyDescent="0.2">
      <c r="C842" s="48"/>
      <c r="D842" s="48"/>
      <c r="E842" s="48"/>
      <c r="F842" s="48"/>
      <c r="G842" s="48"/>
      <c r="H842" s="48"/>
      <c r="I842" s="48"/>
      <c r="J842" s="48"/>
      <c r="K842" s="48"/>
      <c r="L842" s="48"/>
      <c r="M842" s="48"/>
    </row>
    <row r="843" spans="3:13" x14ac:dyDescent="0.2"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</row>
    <row r="844" spans="3:13" x14ac:dyDescent="0.2"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</row>
    <row r="845" spans="3:13" x14ac:dyDescent="0.2"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</row>
    <row r="846" spans="3:13" x14ac:dyDescent="0.2"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</row>
    <row r="847" spans="3:13" x14ac:dyDescent="0.2"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</row>
    <row r="848" spans="3:13" x14ac:dyDescent="0.2"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</row>
    <row r="849" spans="3:13" x14ac:dyDescent="0.2"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</row>
    <row r="850" spans="3:13" x14ac:dyDescent="0.2"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</row>
    <row r="851" spans="3:13" x14ac:dyDescent="0.2"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</row>
    <row r="852" spans="3:13" x14ac:dyDescent="0.2"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</row>
    <row r="853" spans="3:13" x14ac:dyDescent="0.2"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</row>
    <row r="854" spans="3:13" x14ac:dyDescent="0.2"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</row>
    <row r="855" spans="3:13" x14ac:dyDescent="0.2"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</row>
    <row r="856" spans="3:13" x14ac:dyDescent="0.2"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</row>
    <row r="857" spans="3:13" x14ac:dyDescent="0.2"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</row>
    <row r="858" spans="3:13" x14ac:dyDescent="0.2">
      <c r="C858" s="48"/>
      <c r="D858" s="48"/>
      <c r="E858" s="48"/>
      <c r="F858" s="48"/>
      <c r="G858" s="48"/>
      <c r="H858" s="48"/>
      <c r="I858" s="48"/>
      <c r="J858" s="48"/>
      <c r="K858" s="48"/>
      <c r="L858" s="48"/>
      <c r="M858" s="48"/>
    </row>
    <row r="859" spans="3:13" x14ac:dyDescent="0.2"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8"/>
    </row>
    <row r="860" spans="3:13" x14ac:dyDescent="0.2">
      <c r="C860" s="48"/>
      <c r="D860" s="48"/>
      <c r="E860" s="48"/>
      <c r="F860" s="48"/>
      <c r="G860" s="48"/>
      <c r="H860" s="48"/>
      <c r="I860" s="48"/>
      <c r="J860" s="48"/>
      <c r="K860" s="48"/>
      <c r="L860" s="48"/>
      <c r="M860" s="48"/>
    </row>
    <row r="861" spans="3:13" x14ac:dyDescent="0.2"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8"/>
    </row>
    <row r="862" spans="3:13" x14ac:dyDescent="0.2">
      <c r="C862" s="48"/>
      <c r="D862" s="48"/>
      <c r="E862" s="48"/>
      <c r="F862" s="48"/>
      <c r="G862" s="48"/>
      <c r="H862" s="48"/>
      <c r="I862" s="48"/>
      <c r="J862" s="48"/>
      <c r="K862" s="48"/>
      <c r="L862" s="48"/>
      <c r="M862" s="48"/>
    </row>
    <row r="863" spans="3:13" x14ac:dyDescent="0.2"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8"/>
    </row>
    <row r="864" spans="3:13" x14ac:dyDescent="0.2">
      <c r="C864" s="48"/>
      <c r="D864" s="48"/>
      <c r="E864" s="48"/>
      <c r="F864" s="48"/>
      <c r="G864" s="48"/>
      <c r="H864" s="48"/>
      <c r="I864" s="48"/>
      <c r="J864" s="48"/>
      <c r="K864" s="48"/>
      <c r="L864" s="48"/>
      <c r="M864" s="48"/>
    </row>
    <row r="865" spans="3:13" x14ac:dyDescent="0.2"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8"/>
    </row>
    <row r="866" spans="3:13" x14ac:dyDescent="0.2"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</row>
    <row r="867" spans="3:13" x14ac:dyDescent="0.2"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</row>
    <row r="868" spans="3:13" x14ac:dyDescent="0.2">
      <c r="C868" s="48"/>
      <c r="D868" s="48"/>
      <c r="E868" s="48"/>
      <c r="F868" s="48"/>
      <c r="G868" s="48"/>
      <c r="H868" s="48"/>
      <c r="I868" s="48"/>
      <c r="J868" s="48"/>
      <c r="K868" s="48"/>
      <c r="L868" s="48"/>
      <c r="M868" s="48"/>
    </row>
    <row r="869" spans="3:13" x14ac:dyDescent="0.2">
      <c r="C869" s="48"/>
      <c r="D869" s="48"/>
      <c r="E869" s="48"/>
      <c r="F869" s="48"/>
      <c r="G869" s="48"/>
      <c r="H869" s="48"/>
      <c r="I869" s="48"/>
      <c r="J869" s="48"/>
      <c r="K869" s="48"/>
      <c r="L869" s="48"/>
      <c r="M869" s="48"/>
    </row>
    <row r="870" spans="3:13" x14ac:dyDescent="0.2">
      <c r="C870" s="48"/>
      <c r="D870" s="48"/>
      <c r="E870" s="48"/>
      <c r="F870" s="48"/>
      <c r="G870" s="48"/>
      <c r="H870" s="48"/>
      <c r="I870" s="48"/>
      <c r="J870" s="48"/>
      <c r="K870" s="48"/>
      <c r="L870" s="48"/>
      <c r="M870" s="48"/>
    </row>
    <row r="871" spans="3:13" x14ac:dyDescent="0.2">
      <c r="C871" s="48"/>
      <c r="D871" s="48"/>
      <c r="E871" s="48"/>
      <c r="F871" s="48"/>
      <c r="G871" s="48"/>
      <c r="H871" s="48"/>
      <c r="I871" s="48"/>
      <c r="J871" s="48"/>
      <c r="K871" s="48"/>
      <c r="L871" s="48"/>
      <c r="M871" s="48"/>
    </row>
    <row r="872" spans="3:13" x14ac:dyDescent="0.2">
      <c r="C872" s="48"/>
      <c r="D872" s="48"/>
      <c r="E872" s="48"/>
      <c r="F872" s="48"/>
      <c r="G872" s="48"/>
      <c r="H872" s="48"/>
      <c r="I872" s="48"/>
      <c r="J872" s="48"/>
      <c r="K872" s="48"/>
      <c r="L872" s="48"/>
      <c r="M872" s="48"/>
    </row>
    <row r="873" spans="3:13" x14ac:dyDescent="0.2">
      <c r="C873" s="48"/>
      <c r="D873" s="48"/>
      <c r="E873" s="48"/>
      <c r="F873" s="48"/>
      <c r="G873" s="48"/>
      <c r="H873" s="48"/>
      <c r="I873" s="48"/>
      <c r="J873" s="48"/>
      <c r="K873" s="48"/>
      <c r="L873" s="48"/>
      <c r="M873" s="48"/>
    </row>
    <row r="874" spans="3:13" x14ac:dyDescent="0.2">
      <c r="C874" s="48"/>
      <c r="D874" s="48"/>
      <c r="E874" s="48"/>
      <c r="F874" s="48"/>
      <c r="G874" s="48"/>
      <c r="H874" s="48"/>
      <c r="I874" s="48"/>
      <c r="J874" s="48"/>
      <c r="K874" s="48"/>
      <c r="L874" s="48"/>
      <c r="M874" s="48"/>
    </row>
    <row r="875" spans="3:13" x14ac:dyDescent="0.2">
      <c r="C875" s="48"/>
      <c r="D875" s="48"/>
      <c r="E875" s="48"/>
      <c r="F875" s="48"/>
      <c r="G875" s="48"/>
      <c r="H875" s="48"/>
      <c r="I875" s="48"/>
      <c r="J875" s="48"/>
      <c r="K875" s="48"/>
      <c r="L875" s="48"/>
      <c r="M875" s="48"/>
    </row>
    <row r="876" spans="3:13" x14ac:dyDescent="0.2">
      <c r="C876" s="48"/>
      <c r="D876" s="48"/>
      <c r="E876" s="48"/>
      <c r="F876" s="48"/>
      <c r="G876" s="48"/>
      <c r="H876" s="48"/>
      <c r="I876" s="48"/>
      <c r="J876" s="48"/>
      <c r="K876" s="48"/>
      <c r="L876" s="48"/>
      <c r="M876" s="48"/>
    </row>
    <row r="877" spans="3:13" x14ac:dyDescent="0.2">
      <c r="C877" s="48"/>
      <c r="D877" s="48"/>
      <c r="E877" s="48"/>
      <c r="F877" s="48"/>
      <c r="G877" s="48"/>
      <c r="H877" s="48"/>
      <c r="I877" s="48"/>
      <c r="J877" s="48"/>
      <c r="K877" s="48"/>
      <c r="L877" s="48"/>
      <c r="M877" s="48"/>
    </row>
    <row r="878" spans="3:13" x14ac:dyDescent="0.2">
      <c r="C878" s="48"/>
      <c r="D878" s="48"/>
      <c r="E878" s="48"/>
      <c r="F878" s="48"/>
      <c r="G878" s="48"/>
      <c r="H878" s="48"/>
      <c r="I878" s="48"/>
      <c r="J878" s="48"/>
      <c r="K878" s="48"/>
      <c r="L878" s="48"/>
      <c r="M878" s="48"/>
    </row>
    <row r="879" spans="3:13" x14ac:dyDescent="0.2">
      <c r="C879" s="48"/>
      <c r="D879" s="48"/>
      <c r="E879" s="48"/>
      <c r="F879" s="48"/>
      <c r="G879" s="48"/>
      <c r="H879" s="48"/>
      <c r="I879" s="48"/>
      <c r="J879" s="48"/>
      <c r="K879" s="48"/>
      <c r="L879" s="48"/>
      <c r="M879" s="48"/>
    </row>
    <row r="880" spans="3:13" x14ac:dyDescent="0.2">
      <c r="C880" s="48"/>
      <c r="D880" s="48"/>
      <c r="E880" s="48"/>
      <c r="F880" s="48"/>
      <c r="G880" s="48"/>
      <c r="H880" s="48"/>
      <c r="I880" s="48"/>
      <c r="J880" s="48"/>
      <c r="K880" s="48"/>
      <c r="L880" s="48"/>
      <c r="M880" s="48"/>
    </row>
    <row r="881" spans="3:13" x14ac:dyDescent="0.2">
      <c r="C881" s="48"/>
      <c r="D881" s="48"/>
      <c r="E881" s="48"/>
      <c r="F881" s="48"/>
      <c r="G881" s="48"/>
      <c r="H881" s="48"/>
      <c r="I881" s="48"/>
      <c r="J881" s="48"/>
      <c r="K881" s="48"/>
      <c r="L881" s="48"/>
      <c r="M881" s="48"/>
    </row>
    <row r="882" spans="3:13" x14ac:dyDescent="0.2">
      <c r="C882" s="48"/>
      <c r="D882" s="48"/>
      <c r="E882" s="48"/>
      <c r="F882" s="48"/>
      <c r="G882" s="48"/>
      <c r="H882" s="48"/>
      <c r="I882" s="48"/>
      <c r="J882" s="48"/>
      <c r="K882" s="48"/>
      <c r="L882" s="48"/>
      <c r="M882" s="48"/>
    </row>
    <row r="883" spans="3:13" x14ac:dyDescent="0.2">
      <c r="C883" s="48"/>
      <c r="D883" s="48"/>
      <c r="E883" s="48"/>
      <c r="F883" s="48"/>
      <c r="G883" s="48"/>
      <c r="H883" s="48"/>
      <c r="I883" s="48"/>
      <c r="J883" s="48"/>
      <c r="K883" s="48"/>
      <c r="L883" s="48"/>
      <c r="M883" s="48"/>
    </row>
    <row r="884" spans="3:13" x14ac:dyDescent="0.2">
      <c r="C884" s="48"/>
      <c r="D884" s="48"/>
      <c r="E884" s="48"/>
      <c r="F884" s="48"/>
      <c r="G884" s="48"/>
      <c r="H884" s="48"/>
      <c r="I884" s="48"/>
      <c r="J884" s="48"/>
      <c r="K884" s="48"/>
      <c r="L884" s="48"/>
      <c r="M884" s="48"/>
    </row>
    <row r="885" spans="3:13" x14ac:dyDescent="0.2">
      <c r="C885" s="48"/>
      <c r="D885" s="48"/>
      <c r="E885" s="48"/>
      <c r="F885" s="48"/>
      <c r="G885" s="48"/>
      <c r="H885" s="48"/>
      <c r="I885" s="48"/>
      <c r="J885" s="48"/>
      <c r="K885" s="48"/>
      <c r="L885" s="48"/>
      <c r="M885" s="48"/>
    </row>
    <row r="886" spans="3:13" x14ac:dyDescent="0.2">
      <c r="C886" s="48"/>
      <c r="D886" s="48"/>
      <c r="E886" s="48"/>
      <c r="F886" s="48"/>
      <c r="G886" s="48"/>
      <c r="H886" s="48"/>
      <c r="I886" s="48"/>
      <c r="J886" s="48"/>
      <c r="K886" s="48"/>
      <c r="L886" s="48"/>
      <c r="M886" s="48"/>
    </row>
    <row r="887" spans="3:13" x14ac:dyDescent="0.2">
      <c r="C887" s="48"/>
      <c r="D887" s="48"/>
      <c r="E887" s="48"/>
      <c r="F887" s="48"/>
      <c r="G887" s="48"/>
      <c r="H887" s="48"/>
      <c r="I887" s="48"/>
      <c r="J887" s="48"/>
      <c r="K887" s="48"/>
      <c r="L887" s="48"/>
      <c r="M887" s="48"/>
    </row>
    <row r="888" spans="3:13" x14ac:dyDescent="0.2">
      <c r="C888" s="48"/>
      <c r="D888" s="48"/>
      <c r="E888" s="48"/>
      <c r="F888" s="48"/>
      <c r="G888" s="48"/>
      <c r="H888" s="48"/>
      <c r="I888" s="48"/>
      <c r="J888" s="48"/>
      <c r="K888" s="48"/>
      <c r="L888" s="48"/>
      <c r="M888" s="48"/>
    </row>
    <row r="889" spans="3:13" x14ac:dyDescent="0.2">
      <c r="C889" s="48"/>
      <c r="D889" s="48"/>
      <c r="E889" s="48"/>
      <c r="F889" s="48"/>
      <c r="G889" s="48"/>
      <c r="H889" s="48"/>
      <c r="I889" s="48"/>
      <c r="J889" s="48"/>
      <c r="K889" s="48"/>
      <c r="L889" s="48"/>
      <c r="M889" s="48"/>
    </row>
    <row r="890" spans="3:13" x14ac:dyDescent="0.2">
      <c r="C890" s="48"/>
      <c r="D890" s="48"/>
      <c r="E890" s="48"/>
      <c r="F890" s="48"/>
      <c r="G890" s="48"/>
      <c r="H890" s="48"/>
      <c r="I890" s="48"/>
      <c r="J890" s="48"/>
      <c r="K890" s="48"/>
      <c r="L890" s="48"/>
      <c r="M890" s="48"/>
    </row>
    <row r="891" spans="3:13" x14ac:dyDescent="0.2">
      <c r="C891" s="48"/>
      <c r="D891" s="48"/>
      <c r="E891" s="48"/>
      <c r="F891" s="48"/>
      <c r="G891" s="48"/>
      <c r="H891" s="48"/>
      <c r="I891" s="48"/>
      <c r="J891" s="48"/>
      <c r="K891" s="48"/>
      <c r="L891" s="48"/>
      <c r="M891" s="48"/>
    </row>
    <row r="892" spans="3:13" x14ac:dyDescent="0.2">
      <c r="C892" s="48"/>
      <c r="D892" s="48"/>
      <c r="E892" s="48"/>
      <c r="F892" s="48"/>
      <c r="G892" s="48"/>
      <c r="H892" s="48"/>
      <c r="I892" s="48"/>
      <c r="J892" s="48"/>
      <c r="K892" s="48"/>
      <c r="L892" s="48"/>
      <c r="M892" s="48"/>
    </row>
    <row r="893" spans="3:13" x14ac:dyDescent="0.2">
      <c r="C893" s="48"/>
      <c r="D893" s="48"/>
      <c r="E893" s="48"/>
      <c r="F893" s="48"/>
      <c r="G893" s="48"/>
      <c r="H893" s="48"/>
      <c r="I893" s="48"/>
      <c r="J893" s="48"/>
      <c r="K893" s="48"/>
      <c r="L893" s="48"/>
      <c r="M893" s="48"/>
    </row>
    <row r="894" spans="3:13" x14ac:dyDescent="0.2">
      <c r="C894" s="48"/>
      <c r="D894" s="48"/>
      <c r="E894" s="48"/>
      <c r="F894" s="48"/>
      <c r="G894" s="48"/>
      <c r="H894" s="48"/>
      <c r="I894" s="48"/>
      <c r="J894" s="48"/>
      <c r="K894" s="48"/>
      <c r="L894" s="48"/>
      <c r="M894" s="48"/>
    </row>
    <row r="895" spans="3:13" x14ac:dyDescent="0.2">
      <c r="C895" s="48"/>
      <c r="D895" s="48"/>
      <c r="E895" s="48"/>
      <c r="F895" s="48"/>
      <c r="G895" s="48"/>
      <c r="H895" s="48"/>
      <c r="I895" s="48"/>
      <c r="J895" s="48"/>
      <c r="K895" s="48"/>
      <c r="L895" s="48"/>
      <c r="M895" s="48"/>
    </row>
    <row r="896" spans="3:13" x14ac:dyDescent="0.2">
      <c r="C896" s="48"/>
      <c r="D896" s="48"/>
      <c r="E896" s="48"/>
      <c r="F896" s="48"/>
      <c r="G896" s="48"/>
      <c r="H896" s="48"/>
      <c r="I896" s="48"/>
      <c r="J896" s="48"/>
      <c r="K896" s="48"/>
      <c r="L896" s="48"/>
      <c r="M896" s="48"/>
    </row>
    <row r="897" spans="3:13" x14ac:dyDescent="0.2">
      <c r="C897" s="48"/>
      <c r="D897" s="48"/>
      <c r="E897" s="48"/>
      <c r="F897" s="48"/>
      <c r="G897" s="48"/>
      <c r="H897" s="48"/>
      <c r="I897" s="48"/>
      <c r="J897" s="48"/>
      <c r="K897" s="48"/>
      <c r="L897" s="48"/>
      <c r="M897" s="48"/>
    </row>
    <row r="898" spans="3:13" x14ac:dyDescent="0.2">
      <c r="C898" s="48"/>
      <c r="D898" s="48"/>
      <c r="E898" s="48"/>
      <c r="F898" s="48"/>
      <c r="G898" s="48"/>
      <c r="H898" s="48"/>
      <c r="I898" s="48"/>
      <c r="J898" s="48"/>
      <c r="K898" s="48"/>
      <c r="L898" s="48"/>
      <c r="M898" s="48"/>
    </row>
    <row r="899" spans="3:13" x14ac:dyDescent="0.2">
      <c r="C899" s="48"/>
      <c r="D899" s="48"/>
      <c r="E899" s="48"/>
      <c r="F899" s="48"/>
      <c r="G899" s="48"/>
      <c r="H899" s="48"/>
      <c r="I899" s="48"/>
      <c r="J899" s="48"/>
      <c r="K899" s="48"/>
      <c r="L899" s="48"/>
      <c r="M899" s="48"/>
    </row>
    <row r="900" spans="3:13" x14ac:dyDescent="0.2">
      <c r="C900" s="48"/>
      <c r="D900" s="48"/>
      <c r="E900" s="48"/>
      <c r="F900" s="48"/>
      <c r="G900" s="48"/>
      <c r="H900" s="48"/>
      <c r="I900" s="48"/>
      <c r="J900" s="48"/>
      <c r="K900" s="48"/>
      <c r="L900" s="48"/>
      <c r="M900" s="48"/>
    </row>
    <row r="901" spans="3:13" x14ac:dyDescent="0.2">
      <c r="C901" s="48"/>
      <c r="D901" s="48"/>
      <c r="E901" s="48"/>
      <c r="F901" s="48"/>
      <c r="G901" s="48"/>
      <c r="H901" s="48"/>
      <c r="I901" s="48"/>
      <c r="J901" s="48"/>
      <c r="K901" s="48"/>
      <c r="L901" s="48"/>
      <c r="M901" s="48"/>
    </row>
    <row r="902" spans="3:13" x14ac:dyDescent="0.2">
      <c r="C902" s="48"/>
      <c r="D902" s="48"/>
      <c r="E902" s="48"/>
      <c r="F902" s="48"/>
      <c r="G902" s="48"/>
      <c r="H902" s="48"/>
      <c r="I902" s="48"/>
      <c r="J902" s="48"/>
      <c r="K902" s="48"/>
      <c r="L902" s="48"/>
      <c r="M902" s="48"/>
    </row>
    <row r="903" spans="3:13" x14ac:dyDescent="0.2">
      <c r="C903" s="48"/>
      <c r="D903" s="48"/>
      <c r="E903" s="48"/>
      <c r="F903" s="48"/>
      <c r="G903" s="48"/>
      <c r="H903" s="48"/>
      <c r="I903" s="48"/>
      <c r="J903" s="48"/>
      <c r="K903" s="48"/>
      <c r="L903" s="48"/>
      <c r="M903" s="48"/>
    </row>
    <row r="904" spans="3:13" x14ac:dyDescent="0.2">
      <c r="C904" s="48"/>
      <c r="D904" s="48"/>
      <c r="E904" s="48"/>
      <c r="F904" s="48"/>
      <c r="G904" s="48"/>
      <c r="H904" s="48"/>
      <c r="I904" s="48"/>
      <c r="J904" s="48"/>
      <c r="K904" s="48"/>
      <c r="L904" s="48"/>
      <c r="M904" s="48"/>
    </row>
    <row r="905" spans="3:13" x14ac:dyDescent="0.2">
      <c r="C905" s="48"/>
      <c r="D905" s="48"/>
      <c r="E905" s="48"/>
      <c r="F905" s="48"/>
      <c r="G905" s="48"/>
      <c r="H905" s="48"/>
      <c r="I905" s="48"/>
      <c r="J905" s="48"/>
      <c r="K905" s="48"/>
      <c r="L905" s="48"/>
      <c r="M905" s="48"/>
    </row>
    <row r="906" spans="3:13" x14ac:dyDescent="0.2">
      <c r="C906" s="48"/>
      <c r="D906" s="48"/>
      <c r="E906" s="48"/>
      <c r="F906" s="48"/>
      <c r="G906" s="48"/>
      <c r="H906" s="48"/>
      <c r="I906" s="48"/>
      <c r="J906" s="48"/>
      <c r="K906" s="48"/>
      <c r="L906" s="48"/>
      <c r="M906" s="48"/>
    </row>
    <row r="907" spans="3:13" x14ac:dyDescent="0.2">
      <c r="C907" s="48"/>
      <c r="D907" s="48"/>
      <c r="E907" s="48"/>
      <c r="F907" s="48"/>
      <c r="G907" s="48"/>
      <c r="H907" s="48"/>
      <c r="I907" s="48"/>
      <c r="J907" s="48"/>
      <c r="K907" s="48"/>
      <c r="L907" s="48"/>
      <c r="M907" s="48"/>
    </row>
    <row r="908" spans="3:13" x14ac:dyDescent="0.2">
      <c r="C908" s="48"/>
      <c r="D908" s="48"/>
      <c r="E908" s="48"/>
      <c r="F908" s="48"/>
      <c r="G908" s="48"/>
      <c r="H908" s="48"/>
      <c r="I908" s="48"/>
      <c r="J908" s="48"/>
      <c r="K908" s="48"/>
      <c r="L908" s="48"/>
      <c r="M908" s="48"/>
    </row>
    <row r="909" spans="3:13" x14ac:dyDescent="0.2">
      <c r="C909" s="48"/>
      <c r="D909" s="48"/>
      <c r="E909" s="48"/>
      <c r="F909" s="48"/>
      <c r="G909" s="48"/>
      <c r="H909" s="48"/>
      <c r="I909" s="48"/>
      <c r="J909" s="48"/>
      <c r="K909" s="48"/>
      <c r="L909" s="48"/>
      <c r="M909" s="48"/>
    </row>
    <row r="910" spans="3:13" x14ac:dyDescent="0.2">
      <c r="C910" s="48"/>
      <c r="D910" s="48"/>
      <c r="E910" s="48"/>
      <c r="F910" s="48"/>
      <c r="G910" s="48"/>
      <c r="H910" s="48"/>
      <c r="I910" s="48"/>
      <c r="J910" s="48"/>
      <c r="K910" s="48"/>
      <c r="L910" s="48"/>
      <c r="M910" s="48"/>
    </row>
    <row r="911" spans="3:13" x14ac:dyDescent="0.2">
      <c r="C911" s="48"/>
      <c r="D911" s="48"/>
      <c r="E911" s="48"/>
      <c r="F911" s="48"/>
      <c r="G911" s="48"/>
      <c r="H911" s="48"/>
      <c r="I911" s="48"/>
      <c r="J911" s="48"/>
      <c r="K911" s="48"/>
      <c r="L911" s="48"/>
      <c r="M911" s="48"/>
    </row>
    <row r="912" spans="3:13" x14ac:dyDescent="0.2">
      <c r="C912" s="48"/>
      <c r="D912" s="48"/>
      <c r="E912" s="48"/>
      <c r="F912" s="48"/>
      <c r="G912" s="48"/>
      <c r="H912" s="48"/>
      <c r="I912" s="48"/>
      <c r="J912" s="48"/>
      <c r="K912" s="48"/>
      <c r="L912" s="48"/>
      <c r="M912" s="48"/>
    </row>
    <row r="913" spans="3:13" x14ac:dyDescent="0.2">
      <c r="C913" s="48"/>
      <c r="D913" s="48"/>
      <c r="E913" s="48"/>
      <c r="F913" s="48"/>
      <c r="G913" s="48"/>
      <c r="H913" s="48"/>
      <c r="I913" s="48"/>
      <c r="J913" s="48"/>
      <c r="K913" s="48"/>
      <c r="L913" s="48"/>
      <c r="M913" s="48"/>
    </row>
    <row r="914" spans="3:13" x14ac:dyDescent="0.2">
      <c r="C914" s="48"/>
      <c r="D914" s="48"/>
      <c r="E914" s="48"/>
      <c r="F914" s="48"/>
      <c r="G914" s="48"/>
      <c r="H914" s="48"/>
      <c r="I914" s="48"/>
      <c r="J914" s="48"/>
      <c r="K914" s="48"/>
      <c r="L914" s="48"/>
      <c r="M914" s="48"/>
    </row>
    <row r="915" spans="3:13" x14ac:dyDescent="0.2">
      <c r="C915" s="48"/>
      <c r="D915" s="48"/>
      <c r="E915" s="48"/>
      <c r="F915" s="48"/>
      <c r="G915" s="48"/>
      <c r="H915" s="48"/>
      <c r="I915" s="48"/>
      <c r="J915" s="48"/>
      <c r="K915" s="48"/>
      <c r="L915" s="48"/>
      <c r="M915" s="48"/>
    </row>
    <row r="916" spans="3:13" x14ac:dyDescent="0.2">
      <c r="C916" s="48"/>
      <c r="D916" s="48"/>
      <c r="E916" s="48"/>
      <c r="F916" s="48"/>
      <c r="G916" s="48"/>
      <c r="H916" s="48"/>
      <c r="I916" s="48"/>
      <c r="J916" s="48"/>
      <c r="K916" s="48"/>
      <c r="L916" s="48"/>
      <c r="M916" s="48"/>
    </row>
    <row r="917" spans="3:13" x14ac:dyDescent="0.2">
      <c r="C917" s="48"/>
      <c r="D917" s="48"/>
      <c r="E917" s="48"/>
      <c r="F917" s="48"/>
      <c r="G917" s="48"/>
      <c r="H917" s="48"/>
      <c r="I917" s="48"/>
      <c r="J917" s="48"/>
      <c r="K917" s="48"/>
      <c r="L917" s="48"/>
      <c r="M917" s="48"/>
    </row>
    <row r="918" spans="3:13" x14ac:dyDescent="0.2">
      <c r="C918" s="48"/>
      <c r="D918" s="48"/>
      <c r="E918" s="48"/>
      <c r="F918" s="48"/>
      <c r="G918" s="48"/>
      <c r="H918" s="48"/>
      <c r="I918" s="48"/>
      <c r="J918" s="48"/>
      <c r="K918" s="48"/>
      <c r="L918" s="48"/>
      <c r="M918" s="48"/>
    </row>
    <row r="919" spans="3:13" x14ac:dyDescent="0.2">
      <c r="C919" s="48"/>
      <c r="D919" s="48"/>
      <c r="E919" s="48"/>
      <c r="F919" s="48"/>
      <c r="G919" s="48"/>
      <c r="H919" s="48"/>
      <c r="I919" s="48"/>
      <c r="J919" s="48"/>
      <c r="K919" s="48"/>
      <c r="L919" s="48"/>
      <c r="M919" s="48"/>
    </row>
    <row r="920" spans="3:13" x14ac:dyDescent="0.2">
      <c r="C920" s="48"/>
      <c r="D920" s="48"/>
      <c r="E920" s="48"/>
      <c r="F920" s="48"/>
      <c r="G920" s="48"/>
      <c r="H920" s="48"/>
      <c r="I920" s="48"/>
      <c r="J920" s="48"/>
      <c r="K920" s="48"/>
      <c r="L920" s="48"/>
      <c r="M920" s="48"/>
    </row>
    <row r="921" spans="3:13" x14ac:dyDescent="0.2">
      <c r="C921" s="48"/>
      <c r="D921" s="48"/>
      <c r="E921" s="48"/>
      <c r="F921" s="48"/>
      <c r="G921" s="48"/>
      <c r="H921" s="48"/>
      <c r="I921" s="48"/>
      <c r="J921" s="48"/>
      <c r="K921" s="48"/>
      <c r="L921" s="48"/>
      <c r="M921" s="48"/>
    </row>
    <row r="922" spans="3:13" x14ac:dyDescent="0.2">
      <c r="C922" s="48"/>
      <c r="D922" s="48"/>
      <c r="E922" s="48"/>
      <c r="F922" s="48"/>
      <c r="G922" s="48"/>
      <c r="H922" s="48"/>
      <c r="I922" s="48"/>
      <c r="J922" s="48"/>
      <c r="K922" s="48"/>
      <c r="L922" s="48"/>
      <c r="M922" s="48"/>
    </row>
    <row r="923" spans="3:13" x14ac:dyDescent="0.2">
      <c r="C923" s="48"/>
      <c r="D923" s="48"/>
      <c r="E923" s="48"/>
      <c r="F923" s="48"/>
      <c r="G923" s="48"/>
      <c r="H923" s="48"/>
      <c r="I923" s="48"/>
      <c r="J923" s="48"/>
      <c r="K923" s="48"/>
      <c r="L923" s="48"/>
      <c r="M923" s="48"/>
    </row>
    <row r="924" spans="3:13" x14ac:dyDescent="0.2">
      <c r="C924" s="48"/>
      <c r="D924" s="48"/>
      <c r="E924" s="48"/>
      <c r="F924" s="48"/>
      <c r="G924" s="48"/>
      <c r="H924" s="48"/>
      <c r="I924" s="48"/>
      <c r="J924" s="48"/>
      <c r="K924" s="48"/>
      <c r="L924" s="48"/>
      <c r="M924" s="48"/>
    </row>
    <row r="925" spans="3:13" x14ac:dyDescent="0.2">
      <c r="C925" s="48"/>
      <c r="D925" s="48"/>
      <c r="E925" s="48"/>
      <c r="F925" s="48"/>
      <c r="G925" s="48"/>
      <c r="H925" s="48"/>
      <c r="I925" s="48"/>
      <c r="J925" s="48"/>
      <c r="K925" s="48"/>
      <c r="L925" s="48"/>
      <c r="M925" s="48"/>
    </row>
    <row r="926" spans="3:13" x14ac:dyDescent="0.2">
      <c r="C926" s="48"/>
      <c r="D926" s="48"/>
      <c r="E926" s="48"/>
      <c r="F926" s="48"/>
      <c r="G926" s="48"/>
      <c r="H926" s="48"/>
      <c r="I926" s="48"/>
      <c r="J926" s="48"/>
      <c r="K926" s="48"/>
      <c r="L926" s="48"/>
      <c r="M926" s="48"/>
    </row>
    <row r="927" spans="3:13" x14ac:dyDescent="0.2">
      <c r="C927" s="48"/>
      <c r="D927" s="48"/>
      <c r="E927" s="48"/>
      <c r="F927" s="48"/>
      <c r="G927" s="48"/>
      <c r="H927" s="48"/>
      <c r="I927" s="48"/>
      <c r="J927" s="48"/>
      <c r="K927" s="48"/>
      <c r="L927" s="48"/>
      <c r="M927" s="48"/>
    </row>
    <row r="928" spans="3:13" x14ac:dyDescent="0.2">
      <c r="C928" s="48"/>
      <c r="D928" s="48"/>
      <c r="E928" s="48"/>
      <c r="F928" s="48"/>
      <c r="G928" s="48"/>
      <c r="H928" s="48"/>
      <c r="I928" s="48"/>
      <c r="J928" s="48"/>
      <c r="K928" s="48"/>
      <c r="L928" s="48"/>
      <c r="M928" s="48"/>
    </row>
    <row r="929" spans="3:13" x14ac:dyDescent="0.2">
      <c r="C929" s="48"/>
      <c r="D929" s="48"/>
      <c r="E929" s="48"/>
      <c r="F929" s="48"/>
      <c r="G929" s="48"/>
      <c r="H929" s="48"/>
      <c r="I929" s="48"/>
      <c r="J929" s="48"/>
      <c r="K929" s="48"/>
      <c r="L929" s="48"/>
      <c r="M929" s="48"/>
    </row>
    <row r="930" spans="3:13" x14ac:dyDescent="0.2">
      <c r="C930" s="48"/>
      <c r="D930" s="48"/>
      <c r="E930" s="48"/>
      <c r="F930" s="48"/>
      <c r="G930" s="48"/>
      <c r="H930" s="48"/>
      <c r="I930" s="48"/>
      <c r="J930" s="48"/>
      <c r="K930" s="48"/>
      <c r="L930" s="48"/>
      <c r="M930" s="48"/>
    </row>
    <row r="931" spans="3:13" x14ac:dyDescent="0.2">
      <c r="C931" s="48"/>
      <c r="D931" s="48"/>
      <c r="E931" s="48"/>
      <c r="F931" s="48"/>
      <c r="G931" s="48"/>
      <c r="H931" s="48"/>
      <c r="I931" s="48"/>
      <c r="J931" s="48"/>
      <c r="K931" s="48"/>
      <c r="L931" s="48"/>
      <c r="M931" s="48"/>
    </row>
    <row r="932" spans="3:13" x14ac:dyDescent="0.2">
      <c r="C932" s="48"/>
      <c r="D932" s="48"/>
      <c r="E932" s="48"/>
      <c r="F932" s="48"/>
      <c r="G932" s="48"/>
      <c r="H932" s="48"/>
      <c r="I932" s="48"/>
      <c r="J932" s="48"/>
      <c r="K932" s="48"/>
      <c r="L932" s="48"/>
      <c r="M932" s="48"/>
    </row>
    <row r="933" spans="3:13" x14ac:dyDescent="0.2">
      <c r="C933" s="48"/>
      <c r="D933" s="48"/>
      <c r="E933" s="48"/>
      <c r="F933" s="48"/>
      <c r="G933" s="48"/>
      <c r="H933" s="48"/>
      <c r="I933" s="48"/>
      <c r="J933" s="48"/>
      <c r="K933" s="48"/>
      <c r="L933" s="48"/>
      <c r="M933" s="48"/>
    </row>
    <row r="934" spans="3:13" x14ac:dyDescent="0.2">
      <c r="C934" s="48"/>
      <c r="D934" s="48"/>
      <c r="E934" s="48"/>
      <c r="F934" s="48"/>
      <c r="G934" s="48"/>
      <c r="H934" s="48"/>
      <c r="I934" s="48"/>
      <c r="J934" s="48"/>
      <c r="K934" s="48"/>
      <c r="L934" s="48"/>
      <c r="M934" s="48"/>
    </row>
    <row r="935" spans="3:13" x14ac:dyDescent="0.2">
      <c r="C935" s="48"/>
      <c r="D935" s="48"/>
      <c r="E935" s="48"/>
      <c r="F935" s="48"/>
      <c r="G935" s="48"/>
      <c r="H935" s="48"/>
      <c r="I935" s="48"/>
      <c r="J935" s="48"/>
      <c r="K935" s="48"/>
      <c r="L935" s="48"/>
      <c r="M935" s="48"/>
    </row>
    <row r="936" spans="3:13" x14ac:dyDescent="0.2">
      <c r="C936" s="48"/>
      <c r="D936" s="48"/>
      <c r="E936" s="48"/>
      <c r="F936" s="48"/>
      <c r="G936" s="48"/>
      <c r="H936" s="48"/>
      <c r="I936" s="48"/>
      <c r="J936" s="48"/>
      <c r="K936" s="48"/>
      <c r="L936" s="48"/>
      <c r="M936" s="48"/>
    </row>
    <row r="937" spans="3:13" x14ac:dyDescent="0.2">
      <c r="C937" s="48"/>
      <c r="D937" s="48"/>
      <c r="E937" s="48"/>
      <c r="F937" s="48"/>
      <c r="G937" s="48"/>
      <c r="H937" s="48"/>
      <c r="I937" s="48"/>
      <c r="J937" s="48"/>
      <c r="K937" s="48"/>
      <c r="L937" s="48"/>
      <c r="M937" s="48"/>
    </row>
    <row r="938" spans="3:13" x14ac:dyDescent="0.2">
      <c r="C938" s="48"/>
      <c r="D938" s="48"/>
      <c r="E938" s="48"/>
      <c r="F938" s="48"/>
      <c r="G938" s="48"/>
      <c r="H938" s="48"/>
      <c r="I938" s="48"/>
      <c r="J938" s="48"/>
      <c r="K938" s="48"/>
      <c r="L938" s="48"/>
      <c r="M938" s="48"/>
    </row>
    <row r="939" spans="3:13" x14ac:dyDescent="0.2">
      <c r="C939" s="48"/>
      <c r="D939" s="48"/>
      <c r="E939" s="48"/>
      <c r="F939" s="48"/>
      <c r="G939" s="48"/>
      <c r="H939" s="48"/>
      <c r="I939" s="48"/>
      <c r="J939" s="48"/>
      <c r="K939" s="48"/>
      <c r="L939" s="48"/>
      <c r="M939" s="48"/>
    </row>
    <row r="940" spans="3:13" x14ac:dyDescent="0.2">
      <c r="C940" s="48"/>
      <c r="D940" s="48"/>
      <c r="E940" s="48"/>
      <c r="F940" s="48"/>
      <c r="G940" s="48"/>
      <c r="H940" s="48"/>
      <c r="I940" s="48"/>
      <c r="J940" s="48"/>
      <c r="K940" s="48"/>
      <c r="L940" s="48"/>
      <c r="M940" s="48"/>
    </row>
    <row r="941" spans="3:13" x14ac:dyDescent="0.2">
      <c r="C941" s="48"/>
      <c r="D941" s="48"/>
      <c r="E941" s="48"/>
      <c r="F941" s="48"/>
      <c r="G941" s="48"/>
      <c r="H941" s="48"/>
      <c r="I941" s="48"/>
      <c r="J941" s="48"/>
      <c r="K941" s="48"/>
      <c r="L941" s="48"/>
      <c r="M941" s="48"/>
    </row>
    <row r="942" spans="3:13" x14ac:dyDescent="0.2">
      <c r="C942" s="48"/>
      <c r="D942" s="48"/>
      <c r="E942" s="48"/>
      <c r="F942" s="48"/>
      <c r="G942" s="48"/>
      <c r="H942" s="48"/>
      <c r="I942" s="48"/>
      <c r="J942" s="48"/>
      <c r="K942" s="48"/>
      <c r="L942" s="48"/>
      <c r="M942" s="48"/>
    </row>
    <row r="943" spans="3:13" x14ac:dyDescent="0.2">
      <c r="C943" s="48"/>
      <c r="D943" s="48"/>
      <c r="E943" s="48"/>
      <c r="F943" s="48"/>
      <c r="G943" s="48"/>
      <c r="H943" s="48"/>
      <c r="I943" s="48"/>
      <c r="J943" s="48"/>
      <c r="K943" s="48"/>
      <c r="L943" s="48"/>
      <c r="M943" s="48"/>
    </row>
    <row r="944" spans="3:13" x14ac:dyDescent="0.2">
      <c r="C944" s="48"/>
      <c r="D944" s="48"/>
      <c r="E944" s="48"/>
      <c r="F944" s="48"/>
      <c r="G944" s="48"/>
      <c r="H944" s="48"/>
      <c r="I944" s="48"/>
      <c r="J944" s="48"/>
      <c r="K944" s="48"/>
      <c r="L944" s="48"/>
      <c r="M944" s="48"/>
    </row>
    <row r="945" spans="3:13" x14ac:dyDescent="0.2">
      <c r="C945" s="48"/>
      <c r="D945" s="48"/>
      <c r="E945" s="48"/>
      <c r="F945" s="48"/>
      <c r="G945" s="48"/>
      <c r="H945" s="48"/>
      <c r="I945" s="48"/>
      <c r="J945" s="48"/>
      <c r="K945" s="48"/>
      <c r="L945" s="48"/>
      <c r="M945" s="48"/>
    </row>
    <row r="946" spans="3:13" x14ac:dyDescent="0.2">
      <c r="C946" s="48"/>
      <c r="D946" s="48"/>
      <c r="E946" s="48"/>
      <c r="F946" s="48"/>
      <c r="G946" s="48"/>
      <c r="H946" s="48"/>
      <c r="I946" s="48"/>
      <c r="J946" s="48"/>
      <c r="K946" s="48"/>
      <c r="L946" s="48"/>
      <c r="M946" s="48"/>
    </row>
    <row r="947" spans="3:13" x14ac:dyDescent="0.2">
      <c r="C947" s="48"/>
      <c r="D947" s="48"/>
      <c r="E947" s="48"/>
      <c r="F947" s="48"/>
      <c r="G947" s="48"/>
      <c r="H947" s="48"/>
      <c r="I947" s="48"/>
      <c r="J947" s="48"/>
      <c r="K947" s="48"/>
      <c r="L947" s="48"/>
      <c r="M947" s="48"/>
    </row>
    <row r="948" spans="3:13" x14ac:dyDescent="0.2">
      <c r="C948" s="48"/>
      <c r="D948" s="48"/>
      <c r="E948" s="48"/>
      <c r="F948" s="48"/>
      <c r="G948" s="48"/>
      <c r="H948" s="48"/>
      <c r="I948" s="48"/>
      <c r="J948" s="48"/>
      <c r="K948" s="48"/>
      <c r="L948" s="48"/>
      <c r="M948" s="48"/>
    </row>
    <row r="949" spans="3:13" x14ac:dyDescent="0.2">
      <c r="C949" s="48"/>
      <c r="D949" s="48"/>
      <c r="E949" s="48"/>
      <c r="F949" s="48"/>
      <c r="G949" s="48"/>
      <c r="H949" s="48"/>
      <c r="I949" s="48"/>
      <c r="J949" s="48"/>
      <c r="K949" s="48"/>
      <c r="L949" s="48"/>
      <c r="M949" s="48"/>
    </row>
    <row r="950" spans="3:13" x14ac:dyDescent="0.2">
      <c r="C950" s="48"/>
      <c r="D950" s="48"/>
      <c r="E950" s="48"/>
      <c r="F950" s="48"/>
      <c r="G950" s="48"/>
      <c r="H950" s="48"/>
      <c r="I950" s="48"/>
      <c r="J950" s="48"/>
      <c r="K950" s="48"/>
      <c r="L950" s="48"/>
      <c r="M950" s="48"/>
    </row>
    <row r="951" spans="3:13" x14ac:dyDescent="0.2">
      <c r="C951" s="48"/>
      <c r="D951" s="48"/>
      <c r="E951" s="48"/>
      <c r="F951" s="48"/>
      <c r="G951" s="48"/>
      <c r="H951" s="48"/>
      <c r="I951" s="48"/>
      <c r="J951" s="48"/>
      <c r="K951" s="48"/>
      <c r="L951" s="48"/>
      <c r="M951" s="48"/>
    </row>
    <row r="952" spans="3:13" x14ac:dyDescent="0.2">
      <c r="C952" s="48"/>
      <c r="D952" s="48"/>
      <c r="E952" s="48"/>
      <c r="F952" s="48"/>
      <c r="G952" s="48"/>
      <c r="H952" s="48"/>
      <c r="I952" s="48"/>
      <c r="J952" s="48"/>
      <c r="K952" s="48"/>
      <c r="L952" s="48"/>
      <c r="M952" s="48"/>
    </row>
    <row r="953" spans="3:13" x14ac:dyDescent="0.2">
      <c r="C953" s="48"/>
      <c r="D953" s="48"/>
      <c r="E953" s="48"/>
      <c r="F953" s="48"/>
      <c r="G953" s="48"/>
      <c r="H953" s="48"/>
      <c r="I953" s="48"/>
      <c r="J953" s="48"/>
      <c r="K953" s="48"/>
      <c r="L953" s="48"/>
      <c r="M953" s="48"/>
    </row>
    <row r="954" spans="3:13" x14ac:dyDescent="0.2">
      <c r="C954" s="48"/>
      <c r="D954" s="48"/>
      <c r="E954" s="48"/>
      <c r="F954" s="48"/>
      <c r="G954" s="48"/>
      <c r="H954" s="48"/>
      <c r="I954" s="48"/>
      <c r="J954" s="48"/>
      <c r="K954" s="48"/>
      <c r="L954" s="48"/>
      <c r="M954" s="48"/>
    </row>
    <row r="955" spans="3:13" x14ac:dyDescent="0.2">
      <c r="C955" s="48"/>
      <c r="D955" s="48"/>
      <c r="E955" s="48"/>
      <c r="F955" s="48"/>
      <c r="G955" s="48"/>
      <c r="H955" s="48"/>
      <c r="I955" s="48"/>
      <c r="J955" s="48"/>
      <c r="K955" s="48"/>
      <c r="L955" s="48"/>
      <c r="M955" s="48"/>
    </row>
    <row r="956" spans="3:13" x14ac:dyDescent="0.2">
      <c r="C956" s="48"/>
      <c r="D956" s="48"/>
      <c r="E956" s="48"/>
      <c r="F956" s="48"/>
      <c r="G956" s="48"/>
      <c r="H956" s="48"/>
      <c r="I956" s="48"/>
      <c r="J956" s="48"/>
      <c r="K956" s="48"/>
      <c r="L956" s="48"/>
      <c r="M956" s="48"/>
    </row>
    <row r="957" spans="3:13" x14ac:dyDescent="0.2">
      <c r="C957" s="48"/>
      <c r="D957" s="48"/>
      <c r="E957" s="48"/>
      <c r="F957" s="48"/>
      <c r="G957" s="48"/>
      <c r="H957" s="48"/>
      <c r="I957" s="48"/>
      <c r="J957" s="48"/>
      <c r="K957" s="48"/>
      <c r="L957" s="48"/>
      <c r="M957" s="48"/>
    </row>
    <row r="958" spans="3:13" x14ac:dyDescent="0.2">
      <c r="C958" s="48"/>
      <c r="D958" s="48"/>
      <c r="E958" s="48"/>
      <c r="F958" s="48"/>
      <c r="G958" s="48"/>
      <c r="H958" s="48"/>
      <c r="I958" s="48"/>
      <c r="J958" s="48"/>
      <c r="K958" s="48"/>
      <c r="L958" s="48"/>
      <c r="M958" s="48"/>
    </row>
    <row r="959" spans="3:13" x14ac:dyDescent="0.2">
      <c r="C959" s="48"/>
      <c r="D959" s="48"/>
      <c r="E959" s="48"/>
      <c r="F959" s="48"/>
      <c r="G959" s="48"/>
      <c r="H959" s="48"/>
      <c r="I959" s="48"/>
      <c r="J959" s="48"/>
      <c r="K959" s="48"/>
      <c r="L959" s="48"/>
      <c r="M959" s="48"/>
    </row>
    <row r="960" spans="3:13" x14ac:dyDescent="0.2">
      <c r="C960" s="48"/>
      <c r="D960" s="48"/>
      <c r="E960" s="48"/>
      <c r="F960" s="48"/>
      <c r="G960" s="48"/>
      <c r="H960" s="48"/>
      <c r="I960" s="48"/>
      <c r="J960" s="48"/>
      <c r="K960" s="48"/>
      <c r="L960" s="48"/>
      <c r="M960" s="48"/>
    </row>
    <row r="961" spans="3:13" x14ac:dyDescent="0.2">
      <c r="C961" s="48"/>
      <c r="D961" s="48"/>
      <c r="E961" s="48"/>
      <c r="F961" s="48"/>
      <c r="G961" s="48"/>
      <c r="H961" s="48"/>
      <c r="I961" s="48"/>
      <c r="J961" s="48"/>
      <c r="K961" s="48"/>
      <c r="L961" s="48"/>
      <c r="M961" s="48"/>
    </row>
    <row r="962" spans="3:13" x14ac:dyDescent="0.2">
      <c r="C962" s="48"/>
      <c r="D962" s="48"/>
      <c r="E962" s="48"/>
      <c r="F962" s="48"/>
      <c r="G962" s="48"/>
      <c r="H962" s="48"/>
      <c r="I962" s="48"/>
      <c r="J962" s="48"/>
      <c r="K962" s="48"/>
      <c r="L962" s="48"/>
      <c r="M962" s="48"/>
    </row>
    <row r="963" spans="3:13" x14ac:dyDescent="0.2">
      <c r="C963" s="48"/>
      <c r="D963" s="48"/>
      <c r="E963" s="48"/>
      <c r="F963" s="48"/>
      <c r="G963" s="48"/>
      <c r="H963" s="48"/>
      <c r="I963" s="48"/>
      <c r="J963" s="48"/>
      <c r="K963" s="48"/>
      <c r="L963" s="48"/>
      <c r="M963" s="48"/>
    </row>
    <row r="964" spans="3:13" x14ac:dyDescent="0.2">
      <c r="C964" s="48"/>
      <c r="D964" s="48"/>
      <c r="E964" s="48"/>
      <c r="F964" s="48"/>
      <c r="G964" s="48"/>
      <c r="H964" s="48"/>
      <c r="I964" s="48"/>
      <c r="J964" s="48"/>
      <c r="K964" s="48"/>
      <c r="L964" s="48"/>
      <c r="M964" s="48"/>
    </row>
    <row r="965" spans="3:13" x14ac:dyDescent="0.2"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8"/>
    </row>
    <row r="966" spans="3:13" x14ac:dyDescent="0.2">
      <c r="C966" s="48"/>
      <c r="D966" s="48"/>
      <c r="E966" s="48"/>
      <c r="F966" s="48"/>
      <c r="G966" s="48"/>
      <c r="H966" s="48"/>
      <c r="I966" s="48"/>
      <c r="J966" s="48"/>
      <c r="K966" s="48"/>
      <c r="L966" s="48"/>
      <c r="M966" s="48"/>
    </row>
    <row r="967" spans="3:13" x14ac:dyDescent="0.2">
      <c r="C967" s="48"/>
      <c r="D967" s="48"/>
      <c r="E967" s="48"/>
      <c r="F967" s="48"/>
      <c r="G967" s="48"/>
      <c r="H967" s="48"/>
      <c r="I967" s="48"/>
      <c r="J967" s="48"/>
      <c r="K967" s="48"/>
      <c r="L967" s="48"/>
      <c r="M967" s="48"/>
    </row>
    <row r="968" spans="3:13" x14ac:dyDescent="0.2">
      <c r="C968" s="48"/>
      <c r="D968" s="48"/>
      <c r="E968" s="48"/>
      <c r="F968" s="48"/>
      <c r="G968" s="48"/>
      <c r="H968" s="48"/>
      <c r="I968" s="48"/>
      <c r="J968" s="48"/>
      <c r="K968" s="48"/>
      <c r="L968" s="48"/>
      <c r="M968" s="48"/>
    </row>
    <row r="969" spans="3:13" x14ac:dyDescent="0.2">
      <c r="C969" s="48"/>
      <c r="D969" s="48"/>
      <c r="E969" s="48"/>
      <c r="F969" s="48"/>
      <c r="G969" s="48"/>
      <c r="H969" s="48"/>
      <c r="I969" s="48"/>
      <c r="J969" s="48"/>
      <c r="K969" s="48"/>
      <c r="L969" s="48"/>
      <c r="M969" s="48"/>
    </row>
    <row r="970" spans="3:13" x14ac:dyDescent="0.2">
      <c r="C970" s="48"/>
      <c r="D970" s="48"/>
      <c r="E970" s="48"/>
      <c r="F970" s="48"/>
      <c r="G970" s="48"/>
      <c r="H970" s="48"/>
      <c r="I970" s="48"/>
      <c r="J970" s="48"/>
      <c r="K970" s="48"/>
      <c r="L970" s="48"/>
      <c r="M970" s="48"/>
    </row>
    <row r="971" spans="3:13" x14ac:dyDescent="0.2"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8"/>
    </row>
    <row r="972" spans="3:13" x14ac:dyDescent="0.2">
      <c r="C972" s="48"/>
      <c r="D972" s="48"/>
      <c r="E972" s="48"/>
      <c r="F972" s="48"/>
      <c r="G972" s="48"/>
      <c r="H972" s="48"/>
      <c r="I972" s="48"/>
      <c r="J972" s="48"/>
      <c r="K972" s="48"/>
      <c r="L972" s="48"/>
      <c r="M972" s="48"/>
    </row>
    <row r="973" spans="3:13" x14ac:dyDescent="0.2">
      <c r="C973" s="48"/>
      <c r="D973" s="48"/>
      <c r="E973" s="48"/>
      <c r="F973" s="48"/>
      <c r="G973" s="48"/>
      <c r="H973" s="48"/>
      <c r="I973" s="48"/>
      <c r="J973" s="48"/>
      <c r="K973" s="48"/>
      <c r="L973" s="48"/>
      <c r="M973" s="48"/>
    </row>
    <row r="974" spans="3:13" x14ac:dyDescent="0.2">
      <c r="C974" s="48"/>
      <c r="D974" s="48"/>
      <c r="E974" s="48"/>
      <c r="F974" s="48"/>
      <c r="G974" s="48"/>
      <c r="H974" s="48"/>
      <c r="I974" s="48"/>
      <c r="J974" s="48"/>
      <c r="K974" s="48"/>
      <c r="L974" s="48"/>
      <c r="M974" s="48"/>
    </row>
    <row r="975" spans="3:13" x14ac:dyDescent="0.2"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8"/>
    </row>
    <row r="976" spans="3:13" x14ac:dyDescent="0.2">
      <c r="C976" s="48"/>
      <c r="D976" s="48"/>
      <c r="E976" s="48"/>
      <c r="F976" s="48"/>
      <c r="G976" s="48"/>
      <c r="H976" s="48"/>
      <c r="I976" s="48"/>
      <c r="J976" s="48"/>
      <c r="K976" s="48"/>
      <c r="L976" s="48"/>
      <c r="M976" s="48"/>
    </row>
    <row r="977" spans="3:13" x14ac:dyDescent="0.2">
      <c r="C977" s="48"/>
      <c r="D977" s="48"/>
      <c r="E977" s="48"/>
      <c r="F977" s="48"/>
      <c r="G977" s="48"/>
      <c r="H977" s="48"/>
      <c r="I977" s="48"/>
      <c r="J977" s="48"/>
      <c r="K977" s="48"/>
      <c r="L977" s="48"/>
      <c r="M977" s="48"/>
    </row>
    <row r="978" spans="3:13" x14ac:dyDescent="0.2">
      <c r="C978" s="48"/>
      <c r="D978" s="48"/>
      <c r="E978" s="48"/>
      <c r="F978" s="48"/>
      <c r="G978" s="48"/>
      <c r="H978" s="48"/>
      <c r="I978" s="48"/>
      <c r="J978" s="48"/>
      <c r="K978" s="48"/>
      <c r="L978" s="48"/>
      <c r="M978" s="48"/>
    </row>
    <row r="979" spans="3:13" x14ac:dyDescent="0.2"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8"/>
    </row>
    <row r="980" spans="3:13" x14ac:dyDescent="0.2">
      <c r="C980" s="48"/>
      <c r="D980" s="48"/>
      <c r="E980" s="48"/>
      <c r="F980" s="48"/>
      <c r="G980" s="48"/>
      <c r="H980" s="48"/>
      <c r="I980" s="48"/>
      <c r="J980" s="48"/>
      <c r="K980" s="48"/>
      <c r="L980" s="48"/>
      <c r="M980" s="48"/>
    </row>
    <row r="981" spans="3:13" x14ac:dyDescent="0.2"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8"/>
    </row>
    <row r="982" spans="3:13" x14ac:dyDescent="0.2">
      <c r="C982" s="48"/>
      <c r="D982" s="48"/>
      <c r="E982" s="48"/>
      <c r="F982" s="48"/>
      <c r="G982" s="48"/>
      <c r="H982" s="48"/>
      <c r="I982" s="48"/>
      <c r="J982" s="48"/>
      <c r="K982" s="48"/>
      <c r="L982" s="48"/>
      <c r="M982" s="48"/>
    </row>
    <row r="983" spans="3:13" x14ac:dyDescent="0.2">
      <c r="C983" s="48"/>
      <c r="D983" s="48"/>
      <c r="E983" s="48"/>
      <c r="F983" s="48"/>
      <c r="G983" s="48"/>
      <c r="H983" s="48"/>
      <c r="I983" s="48"/>
      <c r="J983" s="48"/>
      <c r="K983" s="48"/>
      <c r="L983" s="48"/>
      <c r="M983" s="48"/>
    </row>
    <row r="984" spans="3:13" x14ac:dyDescent="0.2">
      <c r="C984" s="48"/>
      <c r="D984" s="48"/>
      <c r="E984" s="48"/>
      <c r="F984" s="48"/>
      <c r="G984" s="48"/>
      <c r="H984" s="48"/>
      <c r="I984" s="48"/>
      <c r="J984" s="48"/>
      <c r="K984" s="48"/>
      <c r="L984" s="48"/>
      <c r="M984" s="48"/>
    </row>
    <row r="985" spans="3:13" x14ac:dyDescent="0.2">
      <c r="C985" s="48"/>
      <c r="D985" s="48"/>
      <c r="E985" s="48"/>
      <c r="F985" s="48"/>
      <c r="G985" s="48"/>
      <c r="H985" s="48"/>
      <c r="I985" s="48"/>
      <c r="J985" s="48"/>
      <c r="K985" s="48"/>
      <c r="L985" s="48"/>
      <c r="M985" s="48"/>
    </row>
    <row r="986" spans="3:13" x14ac:dyDescent="0.2">
      <c r="C986" s="48"/>
      <c r="D986" s="48"/>
      <c r="E986" s="48"/>
      <c r="F986" s="48"/>
      <c r="G986" s="48"/>
      <c r="H986" s="48"/>
      <c r="I986" s="48"/>
      <c r="J986" s="48"/>
      <c r="K986" s="48"/>
      <c r="L986" s="48"/>
      <c r="M986" s="48"/>
    </row>
    <row r="987" spans="3:13" x14ac:dyDescent="0.2">
      <c r="C987" s="48"/>
      <c r="D987" s="48"/>
      <c r="E987" s="48"/>
      <c r="F987" s="48"/>
      <c r="G987" s="48"/>
      <c r="H987" s="48"/>
      <c r="I987" s="48"/>
      <c r="J987" s="48"/>
      <c r="K987" s="48"/>
      <c r="L987" s="48"/>
      <c r="M987" s="48"/>
    </row>
    <row r="988" spans="3:13" x14ac:dyDescent="0.2">
      <c r="C988" s="48"/>
      <c r="D988" s="48"/>
      <c r="E988" s="48"/>
      <c r="F988" s="48"/>
      <c r="G988" s="48"/>
      <c r="H988" s="48"/>
      <c r="I988" s="48"/>
      <c r="J988" s="48"/>
      <c r="K988" s="48"/>
      <c r="L988" s="48"/>
      <c r="M988" s="48"/>
    </row>
    <row r="989" spans="3:13" x14ac:dyDescent="0.2">
      <c r="C989" s="48"/>
      <c r="D989" s="48"/>
      <c r="E989" s="48"/>
      <c r="F989" s="48"/>
      <c r="G989" s="48"/>
      <c r="H989" s="48"/>
      <c r="I989" s="48"/>
      <c r="J989" s="48"/>
      <c r="K989" s="48"/>
      <c r="L989" s="48"/>
      <c r="M989" s="48"/>
    </row>
    <row r="990" spans="3:13" x14ac:dyDescent="0.2">
      <c r="C990" s="48"/>
      <c r="D990" s="48"/>
      <c r="E990" s="48"/>
      <c r="F990" s="48"/>
      <c r="G990" s="48"/>
      <c r="H990" s="48"/>
      <c r="I990" s="48"/>
      <c r="J990" s="48"/>
      <c r="K990" s="48"/>
      <c r="L990" s="48"/>
      <c r="M990" s="48"/>
    </row>
    <row r="991" spans="3:13" x14ac:dyDescent="0.2">
      <c r="C991" s="48"/>
      <c r="D991" s="48"/>
      <c r="E991" s="48"/>
      <c r="F991" s="48"/>
      <c r="G991" s="48"/>
      <c r="H991" s="48"/>
      <c r="I991" s="48"/>
      <c r="J991" s="48"/>
      <c r="K991" s="48"/>
      <c r="L991" s="48"/>
      <c r="M991" s="48"/>
    </row>
    <row r="992" spans="3:13" x14ac:dyDescent="0.2">
      <c r="C992" s="48"/>
      <c r="D992" s="48"/>
      <c r="E992" s="48"/>
      <c r="F992" s="48"/>
      <c r="G992" s="48"/>
      <c r="H992" s="48"/>
      <c r="I992" s="48"/>
      <c r="J992" s="48"/>
      <c r="K992" s="48"/>
      <c r="L992" s="48"/>
      <c r="M992" s="48"/>
    </row>
    <row r="993" spans="3:13" x14ac:dyDescent="0.2"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8"/>
    </row>
    <row r="994" spans="3:13" x14ac:dyDescent="0.2">
      <c r="C994" s="48"/>
      <c r="D994" s="48"/>
      <c r="E994" s="48"/>
      <c r="F994" s="48"/>
      <c r="G994" s="48"/>
      <c r="H994" s="48"/>
      <c r="I994" s="48"/>
      <c r="J994" s="48"/>
      <c r="K994" s="48"/>
      <c r="L994" s="48"/>
      <c r="M994" s="48"/>
    </row>
    <row r="995" spans="3:13" x14ac:dyDescent="0.2">
      <c r="C995" s="48"/>
      <c r="D995" s="48"/>
      <c r="E995" s="48"/>
      <c r="F995" s="48"/>
      <c r="G995" s="48"/>
      <c r="H995" s="48"/>
      <c r="I995" s="48"/>
      <c r="J995" s="48"/>
      <c r="K995" s="48"/>
      <c r="L995" s="48"/>
      <c r="M995" s="48"/>
    </row>
    <row r="996" spans="3:13" x14ac:dyDescent="0.2">
      <c r="C996" s="48"/>
      <c r="D996" s="48"/>
      <c r="E996" s="48"/>
      <c r="F996" s="48"/>
      <c r="G996" s="48"/>
      <c r="H996" s="48"/>
      <c r="I996" s="48"/>
      <c r="J996" s="48"/>
      <c r="K996" s="48"/>
      <c r="L996" s="48"/>
      <c r="M996" s="48"/>
    </row>
    <row r="997" spans="3:13" x14ac:dyDescent="0.2">
      <c r="C997" s="48"/>
      <c r="D997" s="48"/>
      <c r="E997" s="48"/>
      <c r="F997" s="48"/>
      <c r="G997" s="48"/>
      <c r="H997" s="48"/>
      <c r="I997" s="48"/>
      <c r="J997" s="48"/>
      <c r="K997" s="48"/>
      <c r="L997" s="48"/>
      <c r="M997" s="48"/>
    </row>
    <row r="998" spans="3:13" x14ac:dyDescent="0.2">
      <c r="C998" s="48"/>
      <c r="D998" s="48"/>
      <c r="E998" s="48"/>
      <c r="F998" s="48"/>
      <c r="G998" s="48"/>
      <c r="H998" s="48"/>
      <c r="I998" s="48"/>
      <c r="J998" s="48"/>
      <c r="K998" s="48"/>
      <c r="L998" s="48"/>
      <c r="M998" s="48"/>
    </row>
    <row r="999" spans="3:13" x14ac:dyDescent="0.2">
      <c r="C999" s="48"/>
      <c r="D999" s="48"/>
      <c r="E999" s="48"/>
      <c r="F999" s="48"/>
      <c r="G999" s="48"/>
      <c r="H999" s="48"/>
      <c r="I999" s="48"/>
      <c r="J999" s="48"/>
      <c r="K999" s="48"/>
      <c r="L999" s="48"/>
      <c r="M999" s="48"/>
    </row>
    <row r="1000" spans="3:13" x14ac:dyDescent="0.2">
      <c r="C1000" s="48"/>
      <c r="D1000" s="48"/>
      <c r="E1000" s="48"/>
      <c r="F1000" s="48"/>
      <c r="G1000" s="48"/>
      <c r="H1000" s="48"/>
      <c r="I1000" s="48"/>
      <c r="J1000" s="48"/>
      <c r="K1000" s="48"/>
      <c r="L1000" s="48"/>
      <c r="M1000" s="48"/>
    </row>
    <row r="1001" spans="3:13" x14ac:dyDescent="0.2">
      <c r="C1001" s="48"/>
      <c r="D1001" s="48"/>
      <c r="E1001" s="48"/>
      <c r="F1001" s="48"/>
      <c r="G1001" s="48"/>
      <c r="H1001" s="48"/>
      <c r="I1001" s="48"/>
      <c r="J1001" s="48"/>
      <c r="K1001" s="48"/>
      <c r="L1001" s="48"/>
      <c r="M1001" s="48"/>
    </row>
    <row r="1002" spans="3:13" x14ac:dyDescent="0.2">
      <c r="C1002" s="48"/>
      <c r="D1002" s="48"/>
      <c r="E1002" s="48"/>
      <c r="F1002" s="48"/>
      <c r="G1002" s="48"/>
      <c r="H1002" s="48"/>
      <c r="I1002" s="48"/>
      <c r="J1002" s="48"/>
      <c r="K1002" s="48"/>
      <c r="L1002" s="48"/>
      <c r="M1002" s="48"/>
    </row>
    <row r="1003" spans="3:13" x14ac:dyDescent="0.2">
      <c r="C1003" s="48"/>
      <c r="D1003" s="48"/>
      <c r="E1003" s="48"/>
      <c r="F1003" s="48"/>
      <c r="G1003" s="48"/>
      <c r="H1003" s="48"/>
      <c r="I1003" s="48"/>
      <c r="J1003" s="48"/>
      <c r="K1003" s="48"/>
      <c r="L1003" s="48"/>
      <c r="M1003" s="48"/>
    </row>
    <row r="1004" spans="3:13" x14ac:dyDescent="0.2">
      <c r="C1004" s="48"/>
      <c r="D1004" s="48"/>
      <c r="E1004" s="48"/>
      <c r="F1004" s="48"/>
      <c r="G1004" s="48"/>
      <c r="H1004" s="48"/>
      <c r="I1004" s="48"/>
      <c r="J1004" s="48"/>
      <c r="K1004" s="48"/>
      <c r="L1004" s="48"/>
      <c r="M1004" s="48"/>
    </row>
    <row r="1005" spans="3:13" x14ac:dyDescent="0.2">
      <c r="C1005" s="48"/>
      <c r="D1005" s="48"/>
      <c r="E1005" s="48"/>
      <c r="F1005" s="48"/>
      <c r="G1005" s="48"/>
      <c r="H1005" s="48"/>
      <c r="I1005" s="48"/>
      <c r="J1005" s="48"/>
      <c r="K1005" s="48"/>
      <c r="L1005" s="48"/>
      <c r="M1005" s="48"/>
    </row>
    <row r="1006" spans="3:13" x14ac:dyDescent="0.2">
      <c r="C1006" s="48"/>
      <c r="D1006" s="48"/>
      <c r="E1006" s="48"/>
      <c r="F1006" s="48"/>
      <c r="G1006" s="48"/>
      <c r="H1006" s="48"/>
      <c r="I1006" s="48"/>
      <c r="J1006" s="48"/>
      <c r="K1006" s="48"/>
      <c r="L1006" s="48"/>
      <c r="M1006" s="48"/>
    </row>
    <row r="1007" spans="3:13" x14ac:dyDescent="0.2">
      <c r="C1007" s="48"/>
      <c r="D1007" s="48"/>
      <c r="E1007" s="48"/>
      <c r="F1007" s="48"/>
      <c r="G1007" s="48"/>
      <c r="H1007" s="48"/>
      <c r="I1007" s="48"/>
      <c r="J1007" s="48"/>
      <c r="K1007" s="48"/>
      <c r="L1007" s="48"/>
      <c r="M1007" s="48"/>
    </row>
    <row r="1008" spans="3:13" x14ac:dyDescent="0.2">
      <c r="C1008" s="48"/>
      <c r="D1008" s="48"/>
      <c r="E1008" s="48"/>
      <c r="F1008" s="48"/>
      <c r="G1008" s="48"/>
      <c r="H1008" s="48"/>
      <c r="I1008" s="48"/>
      <c r="J1008" s="48"/>
      <c r="K1008" s="48"/>
      <c r="L1008" s="48"/>
      <c r="M1008" s="48"/>
    </row>
    <row r="1009" spans="3:13" x14ac:dyDescent="0.2">
      <c r="C1009" s="48"/>
      <c r="D1009" s="48"/>
      <c r="E1009" s="48"/>
      <c r="F1009" s="48"/>
      <c r="G1009" s="48"/>
      <c r="H1009" s="48"/>
      <c r="I1009" s="48"/>
      <c r="J1009" s="48"/>
      <c r="K1009" s="48"/>
      <c r="L1009" s="48"/>
      <c r="M1009" s="48"/>
    </row>
    <row r="1010" spans="3:13" x14ac:dyDescent="0.2">
      <c r="C1010" s="48"/>
      <c r="D1010" s="48"/>
      <c r="E1010" s="48"/>
      <c r="F1010" s="48"/>
      <c r="G1010" s="48"/>
      <c r="H1010" s="48"/>
      <c r="I1010" s="48"/>
      <c r="J1010" s="48"/>
      <c r="K1010" s="48"/>
      <c r="L1010" s="48"/>
      <c r="M1010" s="48"/>
    </row>
    <row r="1011" spans="3:13" x14ac:dyDescent="0.2">
      <c r="C1011" s="48"/>
      <c r="D1011" s="48"/>
      <c r="E1011" s="48"/>
      <c r="F1011" s="48"/>
      <c r="G1011" s="48"/>
      <c r="H1011" s="48"/>
      <c r="I1011" s="48"/>
      <c r="J1011" s="48"/>
      <c r="K1011" s="48"/>
      <c r="L1011" s="48"/>
      <c r="M1011" s="48"/>
    </row>
    <row r="1012" spans="3:13" x14ac:dyDescent="0.2">
      <c r="C1012" s="48"/>
      <c r="D1012" s="48"/>
      <c r="E1012" s="48"/>
      <c r="F1012" s="48"/>
      <c r="G1012" s="48"/>
      <c r="H1012" s="48"/>
      <c r="I1012" s="48"/>
      <c r="J1012" s="48"/>
      <c r="K1012" s="48"/>
      <c r="L1012" s="48"/>
      <c r="M1012" s="48"/>
    </row>
    <row r="1013" spans="3:13" x14ac:dyDescent="0.2">
      <c r="C1013" s="48"/>
      <c r="D1013" s="48"/>
      <c r="E1013" s="48"/>
      <c r="F1013" s="48"/>
      <c r="G1013" s="48"/>
      <c r="H1013" s="48"/>
      <c r="I1013" s="48"/>
      <c r="J1013" s="48"/>
      <c r="K1013" s="48"/>
      <c r="L1013" s="48"/>
      <c r="M1013" s="48"/>
    </row>
    <row r="1014" spans="3:13" x14ac:dyDescent="0.2">
      <c r="C1014" s="48"/>
      <c r="D1014" s="48"/>
      <c r="E1014" s="48"/>
      <c r="F1014" s="48"/>
      <c r="G1014" s="48"/>
      <c r="H1014" s="48"/>
      <c r="I1014" s="48"/>
      <c r="J1014" s="48"/>
      <c r="K1014" s="48"/>
      <c r="L1014" s="48"/>
      <c r="M1014" s="48"/>
    </row>
    <row r="1015" spans="3:13" x14ac:dyDescent="0.2">
      <c r="C1015" s="48"/>
      <c r="D1015" s="48"/>
      <c r="E1015" s="48"/>
      <c r="F1015" s="48"/>
      <c r="G1015" s="48"/>
      <c r="H1015" s="48"/>
      <c r="I1015" s="48"/>
      <c r="J1015" s="48"/>
      <c r="K1015" s="48"/>
      <c r="L1015" s="48"/>
      <c r="M1015" s="48"/>
    </row>
    <row r="1016" spans="3:13" x14ac:dyDescent="0.2">
      <c r="C1016" s="48"/>
      <c r="D1016" s="48"/>
      <c r="E1016" s="48"/>
      <c r="F1016" s="48"/>
      <c r="G1016" s="48"/>
      <c r="H1016" s="48"/>
      <c r="I1016" s="48"/>
      <c r="J1016" s="48"/>
      <c r="K1016" s="48"/>
      <c r="L1016" s="48"/>
      <c r="M1016" s="48"/>
    </row>
    <row r="1017" spans="3:13" x14ac:dyDescent="0.2">
      <c r="C1017" s="48"/>
      <c r="D1017" s="48"/>
      <c r="E1017" s="48"/>
      <c r="F1017" s="48"/>
      <c r="G1017" s="48"/>
      <c r="H1017" s="48"/>
      <c r="I1017" s="48"/>
      <c r="J1017" s="48"/>
      <c r="K1017" s="48"/>
      <c r="L1017" s="48"/>
      <c r="M1017" s="48"/>
    </row>
    <row r="1018" spans="3:13" x14ac:dyDescent="0.2">
      <c r="C1018" s="48"/>
      <c r="D1018" s="48"/>
      <c r="E1018" s="48"/>
      <c r="F1018" s="48"/>
      <c r="G1018" s="48"/>
      <c r="H1018" s="48"/>
      <c r="I1018" s="48"/>
      <c r="J1018" s="48"/>
      <c r="K1018" s="48"/>
      <c r="L1018" s="48"/>
      <c r="M1018" s="48"/>
    </row>
    <row r="1019" spans="3:13" x14ac:dyDescent="0.2">
      <c r="C1019" s="48"/>
      <c r="D1019" s="48"/>
      <c r="E1019" s="48"/>
      <c r="F1019" s="48"/>
      <c r="G1019" s="48"/>
      <c r="H1019" s="48"/>
      <c r="I1019" s="48"/>
      <c r="J1019" s="48"/>
      <c r="K1019" s="48"/>
      <c r="L1019" s="48"/>
      <c r="M1019" s="48"/>
    </row>
    <row r="1020" spans="3:13" x14ac:dyDescent="0.2">
      <c r="C1020" s="48"/>
      <c r="D1020" s="48"/>
      <c r="E1020" s="48"/>
      <c r="F1020" s="48"/>
      <c r="G1020" s="48"/>
      <c r="H1020" s="48"/>
      <c r="I1020" s="48"/>
      <c r="J1020" s="48"/>
      <c r="K1020" s="48"/>
      <c r="L1020" s="48"/>
      <c r="M1020" s="48"/>
    </row>
    <row r="1021" spans="3:13" x14ac:dyDescent="0.2">
      <c r="C1021" s="48"/>
      <c r="D1021" s="48"/>
      <c r="E1021" s="48"/>
      <c r="F1021" s="48"/>
      <c r="G1021" s="48"/>
      <c r="H1021" s="48"/>
      <c r="I1021" s="48"/>
      <c r="J1021" s="48"/>
      <c r="K1021" s="48"/>
      <c r="L1021" s="48"/>
      <c r="M1021" s="48"/>
    </row>
    <row r="1022" spans="3:13" x14ac:dyDescent="0.2">
      <c r="C1022" s="48"/>
      <c r="D1022" s="48"/>
      <c r="E1022" s="48"/>
      <c r="F1022" s="48"/>
      <c r="G1022" s="48"/>
      <c r="H1022" s="48"/>
      <c r="I1022" s="48"/>
      <c r="J1022" s="48"/>
      <c r="K1022" s="48"/>
      <c r="L1022" s="48"/>
      <c r="M1022" s="48"/>
    </row>
    <row r="1023" spans="3:13" x14ac:dyDescent="0.2">
      <c r="C1023" s="48"/>
      <c r="D1023" s="48"/>
      <c r="E1023" s="48"/>
      <c r="F1023" s="48"/>
      <c r="G1023" s="48"/>
      <c r="H1023" s="48"/>
      <c r="I1023" s="48"/>
      <c r="J1023" s="48"/>
      <c r="K1023" s="48"/>
      <c r="L1023" s="48"/>
      <c r="M1023" s="48"/>
    </row>
  </sheetData>
  <mergeCells count="3">
    <mergeCell ref="A2:K2"/>
    <mergeCell ref="A15:K15"/>
    <mergeCell ref="C22:M22"/>
  </mergeCells>
  <conditionalFormatting sqref="B10:K10">
    <cfRule type="cellIs" dxfId="3" priority="1" stopIfTrue="1" operator="lessThan">
      <formula>0</formula>
    </cfRule>
    <cfRule type="cellIs" dxfId="2" priority="3" stopIfTrue="1" operator="lessThan">
      <formula>0</formula>
    </cfRule>
  </conditionalFormatting>
  <conditionalFormatting sqref="A17:K17">
    <cfRule type="cellIs" dxfId="1" priority="2" stopIfTrue="1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1"/>
  <sheetViews>
    <sheetView zoomScale="90" zoomScaleNormal="90" workbookViewId="0">
      <selection activeCell="B3" sqref="B3"/>
    </sheetView>
  </sheetViews>
  <sheetFormatPr defaultRowHeight="12.75" x14ac:dyDescent="0.2"/>
  <cols>
    <col min="1" max="1" width="22.7109375" bestFit="1" customWidth="1"/>
    <col min="2" max="9" width="13.85546875" bestFit="1" customWidth="1"/>
    <col min="10" max="11" width="12.5703125" bestFit="1" customWidth="1"/>
  </cols>
  <sheetData>
    <row r="1" spans="1:15" ht="18.75" x14ac:dyDescent="0.3">
      <c r="A1" s="138" t="s">
        <v>548</v>
      </c>
      <c r="B1" s="139"/>
      <c r="C1" s="139"/>
      <c r="D1" s="139"/>
      <c r="E1" s="139"/>
      <c r="F1" s="139"/>
      <c r="G1" s="139"/>
      <c r="H1" s="139"/>
      <c r="I1" s="139"/>
      <c r="J1" s="139"/>
      <c r="K1" s="140"/>
    </row>
    <row r="2" spans="1:15" ht="15.75" x14ac:dyDescent="0.2">
      <c r="A2" s="19"/>
      <c r="B2" s="20" t="s">
        <v>26</v>
      </c>
      <c r="C2" s="20" t="s">
        <v>27</v>
      </c>
      <c r="D2" s="20" t="s">
        <v>28</v>
      </c>
      <c r="E2" s="20" t="s">
        <v>29</v>
      </c>
      <c r="F2" s="20" t="s">
        <v>33</v>
      </c>
      <c r="G2" s="20" t="s">
        <v>34</v>
      </c>
      <c r="H2" s="20" t="s">
        <v>35</v>
      </c>
      <c r="I2" s="20" t="s">
        <v>36</v>
      </c>
      <c r="J2" s="20" t="s">
        <v>37</v>
      </c>
      <c r="K2" s="20" t="s">
        <v>38</v>
      </c>
      <c r="N2">
        <v>0.9727459188225509</v>
      </c>
      <c r="O2">
        <v>0.9727459188225509</v>
      </c>
    </row>
    <row r="3" spans="1:15" ht="15.75" x14ac:dyDescent="0.2">
      <c r="A3" s="15" t="s">
        <v>586</v>
      </c>
      <c r="B3" s="15">
        <f>(IRS!A17+IRS!B17)/2</f>
        <v>145.28468768887558</v>
      </c>
      <c r="C3" s="15">
        <f>(IRS!B17+IRS!C17)/2</f>
        <v>3208.4791799257323</v>
      </c>
      <c r="D3" s="15">
        <f>(IRS!C17+IRS!D17)/2</f>
        <v>10716.924105194728</v>
      </c>
      <c r="E3" s="15">
        <f>(IRS!D17+IRS!E17)/2</f>
        <v>17335.806035619666</v>
      </c>
      <c r="F3" s="15">
        <f>(IRS!E17+IRS!F17)/2</f>
        <v>21042.084284982862</v>
      </c>
      <c r="G3" s="15">
        <f>(IRS!F17+IRS!G17)/2</f>
        <v>22269.627018674077</v>
      </c>
      <c r="H3" s="15">
        <f>(IRS!G17+IRS!H17)/2</f>
        <v>20155.071780638784</v>
      </c>
      <c r="I3" s="15">
        <f>(IRS!H17+IRS!I17)/2</f>
        <v>16566.65106376605</v>
      </c>
      <c r="J3" s="15">
        <f>(IRS!I17+IRS!J17)/2</f>
        <v>12589.23338460675</v>
      </c>
      <c r="K3" s="15">
        <f>(IRS!J17+IRS!K17)/2</f>
        <v>5268.034945126471</v>
      </c>
      <c r="N3">
        <v>0.94322947050368799</v>
      </c>
      <c r="O3">
        <v>0.94148012364223388</v>
      </c>
    </row>
    <row r="4" spans="1:15" ht="15.75" x14ac:dyDescent="0.2">
      <c r="A4" s="15" t="s">
        <v>0</v>
      </c>
      <c r="B4" s="16">
        <f>AVERAGE(data!N8:N58)</f>
        <v>0.98119899505649344</v>
      </c>
      <c r="C4" s="16">
        <f>AVERAGE(data!O8:O108)</f>
        <v>0.97848631724027979</v>
      </c>
      <c r="D4" s="16">
        <f>AVERAGE(data!P8:P158)</f>
        <v>0.9591047453771101</v>
      </c>
      <c r="E4" s="16">
        <f>AVERAGE(data!Q8:Q208)</f>
        <v>0.95180266187182472</v>
      </c>
      <c r="F4" s="16">
        <f>AVERAGE(data!R8:R258)</f>
        <v>0.92863949251061362</v>
      </c>
      <c r="G4" s="16">
        <f>AVERAGE(data!S8:S308)</f>
        <v>0.91639576767680209</v>
      </c>
      <c r="H4" s="16">
        <f>AVERAGE(data!T8:T358)</f>
        <v>0.89565572131604698</v>
      </c>
      <c r="I4" s="16">
        <f>AVERAGE(data!U8:U408)</f>
        <v>0.86807474961629871</v>
      </c>
      <c r="J4" s="16">
        <f>AVERAGE(data!V8:V458)</f>
        <v>0.84970956545032095</v>
      </c>
      <c r="K4" s="16">
        <f>AVERAGE(data!W8:W558)</f>
        <v>0.82519739929998914</v>
      </c>
      <c r="N4">
        <v>0.91151785061537327</v>
      </c>
      <c r="O4">
        <v>0.90541180153330458</v>
      </c>
    </row>
    <row r="5" spans="1:15" ht="15.75" x14ac:dyDescent="0.2">
      <c r="A5" s="15" t="s">
        <v>11</v>
      </c>
      <c r="B5" s="17">
        <f>'BOOTSTRAP PD'!F8</f>
        <v>9.4433071386118561E-3</v>
      </c>
      <c r="C5" s="17">
        <f>'BOOTSTRAP PD'!F9</f>
        <v>1.380822758474165E-2</v>
      </c>
      <c r="D5" s="17">
        <f>'BOOTSTRAP PD'!F10</f>
        <v>1.4266230938006053E-2</v>
      </c>
      <c r="E5" s="17">
        <f>'BOOTSTRAP PD'!F11</f>
        <v>1.595576488566175E-2</v>
      </c>
      <c r="F5" s="17">
        <f>'BOOTSTRAP PD'!F12</f>
        <v>1.7501547355309732E-2</v>
      </c>
      <c r="G5" s="17">
        <f>'BOOTSTRAP PD'!F13</f>
        <v>1.9029091439715762E-2</v>
      </c>
      <c r="H5" s="17">
        <f>'BOOTSTRAP PD'!F14</f>
        <v>1.9259942096119254E-2</v>
      </c>
      <c r="I5" s="17">
        <f>'BOOTSTRAP PD'!F15</f>
        <v>2.0339632077653658E-2</v>
      </c>
      <c r="J5" s="17">
        <f>'BOOTSTRAP PD'!F16</f>
        <v>1.866194285224998E-2</v>
      </c>
      <c r="K5" s="17">
        <f>'BOOTSTRAP PD'!F17</f>
        <v>1.9131209121559301E-2</v>
      </c>
      <c r="N5">
        <v>0.8744556987515737</v>
      </c>
      <c r="O5">
        <v>0.85681058725340142</v>
      </c>
    </row>
    <row r="6" spans="1:15" ht="15.75" x14ac:dyDescent="0.2">
      <c r="A6" s="15" t="s">
        <v>30</v>
      </c>
      <c r="B6" s="18">
        <f>1-40%</f>
        <v>0.6</v>
      </c>
      <c r="C6" s="18">
        <f t="shared" ref="C6:K6" si="0">1-40%</f>
        <v>0.6</v>
      </c>
      <c r="D6" s="18">
        <f t="shared" si="0"/>
        <v>0.6</v>
      </c>
      <c r="E6" s="18">
        <f t="shared" si="0"/>
        <v>0.6</v>
      </c>
      <c r="F6" s="18">
        <f t="shared" si="0"/>
        <v>0.6</v>
      </c>
      <c r="G6" s="18">
        <f t="shared" si="0"/>
        <v>0.6</v>
      </c>
      <c r="H6" s="18">
        <f t="shared" si="0"/>
        <v>0.6</v>
      </c>
      <c r="I6" s="18">
        <f t="shared" si="0"/>
        <v>0.6</v>
      </c>
      <c r="J6" s="18">
        <f t="shared" si="0"/>
        <v>0.6</v>
      </c>
      <c r="K6" s="18">
        <f t="shared" si="0"/>
        <v>0.6</v>
      </c>
      <c r="N6">
        <v>0.84035477327368657</v>
      </c>
      <c r="O6">
        <v>0.83690182656185985</v>
      </c>
    </row>
    <row r="7" spans="1:15" ht="15.75" x14ac:dyDescent="0.2">
      <c r="A7" s="15" t="s">
        <v>31</v>
      </c>
      <c r="B7" s="21">
        <f>B3*B4*B5*B6</f>
        <v>0.80770413154769105</v>
      </c>
      <c r="C7" s="21">
        <f t="shared" ref="C7:K7" si="1">C3*C4*C5*C6</f>
        <v>26.010168716384253</v>
      </c>
      <c r="D7" s="21">
        <f t="shared" si="1"/>
        <v>87.982580447425093</v>
      </c>
      <c r="E7" s="21">
        <f t="shared" si="1"/>
        <v>157.96462207116386</v>
      </c>
      <c r="F7" s="21">
        <f t="shared" si="1"/>
        <v>205.19350162118647</v>
      </c>
      <c r="G7" s="21">
        <f t="shared" si="1"/>
        <v>233.00504343276046</v>
      </c>
      <c r="H7" s="21">
        <f t="shared" si="1"/>
        <v>208.6083467005617</v>
      </c>
      <c r="I7" s="21">
        <f t="shared" si="1"/>
        <v>175.50366567568923</v>
      </c>
      <c r="J7" s="21">
        <f t="shared" si="1"/>
        <v>119.77823179021937</v>
      </c>
      <c r="K7" s="21">
        <f t="shared" si="1"/>
        <v>49.899956506677384</v>
      </c>
      <c r="N7">
        <v>0.8043622913286721</v>
      </c>
      <c r="O7">
        <v>0.79111703534627353</v>
      </c>
    </row>
    <row r="8" spans="1:15" x14ac:dyDescent="0.2">
      <c r="C8" s="3"/>
      <c r="D8" s="3"/>
      <c r="E8" s="3"/>
      <c r="F8" s="3"/>
      <c r="G8" s="3"/>
      <c r="H8" s="3"/>
      <c r="I8" s="3"/>
      <c r="J8" s="3"/>
      <c r="K8" s="3"/>
      <c r="N8">
        <v>0.77450298032409548</v>
      </c>
      <c r="O8">
        <v>0.80167720768623341</v>
      </c>
    </row>
    <row r="9" spans="1:15" ht="15.75" x14ac:dyDescent="0.25">
      <c r="A9" s="46" t="s">
        <v>32</v>
      </c>
      <c r="B9" s="47">
        <f>SUM(B7:K7)</f>
        <v>1264.7538210936154</v>
      </c>
      <c r="N9">
        <v>0.74672425995481062</v>
      </c>
      <c r="O9">
        <v>0.78560489257888222</v>
      </c>
    </row>
    <row r="10" spans="1:15" x14ac:dyDescent="0.2">
      <c r="N10">
        <v>0.71981295619015961</v>
      </c>
      <c r="O10">
        <v>0.76883583146200773</v>
      </c>
    </row>
    <row r="11" spans="1:15" x14ac:dyDescent="0.2">
      <c r="N11">
        <v>0.69260399678424811</v>
      </c>
      <c r="O11">
        <v>0.76883583146200773</v>
      </c>
    </row>
  </sheetData>
  <mergeCells count="1">
    <mergeCell ref="A1:K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Y55"/>
  <sheetViews>
    <sheetView topLeftCell="A7" zoomScale="110" zoomScaleNormal="110" workbookViewId="0">
      <selection activeCell="N19" sqref="N19"/>
    </sheetView>
  </sheetViews>
  <sheetFormatPr defaultRowHeight="12.75" x14ac:dyDescent="0.2"/>
  <cols>
    <col min="1" max="1" width="18" customWidth="1"/>
    <col min="2" max="2" width="11.5703125" customWidth="1"/>
    <col min="3" max="3" width="11.140625" bestFit="1" customWidth="1"/>
    <col min="4" max="4" width="12.42578125" bestFit="1" customWidth="1"/>
    <col min="5" max="7" width="13" bestFit="1" customWidth="1"/>
    <col min="8" max="9" width="10.85546875" customWidth="1"/>
    <col min="10" max="10" width="13" bestFit="1" customWidth="1"/>
    <col min="11" max="11" width="11" customWidth="1"/>
    <col min="12" max="12" width="10.42578125" bestFit="1" customWidth="1"/>
    <col min="14" max="14" width="17.28515625" customWidth="1"/>
    <col min="15" max="15" width="11.140625" customWidth="1"/>
  </cols>
  <sheetData>
    <row r="3" spans="1:13" x14ac:dyDescent="0.2">
      <c r="A3" s="71" t="s">
        <v>588</v>
      </c>
      <c r="B3" s="71"/>
      <c r="C3" s="72" t="s">
        <v>589</v>
      </c>
      <c r="D3" s="72">
        <v>1</v>
      </c>
      <c r="E3" s="72">
        <v>1.5</v>
      </c>
      <c r="F3" s="72">
        <v>2</v>
      </c>
      <c r="G3" s="72">
        <v>2.5</v>
      </c>
      <c r="H3" s="72">
        <v>3</v>
      </c>
      <c r="I3" s="72">
        <v>3.5</v>
      </c>
      <c r="J3" s="72">
        <v>4</v>
      </c>
      <c r="K3" s="72">
        <v>4.5</v>
      </c>
      <c r="L3" s="72">
        <v>5</v>
      </c>
    </row>
    <row r="5" spans="1:13" x14ac:dyDescent="0.2">
      <c r="A5" s="73" t="s">
        <v>590</v>
      </c>
      <c r="B5" s="71" t="s">
        <v>591</v>
      </c>
      <c r="C5" s="74"/>
      <c r="D5" s="74"/>
      <c r="E5" s="74"/>
      <c r="F5" s="75"/>
      <c r="G5" s="74"/>
      <c r="H5" s="74"/>
      <c r="I5" s="74"/>
      <c r="J5" s="76"/>
      <c r="K5" s="76"/>
      <c r="L5" s="76"/>
    </row>
    <row r="6" spans="1:13" x14ac:dyDescent="0.2">
      <c r="A6" s="77" t="s">
        <v>592</v>
      </c>
      <c r="B6" s="71" t="s">
        <v>593</v>
      </c>
      <c r="C6" s="78">
        <f>data!C458</f>
        <v>5.526472526246904E-2</v>
      </c>
      <c r="D6" s="78">
        <f>data!D408</f>
        <v>6.1626644765891518E-2</v>
      </c>
      <c r="E6" s="78">
        <f>data!E358</f>
        <v>6.8396832522209877E-2</v>
      </c>
      <c r="F6" s="78">
        <f>data!F308</f>
        <v>8.3019086955147134E-2</v>
      </c>
      <c r="G6" s="78">
        <f>data!G258</f>
        <v>7.9554964841738213E-2</v>
      </c>
      <c r="H6" s="78">
        <f>data!H208</f>
        <v>8.7548746037649422E-2</v>
      </c>
      <c r="I6" s="78">
        <f>data!I158</f>
        <v>7.5656541755932449E-2</v>
      </c>
      <c r="J6" s="78">
        <f>data!J108</f>
        <v>7.3051041674512596E-2</v>
      </c>
      <c r="K6" s="78">
        <f>data!K58</f>
        <v>7.3409183765900748E-2</v>
      </c>
      <c r="L6" s="79">
        <f>data!L8</f>
        <v>7.7065985086907415E-2</v>
      </c>
    </row>
    <row r="7" spans="1:13" x14ac:dyDescent="0.2">
      <c r="A7" s="81" t="s">
        <v>594</v>
      </c>
      <c r="B7" s="71">
        <v>1</v>
      </c>
      <c r="C7" s="82">
        <f>EXP(-SUM(C6)*0.5)</f>
        <v>0.9727459188225509</v>
      </c>
      <c r="D7" s="82">
        <f>EXP(-SUM($C$6:D6)*0.5)</f>
        <v>0.94322947050368799</v>
      </c>
      <c r="E7" s="82">
        <f>EXP(-SUM($C$6:E6)*0.5)</f>
        <v>0.91151785061537327</v>
      </c>
      <c r="F7" s="82">
        <f>EXP(-SUM($C$6:F6)*0.5)</f>
        <v>0.8744556987515737</v>
      </c>
      <c r="G7" s="82">
        <f>EXP(-SUM($C$6:G6)*0.5)</f>
        <v>0.84035477327368657</v>
      </c>
      <c r="H7" s="82">
        <f>EXP(-SUM($C$6:H6)*0.5)</f>
        <v>0.8043622913286721</v>
      </c>
      <c r="I7" s="82">
        <f>EXP(-SUM($C$6:I6)*0.5)</f>
        <v>0.77450298032409548</v>
      </c>
      <c r="J7" s="82">
        <f>EXP(-SUM($C$6:J6)*0.5)</f>
        <v>0.74672425995481062</v>
      </c>
      <c r="K7" s="82">
        <f>EXP(-SUM($C$6:K6)*0.5)</f>
        <v>0.71981295619015961</v>
      </c>
      <c r="L7" s="83">
        <f>EXP(-SUM($C$6:L6)*0.5)</f>
        <v>0.69260399678424811</v>
      </c>
    </row>
    <row r="8" spans="1:13" x14ac:dyDescent="0.2">
      <c r="A8" s="81" t="s">
        <v>617</v>
      </c>
      <c r="B8" s="71">
        <v>1</v>
      </c>
      <c r="C8" s="82">
        <f>M20</f>
        <v>0.9727459188225509</v>
      </c>
      <c r="D8" s="82">
        <f>M19</f>
        <v>0.94148012364223388</v>
      </c>
      <c r="E8" s="82">
        <f>M18</f>
        <v>0.90541180153330458</v>
      </c>
      <c r="F8" s="82">
        <f>M17</f>
        <v>0.85681058725340142</v>
      </c>
      <c r="G8" s="82">
        <f>M16</f>
        <v>0.83690182656185985</v>
      </c>
      <c r="H8" s="82">
        <f>M15</f>
        <v>0.79111703534627353</v>
      </c>
      <c r="I8" s="82">
        <f>M14</f>
        <v>0.80167720768623341</v>
      </c>
      <c r="J8" s="82">
        <f>M13</f>
        <v>0.78560489257888222</v>
      </c>
      <c r="K8" s="82">
        <f>M12</f>
        <v>0.76883583146200773</v>
      </c>
      <c r="L8" s="83">
        <f>M12</f>
        <v>0.76883583146200773</v>
      </c>
    </row>
    <row r="10" spans="1:13" x14ac:dyDescent="0.2">
      <c r="M10" s="93" t="s">
        <v>616</v>
      </c>
    </row>
    <row r="11" spans="1:13" x14ac:dyDescent="0.2">
      <c r="A11" s="77" t="s">
        <v>595</v>
      </c>
      <c r="B11" s="71" t="s">
        <v>593</v>
      </c>
      <c r="C11" s="45">
        <f>data!C$8</f>
        <v>3.7491304148582053E-2</v>
      </c>
      <c r="D11" s="45">
        <f>data!D$8</f>
        <v>4.5735908612954464E-2</v>
      </c>
      <c r="E11" s="45">
        <f>data!E$8</f>
        <v>5.1117977769042547E-2</v>
      </c>
      <c r="F11" s="45">
        <f>data!F$8</f>
        <v>5.4730068277449306E-2</v>
      </c>
      <c r="G11" s="45">
        <f>data!G$8</f>
        <v>5.8044932054008458E-2</v>
      </c>
      <c r="H11" s="45">
        <f>data!H$8</f>
        <v>6.1532006739623044E-2</v>
      </c>
      <c r="I11" s="45">
        <f>data!I$8</f>
        <v>6.5254605489460216E-2</v>
      </c>
      <c r="J11" s="45">
        <f>data!J$8</f>
        <v>6.914160367021728E-2</v>
      </c>
      <c r="K11" s="45">
        <f>data!K$8</f>
        <v>7.3100367776046588E-2</v>
      </c>
      <c r="L11" s="45">
        <f>data!L$8</f>
        <v>7.7065985086907415E-2</v>
      </c>
      <c r="M11" s="94"/>
    </row>
    <row r="12" spans="1:13" x14ac:dyDescent="0.2">
      <c r="A12" s="77" t="s">
        <v>596</v>
      </c>
      <c r="B12" s="84" t="s">
        <v>597</v>
      </c>
      <c r="C12" s="45">
        <f>data!C$58</f>
        <v>4.2604856003510737E-2</v>
      </c>
      <c r="D12" s="45">
        <f>data!D$58</f>
        <v>4.8035233250513822E-2</v>
      </c>
      <c r="E12" s="45">
        <f>data!E$58</f>
        <v>5.1815953121195045E-2</v>
      </c>
      <c r="F12" s="45">
        <f>data!F$58</f>
        <v>5.4977898542948121E-2</v>
      </c>
      <c r="G12" s="45">
        <f>data!G$58</f>
        <v>5.8233627181159445E-2</v>
      </c>
      <c r="H12" s="45">
        <f>data!H$58</f>
        <v>6.1753504499047124E-2</v>
      </c>
      <c r="I12" s="45">
        <f>data!I$58</f>
        <v>6.5508018351835659E-2</v>
      </c>
      <c r="J12" s="45">
        <f>data!J$58</f>
        <v>6.9417356107082148E-2</v>
      </c>
      <c r="K12" s="45">
        <f>data!K$58</f>
        <v>7.3409183765900748E-2</v>
      </c>
      <c r="L12" s="45"/>
      <c r="M12" s="94">
        <f>EXP(-SUM(C12:K12)*0.5)</f>
        <v>0.76883583146200773</v>
      </c>
    </row>
    <row r="13" spans="1:13" x14ac:dyDescent="0.2">
      <c r="A13" s="77" t="s">
        <v>598</v>
      </c>
      <c r="B13" s="77"/>
      <c r="C13" s="45">
        <f>data!C$108</f>
        <v>4.8083049993608462E-2</v>
      </c>
      <c r="D13" s="45">
        <f>data!D$108</f>
        <v>5.1999821668482812E-2</v>
      </c>
      <c r="E13" s="45">
        <f>data!E$108</f>
        <v>5.5181003743818055E-2</v>
      </c>
      <c r="F13" s="45">
        <f>data!F$108</f>
        <v>5.8292790774393373E-2</v>
      </c>
      <c r="G13" s="45">
        <f>data!G$108</f>
        <v>6.1643852963153167E-2</v>
      </c>
      <c r="H13" s="45">
        <f>data!H$108</f>
        <v>6.5262517743666967E-2</v>
      </c>
      <c r="I13" s="45">
        <f>data!I$108</f>
        <v>6.9088509712026486E-2</v>
      </c>
      <c r="J13" s="45">
        <f>data!J$108</f>
        <v>7.3051041674512596E-2</v>
      </c>
      <c r="M13" s="94">
        <f>EXP(-SUM(C13:J13)*0.5)</f>
        <v>0.78560489257888222</v>
      </c>
    </row>
    <row r="14" spans="1:13" x14ac:dyDescent="0.2">
      <c r="A14" s="77" t="s">
        <v>599</v>
      </c>
      <c r="B14" s="77"/>
      <c r="C14" s="45">
        <f>data!C$158</f>
        <v>5.1083124378813231E-2</v>
      </c>
      <c r="D14" s="45">
        <f>data!D$158</f>
        <v>5.5174918983155054E-2</v>
      </c>
      <c r="E14" s="45">
        <f>data!E$158</f>
        <v>5.8995254878834648E-2</v>
      </c>
      <c r="F14" s="45">
        <f>data!F$158</f>
        <v>6.2903332638652804E-2</v>
      </c>
      <c r="G14" s="45">
        <f>data!G$158</f>
        <v>6.7007025754683619E-2</v>
      </c>
      <c r="H14" s="45">
        <f>data!H$158</f>
        <v>7.1278274241677153E-2</v>
      </c>
      <c r="I14" s="45">
        <f>data!I$158</f>
        <v>7.5656541755932449E-2</v>
      </c>
      <c r="M14" s="94">
        <f>EXP(-SUM(C14:I14)*0.5)</f>
        <v>0.80167720768623341</v>
      </c>
    </row>
    <row r="15" spans="1:13" x14ac:dyDescent="0.2">
      <c r="A15" s="77" t="s">
        <v>600</v>
      </c>
      <c r="B15" s="77"/>
      <c r="C15" s="45">
        <f>data!C$208</f>
        <v>6.9115310932911983E-2</v>
      </c>
      <c r="D15" s="45">
        <f>data!D$208</f>
        <v>7.2587339062256728E-2</v>
      </c>
      <c r="E15" s="45">
        <f>data!E$208</f>
        <v>7.6071165475772834E-2</v>
      </c>
      <c r="F15" s="45">
        <f>data!F$208</f>
        <v>7.9727351426368706E-2</v>
      </c>
      <c r="G15" s="45">
        <f>data!G$208</f>
        <v>8.3568813946781534E-2</v>
      </c>
      <c r="H15" s="45">
        <f>data!H$208</f>
        <v>8.7548746037649422E-2</v>
      </c>
      <c r="M15" s="94">
        <f>EXP(-SUM(C15:H15)*0.5)</f>
        <v>0.79111703534627353</v>
      </c>
    </row>
    <row r="16" spans="1:13" x14ac:dyDescent="0.2">
      <c r="A16" s="71" t="s">
        <v>601</v>
      </c>
      <c r="B16" s="77"/>
      <c r="C16" s="45">
        <f>data!C$258</f>
        <v>6.3178672242856088E-2</v>
      </c>
      <c r="D16" s="45">
        <f>data!D$258</f>
        <v>6.706116170199658E-2</v>
      </c>
      <c r="E16" s="45">
        <f>data!E$258</f>
        <v>7.1064329366221396E-2</v>
      </c>
      <c r="F16" s="45">
        <f>data!F$258</f>
        <v>7.5237886672587448E-2</v>
      </c>
      <c r="G16" s="45">
        <f>data!G$258</f>
        <v>7.9554964841738213E-2</v>
      </c>
      <c r="M16" s="94">
        <f t="shared" ref="M16:M21" si="0">EXP(-SUM(C16:H16)*0.5)</f>
        <v>0.83690182656185985</v>
      </c>
    </row>
    <row r="17" spans="1:25" x14ac:dyDescent="0.2">
      <c r="A17" s="71" t="s">
        <v>602</v>
      </c>
      <c r="C17" s="45">
        <f>data!C$308</f>
        <v>7.1724736924126717E-2</v>
      </c>
      <c r="D17" s="45">
        <f>data!D$308</f>
        <v>7.5282917133049951E-2</v>
      </c>
      <c r="E17" s="45">
        <f>data!E$308</f>
        <v>7.9050065360899396E-2</v>
      </c>
      <c r="F17" s="45">
        <f>data!F$308</f>
        <v>8.3019086955147134E-2</v>
      </c>
      <c r="M17" s="94">
        <f t="shared" si="0"/>
        <v>0.85681058725340142</v>
      </c>
    </row>
    <row r="18" spans="1:25" x14ac:dyDescent="0.2">
      <c r="A18" s="71" t="s">
        <v>603</v>
      </c>
      <c r="C18" s="45">
        <f>data!C$358</f>
        <v>6.422092337596462E-2</v>
      </c>
      <c r="D18" s="45">
        <f>data!D$358</f>
        <v>6.6113063018002627E-2</v>
      </c>
      <c r="E18" s="45">
        <f>data!E$358</f>
        <v>6.8396832522209877E-2</v>
      </c>
      <c r="M18" s="94">
        <f t="shared" si="0"/>
        <v>0.90541180153330458</v>
      </c>
    </row>
    <row r="19" spans="1:25" x14ac:dyDescent="0.2">
      <c r="A19" s="71" t="s">
        <v>604</v>
      </c>
      <c r="C19" s="45">
        <f>data!C$408</f>
        <v>5.8977440195848635E-2</v>
      </c>
      <c r="D19" s="45">
        <f>data!D$408</f>
        <v>6.1626644765891518E-2</v>
      </c>
      <c r="M19" s="94">
        <f t="shared" si="0"/>
        <v>0.94148012364223388</v>
      </c>
    </row>
    <row r="20" spans="1:25" x14ac:dyDescent="0.2">
      <c r="A20" s="71" t="s">
        <v>605</v>
      </c>
      <c r="C20" s="45">
        <f>data!C$458</f>
        <v>5.526472526246904E-2</v>
      </c>
      <c r="M20" s="94">
        <f t="shared" si="0"/>
        <v>0.9727459188225509</v>
      </c>
    </row>
    <row r="21" spans="1:25" x14ac:dyDescent="0.2">
      <c r="A21" s="71" t="s">
        <v>606</v>
      </c>
      <c r="C21" s="45">
        <f>data!C$508</f>
        <v>6.324369643384474E-2</v>
      </c>
      <c r="M21" s="94">
        <f t="shared" si="0"/>
        <v>0.96887289382648822</v>
      </c>
    </row>
    <row r="24" spans="1:25" ht="13.5" thickBot="1" x14ac:dyDescent="0.25"/>
    <row r="25" spans="1:25" ht="15.75" thickBot="1" x14ac:dyDescent="0.3">
      <c r="A25" s="85" t="s">
        <v>607</v>
      </c>
      <c r="B25" s="71"/>
      <c r="C25" s="104" t="s">
        <v>608</v>
      </c>
      <c r="D25" s="105">
        <v>6.7702368017151335E-2</v>
      </c>
      <c r="E25" s="71" t="s">
        <v>609</v>
      </c>
      <c r="F25" s="106">
        <v>1000000</v>
      </c>
      <c r="G25" s="71" t="s">
        <v>610</v>
      </c>
      <c r="H25" s="86">
        <v>0.5</v>
      </c>
    </row>
    <row r="28" spans="1:25" ht="13.5" thickBot="1" x14ac:dyDescent="0.25">
      <c r="A28" s="141" t="s">
        <v>611</v>
      </c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N28" s="141" t="s">
        <v>615</v>
      </c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</row>
    <row r="29" spans="1:25" ht="13.5" thickTop="1" x14ac:dyDescent="0.2">
      <c r="A29" s="87" t="s">
        <v>612</v>
      </c>
      <c r="B29" s="87">
        <v>0</v>
      </c>
      <c r="C29" s="87">
        <v>0.5</v>
      </c>
      <c r="D29" s="87">
        <v>1</v>
      </c>
      <c r="E29" s="87">
        <v>1.5</v>
      </c>
      <c r="F29" s="87">
        <v>2</v>
      </c>
      <c r="G29" s="87">
        <v>2.5</v>
      </c>
      <c r="H29" s="87">
        <v>3</v>
      </c>
      <c r="I29" s="87">
        <v>3.5</v>
      </c>
      <c r="J29" s="87">
        <v>4</v>
      </c>
      <c r="K29" s="87">
        <v>4.5</v>
      </c>
      <c r="L29" s="87">
        <v>5</v>
      </c>
      <c r="N29" s="77"/>
      <c r="O29" s="87">
        <v>0</v>
      </c>
      <c r="P29" s="87">
        <v>0.5</v>
      </c>
      <c r="Q29" s="87">
        <v>1</v>
      </c>
      <c r="R29" s="87">
        <v>1.5</v>
      </c>
      <c r="S29" s="87">
        <v>2</v>
      </c>
      <c r="T29" s="87">
        <v>2.5</v>
      </c>
      <c r="U29" s="87">
        <v>3</v>
      </c>
      <c r="V29" s="87">
        <v>3.5</v>
      </c>
      <c r="W29" s="87">
        <v>4</v>
      </c>
      <c r="X29" s="87">
        <v>4.5</v>
      </c>
      <c r="Y29" s="87">
        <v>5</v>
      </c>
    </row>
    <row r="30" spans="1:25" x14ac:dyDescent="0.2">
      <c r="A30" s="88" t="str">
        <f>"swap payoffs - at T("&amp;B29&amp;")"</f>
        <v>swap payoffs - at T(0)</v>
      </c>
      <c r="C30" s="89">
        <f>(C$6-$D$25)*$H$25*C$7/$B$7*$F$25</f>
        <v>-6049.3331146950359</v>
      </c>
      <c r="D30" s="89">
        <f t="shared" ref="D30:L30" si="1">(D$6-$D$25)*$H$25*D$7/$B$7*$F$25</f>
        <v>-2865.4006126063709</v>
      </c>
      <c r="E30" s="89">
        <f t="shared" si="1"/>
        <v>316.50839648981582</v>
      </c>
      <c r="F30" s="89">
        <f t="shared" si="1"/>
        <v>6696.8960807532894</v>
      </c>
      <c r="G30" s="89">
        <f t="shared" si="1"/>
        <v>4980.1931586150622</v>
      </c>
      <c r="H30" s="89">
        <f t="shared" si="1"/>
        <v>7981.8390495714193</v>
      </c>
      <c r="I30" s="89">
        <f t="shared" si="1"/>
        <v>3080.265633350813</v>
      </c>
      <c r="J30" s="89">
        <f t="shared" si="1"/>
        <v>1996.9921892664388</v>
      </c>
      <c r="K30" s="89">
        <f t="shared" si="1"/>
        <v>2053.9199572699372</v>
      </c>
      <c r="L30" s="89">
        <f t="shared" si="1"/>
        <v>3242.6393034351354</v>
      </c>
      <c r="P30" s="89">
        <f>(C$6-$D$25)*$H$25*C$8/$B$8</f>
        <v>-6.0493331146950361E-3</v>
      </c>
      <c r="Q30" s="89">
        <f t="shared" ref="Q30:Y30" si="2">(D$6-$D$25)*$H$25*D$8/$B$8</f>
        <v>-2.8600863389060438E-3</v>
      </c>
      <c r="R30" s="89">
        <f t="shared" si="2"/>
        <v>3.1438817931299482E-4</v>
      </c>
      <c r="S30" s="89">
        <f t="shared" si="2"/>
        <v>6.5617634740297382E-3</v>
      </c>
      <c r="T30" s="89">
        <f t="shared" si="2"/>
        <v>4.9597299659990294E-3</v>
      </c>
      <c r="U30" s="89">
        <f t="shared" si="2"/>
        <v>7.8504038709689451E-3</v>
      </c>
      <c r="V30" s="89">
        <f t="shared" si="2"/>
        <v>3.1883398961786058E-3</v>
      </c>
      <c r="W30" s="89">
        <f t="shared" si="2"/>
        <v>2.1009720970153953E-3</v>
      </c>
      <c r="X30" s="89">
        <f t="shared" si="2"/>
        <v>2.1938022155951181E-3</v>
      </c>
      <c r="Y30" s="89">
        <f t="shared" si="2"/>
        <v>3.5995421576588823E-3</v>
      </c>
    </row>
    <row r="31" spans="1:25" x14ac:dyDescent="0.2">
      <c r="A31" s="88" t="str">
        <f>"swap payoffs - at T("&amp;C29&amp;")"</f>
        <v>swap payoffs - at T(0.5)</v>
      </c>
      <c r="D31" s="89">
        <f>(D$6-$D$25)*$H$25*D$7/$C$7*$F$25</f>
        <v>-2945.6824820964171</v>
      </c>
      <c r="E31" s="89">
        <f t="shared" ref="E31:L31" si="3">(E$6-$D$25)*$H$25*E$7/$C$7*$F$25</f>
        <v>325.37622658230197</v>
      </c>
      <c r="F31" s="89">
        <f t="shared" si="3"/>
        <v>6884.5275535665778</v>
      </c>
      <c r="G31" s="89">
        <f t="shared" si="3"/>
        <v>5119.7266030612391</v>
      </c>
      <c r="H31" s="89">
        <f t="shared" si="3"/>
        <v>8205.4716397401535</v>
      </c>
      <c r="I31" s="89">
        <f t="shared" si="3"/>
        <v>3166.5675216394484</v>
      </c>
      <c r="J31" s="89">
        <f t="shared" si="3"/>
        <v>2052.9432718501407</v>
      </c>
      <c r="K31" s="89">
        <f t="shared" si="3"/>
        <v>2111.4660236828145</v>
      </c>
      <c r="L31" s="89">
        <f t="shared" si="3"/>
        <v>3333.490524802356</v>
      </c>
      <c r="Q31" s="89">
        <f>(D$6-$D$25)*$H$25*D$8/$C$8</f>
        <v>-2.9402193147908574E-3</v>
      </c>
      <c r="R31" s="89">
        <f t="shared" ref="R31:Y31" si="4">(E$6-$D$25)*$H$25*E$8/$C$8</f>
        <v>3.2319660584496967E-4</v>
      </c>
      <c r="S31" s="89">
        <f t="shared" si="4"/>
        <v>6.7456088450850039E-3</v>
      </c>
      <c r="T31" s="89">
        <f t="shared" si="4"/>
        <v>5.0986900793194559E-3</v>
      </c>
      <c r="U31" s="89">
        <f t="shared" si="4"/>
        <v>8.070353952727323E-3</v>
      </c>
      <c r="V31" s="89">
        <f t="shared" si="4"/>
        <v>3.2776697742796959E-3</v>
      </c>
      <c r="W31" s="89">
        <f t="shared" si="4"/>
        <v>2.1598364550925002E-3</v>
      </c>
      <c r="X31" s="89">
        <f t="shared" si="4"/>
        <v>2.2552674579715336E-3</v>
      </c>
      <c r="Y31" s="89">
        <f t="shared" si="4"/>
        <v>3.700392967997138E-3</v>
      </c>
    </row>
    <row r="32" spans="1:25" x14ac:dyDescent="0.2">
      <c r="A32" s="88" t="str">
        <f>"swap payoffs - at T("&amp;D29&amp;")"</f>
        <v>swap payoffs - at T(1)</v>
      </c>
      <c r="E32" s="89">
        <f>(E$6-$D$25)*$H$25*E$7/$D$7*$F$25</f>
        <v>335.55821397395397</v>
      </c>
      <c r="F32" s="89">
        <f t="shared" ref="F32:L32" si="5">(F$6-$D$25)*$H$25*F$7/$D$7*$F$25</f>
        <v>7099.9648443735787</v>
      </c>
      <c r="G32" s="89">
        <f t="shared" si="5"/>
        <v>5279.9380366642072</v>
      </c>
      <c r="H32" s="89">
        <f t="shared" si="5"/>
        <v>8462.2451897194096</v>
      </c>
      <c r="I32" s="89">
        <f t="shared" si="5"/>
        <v>3265.6588133383279</v>
      </c>
      <c r="J32" s="89">
        <f t="shared" si="5"/>
        <v>2117.1859570927504</v>
      </c>
      <c r="K32" s="89">
        <f t="shared" si="5"/>
        <v>2177.5400594440043</v>
      </c>
      <c r="L32" s="89">
        <f t="shared" si="5"/>
        <v>3437.8053324643834</v>
      </c>
      <c r="R32" s="89">
        <f>(E$6-$D$25)*$H$25*E$8/$D$8</f>
        <v>3.3392970432211008E-4</v>
      </c>
      <c r="S32" s="89">
        <f t="shared" ref="S32:Y32" si="6">(F$6-$D$25)*$H$25*F$8/$D$8</f>
        <v>6.9696250714722831E-3</v>
      </c>
      <c r="T32" s="89">
        <f t="shared" si="6"/>
        <v>5.2680134624740584E-3</v>
      </c>
      <c r="U32" s="89">
        <f t="shared" si="6"/>
        <v>8.3383638951385116E-3</v>
      </c>
      <c r="V32" s="89">
        <f t="shared" si="6"/>
        <v>3.3865185425732761E-3</v>
      </c>
      <c r="W32" s="89">
        <f t="shared" si="6"/>
        <v>2.2315628808896371E-3</v>
      </c>
      <c r="X32" s="89">
        <f t="shared" si="6"/>
        <v>2.3301630703663921E-3</v>
      </c>
      <c r="Y32" s="89">
        <f t="shared" si="6"/>
        <v>3.8232800324382869E-3</v>
      </c>
    </row>
    <row r="33" spans="1:25" x14ac:dyDescent="0.2">
      <c r="A33" s="88" t="str">
        <f>"swap payoffs - at T("&amp;E29&amp;")"</f>
        <v>swap payoffs - at T(1.5)</v>
      </c>
      <c r="F33" s="89">
        <f>(F$6-$D$25)*$H$25*F$7/$E$7*$F$25</f>
        <v>7346.971950392589</v>
      </c>
      <c r="G33" s="89">
        <f t="shared" ref="G33:L33" si="7">(G$6-$D$25)*$H$25*G$7/$E$7*$F$25</f>
        <v>5463.6265820278695</v>
      </c>
      <c r="H33" s="89">
        <f t="shared" si="7"/>
        <v>8756.6459002232514</v>
      </c>
      <c r="I33" s="89">
        <f t="shared" si="7"/>
        <v>3379.2707748633779</v>
      </c>
      <c r="J33" s="89">
        <f t="shared" si="7"/>
        <v>2190.8426564748597</v>
      </c>
      <c r="K33" s="89">
        <f t="shared" si="7"/>
        <v>2253.2964723437053</v>
      </c>
      <c r="L33" s="89">
        <f t="shared" si="7"/>
        <v>3557.4062551227084</v>
      </c>
      <c r="S33" s="89">
        <f>(F$6-$D$25)*$H$25*F$8/$E$8</f>
        <v>7.2472696544461498E-3</v>
      </c>
      <c r="T33" s="89">
        <f t="shared" ref="T33:Y33" si="8">(G$6-$D$25)*$H$25*G$8/$E$8</f>
        <v>5.4778720109454979E-3</v>
      </c>
      <c r="U33" s="89">
        <f t="shared" si="8"/>
        <v>8.6705340682266072E-3</v>
      </c>
      <c r="V33" s="89">
        <f t="shared" si="8"/>
        <v>3.5214251578996303E-3</v>
      </c>
      <c r="W33" s="89">
        <f t="shared" si="8"/>
        <v>2.3204602518516137E-3</v>
      </c>
      <c r="X33" s="89">
        <f t="shared" si="8"/>
        <v>2.4229883152394735E-3</v>
      </c>
      <c r="Y33" s="89">
        <f t="shared" si="8"/>
        <v>3.9755856413215499E-3</v>
      </c>
    </row>
    <row r="34" spans="1:25" x14ac:dyDescent="0.2">
      <c r="A34" s="88" t="str">
        <f>"swap payoffs - at T("&amp;F29&amp;")"</f>
        <v>swap payoffs - at T(2)</v>
      </c>
      <c r="G34" s="89">
        <f>(G$6-$D$25)*$H$25*G$7/$F$7*$F$25</f>
        <v>5695.1920671625676</v>
      </c>
      <c r="H34" s="89">
        <f t="shared" ref="H34:L34" si="9">(H$6-$D$25)*$H$25*H$7/$F$7*$F$25</f>
        <v>9127.7797845754558</v>
      </c>
      <c r="I34" s="89">
        <f t="shared" si="9"/>
        <v>3522.4947790361343</v>
      </c>
      <c r="J34" s="89">
        <f t="shared" si="9"/>
        <v>2283.6973812595274</v>
      </c>
      <c r="K34" s="89">
        <f t="shared" si="9"/>
        <v>2348.7981840615125</v>
      </c>
      <c r="L34" s="89">
        <f t="shared" si="9"/>
        <v>3708.1801949081296</v>
      </c>
      <c r="T34" s="89">
        <f>(G$6-$D$25)*$H$25*G$8/$F$8</f>
        <v>5.7885955656756969E-3</v>
      </c>
      <c r="U34" s="89">
        <f t="shared" ref="U34:Y34" si="10">(H$6-$D$25)*$H$25*H$8/$F$8</f>
        <v>9.1623562870928807E-3</v>
      </c>
      <c r="V34" s="89">
        <f t="shared" si="10"/>
        <v>3.7211723846680895E-3</v>
      </c>
      <c r="W34" s="89">
        <f t="shared" si="10"/>
        <v>2.452084659399795E-3</v>
      </c>
      <c r="X34" s="89">
        <f t="shared" si="10"/>
        <v>2.5604284636906592E-3</v>
      </c>
      <c r="Y34" s="89">
        <f t="shared" si="10"/>
        <v>4.201094397301511E-3</v>
      </c>
    </row>
    <row r="35" spans="1:25" x14ac:dyDescent="0.2">
      <c r="A35" s="88" t="str">
        <f>"swap payoffs - at T("&amp;G29&amp;")"</f>
        <v>swap payoffs - at T(2.5)</v>
      </c>
      <c r="H35" s="89">
        <f>(H$6-$D$25)*$H$25*H$7/$G$7*$F$25</f>
        <v>9498.1777975477689</v>
      </c>
      <c r="I35" s="89">
        <f t="shared" ref="I35:L35" si="11">(I$6-$D$25)*$H$25*I$7/$G$7*$F$25</f>
        <v>3665.4348036262454</v>
      </c>
      <c r="J35" s="89">
        <f t="shared" si="11"/>
        <v>2376.3679969198661</v>
      </c>
      <c r="K35" s="89">
        <f t="shared" si="11"/>
        <v>2444.110538301205</v>
      </c>
      <c r="L35" s="89">
        <f t="shared" si="11"/>
        <v>3858.6551853607111</v>
      </c>
      <c r="U35" s="89">
        <f>(H$6-$D$25)*$H$25*H$8/$G$8</f>
        <v>9.3803163307932865E-3</v>
      </c>
      <c r="V35" s="89">
        <f t="shared" ref="V35:Y35" si="12">(I$6-$D$25)*$H$25*I$8/$G$8</f>
        <v>3.8096940345761555E-3</v>
      </c>
      <c r="W35" s="89">
        <f t="shared" si="12"/>
        <v>2.5104164315742491E-3</v>
      </c>
      <c r="X35" s="89">
        <f t="shared" si="12"/>
        <v>2.6213375881943574E-3</v>
      </c>
      <c r="Y35" s="89">
        <f t="shared" si="12"/>
        <v>4.3010327417332041E-3</v>
      </c>
    </row>
    <row r="36" spans="1:25" x14ac:dyDescent="0.2">
      <c r="A36" s="88" t="str">
        <f>"swap payoffs - at T("&amp;H29&amp;")"</f>
        <v>swap payoffs - at T(3)</v>
      </c>
      <c r="I36" s="89">
        <f>(I$6-$D$25)*$H$25*I$7/$H$7*$F$25</f>
        <v>3829.4505679309368</v>
      </c>
      <c r="J36" s="89">
        <f t="shared" ref="J36:L36" si="13">(J$6-$D$25)*$H$25*J$7/$H$7*$F$25</f>
        <v>2482.7023976568339</v>
      </c>
      <c r="K36" s="89">
        <f t="shared" si="13"/>
        <v>2553.4761877974224</v>
      </c>
      <c r="L36" s="89">
        <f t="shared" si="13"/>
        <v>4031.3169058171998</v>
      </c>
      <c r="V36" s="89">
        <f>(I$6-$D$25)*$H$25*I$8/$H$8</f>
        <v>4.0301747449832922E-3</v>
      </c>
      <c r="W36" s="89">
        <f t="shared" ref="W36:Y36" si="14">(J$6-$D$25)*$H$25*J$8/$H$8</f>
        <v>2.655703269107074E-3</v>
      </c>
      <c r="X36" s="89">
        <f t="shared" si="14"/>
        <v>2.7730438324272545E-3</v>
      </c>
      <c r="Y36" s="89">
        <f t="shared" si="14"/>
        <v>4.5499489921656854E-3</v>
      </c>
    </row>
    <row r="37" spans="1:25" x14ac:dyDescent="0.2">
      <c r="A37" s="88" t="str">
        <f>"swap payoffs - at T("&amp;I29&amp;")"</f>
        <v>swap payoffs - at T(3.5)</v>
      </c>
      <c r="J37" s="89">
        <f>(J$6-$D$25)*$H$25*J$7/$I$7*$F$25</f>
        <v>2578.4176949593984</v>
      </c>
      <c r="K37" s="89">
        <f t="shared" ref="K37:L37" si="15">(K$6-$D$25)*$H$25*K$7/$I$7*$F$25</f>
        <v>2651.9200176743825</v>
      </c>
      <c r="L37" s="89">
        <f t="shared" si="15"/>
        <v>4186.7357335129082</v>
      </c>
      <c r="W37" s="89">
        <f>(J$6-$D$25)*$H$25*J$8/$I$8</f>
        <v>2.6207207550269906E-3</v>
      </c>
      <c r="X37" s="89">
        <f t="shared" ref="X37:Y37" si="16">(K$6-$D$25)*$H$25*K$8/$I$8</f>
        <v>2.7365156381666087E-3</v>
      </c>
      <c r="Y37" s="89">
        <f t="shared" si="16"/>
        <v>4.4900143388730326E-3</v>
      </c>
    </row>
    <row r="38" spans="1:25" x14ac:dyDescent="0.2">
      <c r="A38" s="88" t="str">
        <f>"swap payoffs - at T("&amp;J29&amp;")"</f>
        <v>swap payoffs - at T(4)</v>
      </c>
      <c r="K38" s="89">
        <f>(K$6-$D$25)*$H$25*K$7/$J$7*$F$25</f>
        <v>2750.5734946849511</v>
      </c>
      <c r="L38" s="89">
        <f>(L$6-$D$25)*$H$25*L$7/$J$7*$F$25</f>
        <v>4342.4855429651761</v>
      </c>
      <c r="X38" s="89">
        <f>(K$6-$D$25)*$H$25*K$8/$J$8</f>
        <v>2.7925007040034942E-3</v>
      </c>
      <c r="Y38" s="89">
        <f>(L$6-$D$25)*$H$25*L$8/$J$8</f>
        <v>4.5818733967437127E-3</v>
      </c>
    </row>
    <row r="39" spans="1:25" x14ac:dyDescent="0.2">
      <c r="A39" s="88" t="str">
        <f>"swap payoffs - at T("&amp;K29&amp;")"</f>
        <v>swap payoffs - at T(4.5)</v>
      </c>
      <c r="L39" s="89">
        <f>(L$6-$D$25)*$H$25*L$7/$K$7*$F$25</f>
        <v>4504.8359793325217</v>
      </c>
      <c r="Y39" s="89">
        <f>(L$6-$D$25)*$H$25*L$8/$K$8</f>
        <v>4.6818085348780403E-3</v>
      </c>
    </row>
    <row r="42" spans="1:25" x14ac:dyDescent="0.2">
      <c r="A42" s="90" t="s">
        <v>613</v>
      </c>
      <c r="B42" s="91">
        <f>SUM(B30:L30)</f>
        <v>21434.520041450505</v>
      </c>
      <c r="C42" s="91">
        <f>SUM(B31:L31)</f>
        <v>28253.886882828614</v>
      </c>
      <c r="D42" s="91">
        <f>SUM(B32:L32)</f>
        <v>32175.896447070612</v>
      </c>
      <c r="E42" s="91">
        <f>SUM(B33:L33)</f>
        <v>32948.06059144836</v>
      </c>
      <c r="F42" s="91">
        <f>SUM(B34:L34)</f>
        <v>26686.14239100333</v>
      </c>
      <c r="G42" s="91">
        <f>SUM(B35:L35)</f>
        <v>21842.746321755796</v>
      </c>
      <c r="H42" s="91">
        <f>SUM(B36:L36)</f>
        <v>12896.946059202393</v>
      </c>
      <c r="I42" s="91">
        <f>SUM(B37:L37)</f>
        <v>9417.0734461466891</v>
      </c>
      <c r="J42" s="91">
        <f>SUM(B38:L38)</f>
        <v>7093.0590376501277</v>
      </c>
      <c r="K42" s="91">
        <f>SUM(B39:L39)</f>
        <v>4504.8359793325217</v>
      </c>
      <c r="L42" s="92">
        <v>0</v>
      </c>
      <c r="O42" s="91">
        <f>SUM(O30:Y30)</f>
        <v>2.1859522403157632E-2</v>
      </c>
      <c r="P42" s="91">
        <f>SUM(O31:Y31)</f>
        <v>2.8690796823526762E-2</v>
      </c>
      <c r="Q42" s="91">
        <f>SUM(O32:Y32)</f>
        <v>3.2681456659674563E-2</v>
      </c>
      <c r="R42" s="91">
        <f>SUM(O33:Y33)</f>
        <v>3.363613509993052E-2</v>
      </c>
      <c r="S42" s="91">
        <f>SUM(O34:Y34)</f>
        <v>2.7885731757828634E-2</v>
      </c>
      <c r="T42" s="91">
        <f>SUM(O35:Y35)</f>
        <v>2.2622797126871257E-2</v>
      </c>
      <c r="U42" s="91">
        <f>SUM(O36:Y36)</f>
        <v>1.4008870838683306E-2</v>
      </c>
      <c r="V42" s="91">
        <f>SUM(O37:Y37)</f>
        <v>9.8472507320666314E-3</v>
      </c>
      <c r="W42" s="91">
        <f>SUM(O38:Y38)</f>
        <v>7.374374100747207E-3</v>
      </c>
      <c r="X42" s="91">
        <f>SUM(O39:Y39)</f>
        <v>4.6818085348780403E-3</v>
      </c>
      <c r="Y42" s="92">
        <v>0</v>
      </c>
    </row>
    <row r="43" spans="1:25" x14ac:dyDescent="0.2">
      <c r="A43" s="90" t="s">
        <v>614</v>
      </c>
      <c r="B43" s="91">
        <f>MAX(B42,0)</f>
        <v>21434.520041450505</v>
      </c>
      <c r="C43" s="91">
        <f t="shared" ref="C43:L43" si="17">MAX(C42,0)</f>
        <v>28253.886882828614</v>
      </c>
      <c r="D43" s="91">
        <f t="shared" si="17"/>
        <v>32175.896447070612</v>
      </c>
      <c r="E43" s="91">
        <f t="shared" si="17"/>
        <v>32948.06059144836</v>
      </c>
      <c r="F43" s="91">
        <f t="shared" si="17"/>
        <v>26686.14239100333</v>
      </c>
      <c r="G43" s="91">
        <f t="shared" si="17"/>
        <v>21842.746321755796</v>
      </c>
      <c r="H43" s="91">
        <f t="shared" si="17"/>
        <v>12896.946059202393</v>
      </c>
      <c r="I43" s="91">
        <f t="shared" si="17"/>
        <v>9417.0734461466891</v>
      </c>
      <c r="J43" s="91">
        <f t="shared" si="17"/>
        <v>7093.0590376501277</v>
      </c>
      <c r="K43" s="91">
        <f t="shared" si="17"/>
        <v>4504.8359793325217</v>
      </c>
      <c r="L43" s="92">
        <f t="shared" si="17"/>
        <v>0</v>
      </c>
      <c r="O43" s="91">
        <f>MAX(O42,0)</f>
        <v>2.1859522403157632E-2</v>
      </c>
      <c r="P43" s="91">
        <f t="shared" ref="P43:Y43" si="18">MAX(P42,0)</f>
        <v>2.8690796823526762E-2</v>
      </c>
      <c r="Q43" s="91">
        <f t="shared" si="18"/>
        <v>3.2681456659674563E-2</v>
      </c>
      <c r="R43" s="91">
        <f t="shared" si="18"/>
        <v>3.363613509993052E-2</v>
      </c>
      <c r="S43" s="91">
        <f t="shared" si="18"/>
        <v>2.7885731757828634E-2</v>
      </c>
      <c r="T43" s="91">
        <f t="shared" si="18"/>
        <v>2.2622797126871257E-2</v>
      </c>
      <c r="U43" s="91">
        <f t="shared" si="18"/>
        <v>1.4008870838683306E-2</v>
      </c>
      <c r="V43" s="91">
        <f t="shared" si="18"/>
        <v>9.8472507320666314E-3</v>
      </c>
      <c r="W43" s="91">
        <f t="shared" si="18"/>
        <v>7.374374100747207E-3</v>
      </c>
      <c r="X43" s="91">
        <f t="shared" si="18"/>
        <v>4.6818085348780403E-3</v>
      </c>
      <c r="Y43" s="92">
        <f t="shared" si="18"/>
        <v>0</v>
      </c>
    </row>
    <row r="47" spans="1:25" x14ac:dyDescent="0.2">
      <c r="A47" s="142" t="s">
        <v>548</v>
      </c>
      <c r="B47" s="143"/>
      <c r="C47" s="143"/>
      <c r="D47" s="143"/>
      <c r="E47" s="143"/>
      <c r="F47" s="143"/>
      <c r="G47" s="143"/>
      <c r="H47" s="143"/>
      <c r="I47" s="143"/>
      <c r="J47" s="143"/>
      <c r="K47" s="144"/>
      <c r="N47" s="142" t="s">
        <v>548</v>
      </c>
      <c r="O47" s="143"/>
      <c r="P47" s="143"/>
      <c r="Q47" s="143"/>
      <c r="R47" s="143"/>
      <c r="S47" s="143"/>
      <c r="T47" s="143"/>
      <c r="U47" s="143"/>
      <c r="V47" s="143"/>
      <c r="W47" s="143"/>
      <c r="X47" s="144"/>
    </row>
    <row r="48" spans="1:25" x14ac:dyDescent="0.2">
      <c r="A48" s="95"/>
      <c r="B48" s="96" t="s">
        <v>26</v>
      </c>
      <c r="C48" s="96" t="s">
        <v>27</v>
      </c>
      <c r="D48" s="96" t="s">
        <v>28</v>
      </c>
      <c r="E48" s="96" t="s">
        <v>29</v>
      </c>
      <c r="F48" s="96" t="s">
        <v>33</v>
      </c>
      <c r="G48" s="96" t="s">
        <v>34</v>
      </c>
      <c r="H48" s="96" t="s">
        <v>35</v>
      </c>
      <c r="I48" s="96" t="s">
        <v>36</v>
      </c>
      <c r="J48" s="96" t="s">
        <v>37</v>
      </c>
      <c r="K48" s="96" t="s">
        <v>38</v>
      </c>
      <c r="N48" s="95"/>
      <c r="O48" s="96" t="s">
        <v>26</v>
      </c>
      <c r="P48" s="96" t="s">
        <v>27</v>
      </c>
      <c r="Q48" s="96" t="s">
        <v>28</v>
      </c>
      <c r="R48" s="96" t="s">
        <v>29</v>
      </c>
      <c r="S48" s="96" t="s">
        <v>33</v>
      </c>
      <c r="T48" s="96" t="s">
        <v>34</v>
      </c>
      <c r="U48" s="96" t="s">
        <v>35</v>
      </c>
      <c r="V48" s="96" t="s">
        <v>36</v>
      </c>
      <c r="W48" s="96" t="s">
        <v>37</v>
      </c>
      <c r="X48" s="96" t="s">
        <v>38</v>
      </c>
    </row>
    <row r="49" spans="1:24" x14ac:dyDescent="0.2">
      <c r="A49" s="97" t="s">
        <v>586</v>
      </c>
      <c r="B49" s="97">
        <f t="shared" ref="B49:K49" si="19">(B43+C43)/2</f>
        <v>24844.203462139558</v>
      </c>
      <c r="C49" s="97">
        <f t="shared" si="19"/>
        <v>30214.891664949613</v>
      </c>
      <c r="D49" s="97">
        <f t="shared" si="19"/>
        <v>32561.978519259486</v>
      </c>
      <c r="E49" s="97">
        <f t="shared" si="19"/>
        <v>29817.101491225847</v>
      </c>
      <c r="F49" s="97">
        <f t="shared" si="19"/>
        <v>24264.444356379565</v>
      </c>
      <c r="G49" s="97">
        <f t="shared" si="19"/>
        <v>17369.846190479097</v>
      </c>
      <c r="H49" s="97">
        <f t="shared" si="19"/>
        <v>11157.009752674541</v>
      </c>
      <c r="I49" s="97">
        <f t="shared" si="19"/>
        <v>8255.0662418984084</v>
      </c>
      <c r="J49" s="97">
        <f t="shared" si="19"/>
        <v>5798.9475084913247</v>
      </c>
      <c r="K49" s="97">
        <f t="shared" si="19"/>
        <v>2252.4179896662608</v>
      </c>
      <c r="N49" s="97" t="s">
        <v>586</v>
      </c>
      <c r="O49" s="97">
        <f t="shared" ref="O49:X49" si="20">(O43+P43)/2</f>
        <v>2.5275159613342195E-2</v>
      </c>
      <c r="P49" s="97">
        <f t="shared" si="20"/>
        <v>3.0686126741600664E-2</v>
      </c>
      <c r="Q49" s="97">
        <f t="shared" si="20"/>
        <v>3.3158795879802541E-2</v>
      </c>
      <c r="R49" s="97">
        <f t="shared" si="20"/>
        <v>3.0760933428879575E-2</v>
      </c>
      <c r="S49" s="97">
        <f t="shared" si="20"/>
        <v>2.5254264442349947E-2</v>
      </c>
      <c r="T49" s="97">
        <f t="shared" si="20"/>
        <v>1.831583398277728E-2</v>
      </c>
      <c r="U49" s="97">
        <f t="shared" si="20"/>
        <v>1.1928060785374969E-2</v>
      </c>
      <c r="V49" s="97">
        <f t="shared" si="20"/>
        <v>8.6108124164069183E-3</v>
      </c>
      <c r="W49" s="97">
        <f t="shared" si="20"/>
        <v>6.0280913178126236E-3</v>
      </c>
      <c r="X49" s="97">
        <f t="shared" si="20"/>
        <v>2.3409042674390201E-3</v>
      </c>
    </row>
    <row r="50" spans="1:24" x14ac:dyDescent="0.2">
      <c r="A50" s="97" t="s">
        <v>0</v>
      </c>
      <c r="B50" s="98">
        <f>C7</f>
        <v>0.9727459188225509</v>
      </c>
      <c r="C50" s="98">
        <f t="shared" ref="C50:K50" si="21">D7</f>
        <v>0.94322947050368799</v>
      </c>
      <c r="D50" s="98">
        <f t="shared" si="21"/>
        <v>0.91151785061537327</v>
      </c>
      <c r="E50" s="98">
        <f t="shared" si="21"/>
        <v>0.8744556987515737</v>
      </c>
      <c r="F50" s="98">
        <f t="shared" si="21"/>
        <v>0.84035477327368657</v>
      </c>
      <c r="G50" s="98">
        <f t="shared" si="21"/>
        <v>0.8043622913286721</v>
      </c>
      <c r="H50" s="98">
        <f t="shared" si="21"/>
        <v>0.77450298032409548</v>
      </c>
      <c r="I50" s="98">
        <f t="shared" si="21"/>
        <v>0.74672425995481062</v>
      </c>
      <c r="J50" s="98">
        <f t="shared" si="21"/>
        <v>0.71981295619015961</v>
      </c>
      <c r="K50" s="98">
        <f t="shared" si="21"/>
        <v>0.69260399678424811</v>
      </c>
      <c r="N50" s="97" t="s">
        <v>0</v>
      </c>
      <c r="O50" s="98">
        <f>C8</f>
        <v>0.9727459188225509</v>
      </c>
      <c r="P50" s="98">
        <f t="shared" ref="P50:X50" si="22">D8</f>
        <v>0.94148012364223388</v>
      </c>
      <c r="Q50" s="98">
        <f t="shared" si="22"/>
        <v>0.90541180153330458</v>
      </c>
      <c r="R50" s="98">
        <f t="shared" si="22"/>
        <v>0.85681058725340142</v>
      </c>
      <c r="S50" s="98">
        <f t="shared" si="22"/>
        <v>0.83690182656185985</v>
      </c>
      <c r="T50" s="98">
        <f t="shared" si="22"/>
        <v>0.79111703534627353</v>
      </c>
      <c r="U50" s="98">
        <f t="shared" si="22"/>
        <v>0.80167720768623341</v>
      </c>
      <c r="V50" s="98">
        <f t="shared" si="22"/>
        <v>0.78560489257888222</v>
      </c>
      <c r="W50" s="98">
        <f t="shared" si="22"/>
        <v>0.76883583146200773</v>
      </c>
      <c r="X50" s="98">
        <f t="shared" si="22"/>
        <v>0.76883583146200773</v>
      </c>
    </row>
    <row r="51" spans="1:24" x14ac:dyDescent="0.2">
      <c r="A51" s="97" t="s">
        <v>11</v>
      </c>
      <c r="B51" s="99">
        <f>CVA!B5</f>
        <v>9.4433071386118561E-3</v>
      </c>
      <c r="C51" s="99">
        <f>CVA!C5</f>
        <v>1.380822758474165E-2</v>
      </c>
      <c r="D51" s="99">
        <f>CVA!D5</f>
        <v>1.4266230938006053E-2</v>
      </c>
      <c r="E51" s="99">
        <f>CVA!E5</f>
        <v>1.595576488566175E-2</v>
      </c>
      <c r="F51" s="99">
        <f>CVA!F5</f>
        <v>1.7501547355309732E-2</v>
      </c>
      <c r="G51" s="99">
        <f>CVA!G5</f>
        <v>1.9029091439715762E-2</v>
      </c>
      <c r="H51" s="99">
        <f>CVA!H5</f>
        <v>1.9259942096119254E-2</v>
      </c>
      <c r="I51" s="99">
        <f>CVA!I5</f>
        <v>2.0339632077653658E-2</v>
      </c>
      <c r="J51" s="99">
        <f>CVA!J5</f>
        <v>1.866194285224998E-2</v>
      </c>
      <c r="K51" s="99">
        <f>CVA!K5</f>
        <v>1.9131209121559301E-2</v>
      </c>
      <c r="N51" s="97" t="s">
        <v>11</v>
      </c>
      <c r="O51" s="99">
        <f>B51</f>
        <v>9.4433071386118561E-3</v>
      </c>
      <c r="P51" s="99">
        <f t="shared" ref="P51:X51" si="23">C51</f>
        <v>1.380822758474165E-2</v>
      </c>
      <c r="Q51" s="99">
        <f t="shared" si="23"/>
        <v>1.4266230938006053E-2</v>
      </c>
      <c r="R51" s="99">
        <f t="shared" si="23"/>
        <v>1.595576488566175E-2</v>
      </c>
      <c r="S51" s="99">
        <f t="shared" si="23"/>
        <v>1.7501547355309732E-2</v>
      </c>
      <c r="T51" s="99">
        <f t="shared" si="23"/>
        <v>1.9029091439715762E-2</v>
      </c>
      <c r="U51" s="99">
        <f t="shared" si="23"/>
        <v>1.9259942096119254E-2</v>
      </c>
      <c r="V51" s="99">
        <f t="shared" si="23"/>
        <v>2.0339632077653658E-2</v>
      </c>
      <c r="W51" s="99">
        <f t="shared" si="23"/>
        <v>1.866194285224998E-2</v>
      </c>
      <c r="X51" s="99">
        <f t="shared" si="23"/>
        <v>1.9131209121559301E-2</v>
      </c>
    </row>
    <row r="52" spans="1:24" x14ac:dyDescent="0.2">
      <c r="A52" s="97" t="s">
        <v>30</v>
      </c>
      <c r="B52" s="100">
        <f>1-40%</f>
        <v>0.6</v>
      </c>
      <c r="C52" s="100">
        <f t="shared" ref="C52:K52" si="24">1-40%</f>
        <v>0.6</v>
      </c>
      <c r="D52" s="100">
        <f t="shared" si="24"/>
        <v>0.6</v>
      </c>
      <c r="E52" s="100">
        <f t="shared" si="24"/>
        <v>0.6</v>
      </c>
      <c r="F52" s="100">
        <f t="shared" si="24"/>
        <v>0.6</v>
      </c>
      <c r="G52" s="100">
        <f t="shared" si="24"/>
        <v>0.6</v>
      </c>
      <c r="H52" s="100">
        <f t="shared" si="24"/>
        <v>0.6</v>
      </c>
      <c r="I52" s="100">
        <f t="shared" si="24"/>
        <v>0.6</v>
      </c>
      <c r="J52" s="100">
        <f t="shared" si="24"/>
        <v>0.6</v>
      </c>
      <c r="K52" s="100">
        <f t="shared" si="24"/>
        <v>0.6</v>
      </c>
      <c r="N52" s="97" t="s">
        <v>30</v>
      </c>
      <c r="O52" s="100">
        <f>1-40%</f>
        <v>0.6</v>
      </c>
      <c r="P52" s="100">
        <f t="shared" ref="P52:X52" si="25">1-40%</f>
        <v>0.6</v>
      </c>
      <c r="Q52" s="100">
        <f t="shared" si="25"/>
        <v>0.6</v>
      </c>
      <c r="R52" s="100">
        <f t="shared" si="25"/>
        <v>0.6</v>
      </c>
      <c r="S52" s="100">
        <f t="shared" si="25"/>
        <v>0.6</v>
      </c>
      <c r="T52" s="100">
        <f t="shared" si="25"/>
        <v>0.6</v>
      </c>
      <c r="U52" s="100">
        <f t="shared" si="25"/>
        <v>0.6</v>
      </c>
      <c r="V52" s="100">
        <f t="shared" si="25"/>
        <v>0.6</v>
      </c>
      <c r="W52" s="100">
        <f t="shared" si="25"/>
        <v>0.6</v>
      </c>
      <c r="X52" s="100">
        <f t="shared" si="25"/>
        <v>0.6</v>
      </c>
    </row>
    <row r="53" spans="1:24" x14ac:dyDescent="0.2">
      <c r="A53" s="97" t="s">
        <v>31</v>
      </c>
      <c r="B53" s="101">
        <f>B49*B50*B51*B52</f>
        <v>136.93039474184636</v>
      </c>
      <c r="C53" s="101">
        <f t="shared" ref="C53:K53" si="26">C49*C50*C51*C52</f>
        <v>236.11718109356167</v>
      </c>
      <c r="D53" s="101">
        <f t="shared" si="26"/>
        <v>254.06009951781607</v>
      </c>
      <c r="E53" s="101">
        <f t="shared" si="26"/>
        <v>249.6158246935598</v>
      </c>
      <c r="F53" s="101">
        <f t="shared" si="26"/>
        <v>214.12171820843562</v>
      </c>
      <c r="G53" s="101">
        <f t="shared" si="26"/>
        <v>159.52067504821099</v>
      </c>
      <c r="H53" s="101">
        <f t="shared" si="26"/>
        <v>99.856682482788329</v>
      </c>
      <c r="I53" s="101">
        <f t="shared" si="26"/>
        <v>75.22724666229675</v>
      </c>
      <c r="J53" s="101">
        <f t="shared" si="26"/>
        <v>46.738733780077304</v>
      </c>
      <c r="K53" s="101">
        <f t="shared" si="26"/>
        <v>17.907198594607195</v>
      </c>
      <c r="N53" s="97" t="s">
        <v>31</v>
      </c>
      <c r="O53" s="101">
        <f>O49*O50*O51*O52*$F$25</f>
        <v>139.30563675717323</v>
      </c>
      <c r="P53" s="101">
        <f t="shared" ref="P53:X53" si="27">P49*P50*P51*P52*$F$25</f>
        <v>239.35495196382354</v>
      </c>
      <c r="Q53" s="101">
        <f t="shared" si="27"/>
        <v>256.98359641464924</v>
      </c>
      <c r="R53" s="101">
        <f t="shared" si="27"/>
        <v>252.32089279015116</v>
      </c>
      <c r="S53" s="101">
        <f t="shared" si="27"/>
        <v>221.94069275130903</v>
      </c>
      <c r="T53" s="101">
        <f t="shared" si="27"/>
        <v>165.43855881920857</v>
      </c>
      <c r="U53" s="101">
        <f t="shared" si="27"/>
        <v>110.50339155863126</v>
      </c>
      <c r="V53" s="101">
        <f t="shared" si="27"/>
        <v>82.554861089259433</v>
      </c>
      <c r="W53" s="101">
        <f t="shared" si="27"/>
        <v>51.894525295254354</v>
      </c>
      <c r="X53" s="101">
        <f t="shared" si="27"/>
        <v>20.659078128012254</v>
      </c>
    </row>
    <row r="54" spans="1:24" x14ac:dyDescent="0.2">
      <c r="A54" s="2"/>
      <c r="B54" s="2"/>
      <c r="C54" s="3"/>
      <c r="D54" s="3"/>
      <c r="E54" s="3"/>
      <c r="F54" s="3"/>
      <c r="G54" s="3"/>
      <c r="H54" s="3"/>
      <c r="I54" s="3"/>
      <c r="J54" s="3"/>
      <c r="K54" s="3"/>
      <c r="N54" s="2"/>
      <c r="O54" s="2"/>
      <c r="P54" s="3"/>
      <c r="Q54" s="3"/>
      <c r="R54" s="3"/>
      <c r="S54" s="3"/>
      <c r="T54" s="3"/>
      <c r="U54" s="3"/>
      <c r="V54" s="3"/>
      <c r="W54" s="3"/>
      <c r="X54" s="3"/>
    </row>
    <row r="55" spans="1:24" x14ac:dyDescent="0.2">
      <c r="A55" s="102" t="s">
        <v>32</v>
      </c>
      <c r="B55" s="103">
        <f>SUM(B53:K53)</f>
        <v>1490.0957548232002</v>
      </c>
      <c r="C55" s="2"/>
      <c r="D55" s="2"/>
      <c r="E55" s="2"/>
      <c r="F55" s="2"/>
      <c r="G55" s="2"/>
      <c r="H55" s="2"/>
      <c r="I55" s="2"/>
      <c r="J55" s="2"/>
      <c r="K55" s="2"/>
      <c r="N55" s="102" t="s">
        <v>32</v>
      </c>
      <c r="O55" s="103">
        <f>SUM(O53:X53)</f>
        <v>1540.9561855674722</v>
      </c>
      <c r="P55" s="2"/>
      <c r="Q55" s="2"/>
      <c r="R55" s="2"/>
      <c r="S55" s="2"/>
      <c r="T55" s="2"/>
      <c r="U55" s="2"/>
      <c r="V55" s="2"/>
      <c r="W55" s="2"/>
      <c r="X55" s="2"/>
    </row>
  </sheetData>
  <mergeCells count="4">
    <mergeCell ref="A28:L28"/>
    <mergeCell ref="N28:Y28"/>
    <mergeCell ref="A47:K47"/>
    <mergeCell ref="N47:X4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F508"/>
  <sheetViews>
    <sheetView workbookViewId="0">
      <pane xSplit="1" topLeftCell="S1" activePane="topRight" state="frozen"/>
      <selection pane="topRight" activeCell="CA31" sqref="CA31"/>
    </sheetView>
  </sheetViews>
  <sheetFormatPr defaultRowHeight="12.75" x14ac:dyDescent="0.2"/>
  <cols>
    <col min="1" max="1" width="10.7109375" bestFit="1" customWidth="1"/>
    <col min="38" max="44" width="15.5703125" bestFit="1" customWidth="1"/>
    <col min="45" max="47" width="14" bestFit="1" customWidth="1"/>
    <col min="49" max="55" width="11.85546875" bestFit="1" customWidth="1"/>
    <col min="56" max="58" width="10.28515625" bestFit="1" customWidth="1"/>
    <col min="59" max="59" width="5.7109375" bestFit="1" customWidth="1"/>
    <col min="61" max="62" width="9.85546875" bestFit="1" customWidth="1"/>
    <col min="63" max="63" width="11.28515625" bestFit="1" customWidth="1"/>
    <col min="64" max="64" width="10.28515625" bestFit="1" customWidth="1"/>
    <col min="65" max="68" width="9.85546875" bestFit="1" customWidth="1"/>
    <col min="69" max="70" width="8.85546875" bestFit="1" customWidth="1"/>
    <col min="71" max="71" width="5.7109375" bestFit="1" customWidth="1"/>
  </cols>
  <sheetData>
    <row r="1" spans="1:84" x14ac:dyDescent="0.2">
      <c r="A1" s="2" t="s">
        <v>543</v>
      </c>
    </row>
    <row r="2" spans="1:84" x14ac:dyDescent="0.2">
      <c r="A2" s="2" t="s">
        <v>544</v>
      </c>
      <c r="B2" s="45">
        <f>IRS!B7</f>
        <v>6.7702368017151335E-2</v>
      </c>
    </row>
    <row r="3" spans="1:84" x14ac:dyDescent="0.2">
      <c r="A3" s="2" t="s">
        <v>2</v>
      </c>
      <c r="B3">
        <v>0.5</v>
      </c>
    </row>
    <row r="4" spans="1:84" ht="15" x14ac:dyDescent="0.2">
      <c r="A4" s="2" t="s">
        <v>545</v>
      </c>
      <c r="B4">
        <v>1000000</v>
      </c>
      <c r="BI4" s="69"/>
      <c r="BJ4" s="69"/>
      <c r="BK4" s="69"/>
      <c r="BL4" s="69"/>
      <c r="BM4" s="69"/>
      <c r="BN4" s="69"/>
      <c r="BO4" s="69"/>
      <c r="BP4" s="69"/>
      <c r="BQ4" s="69"/>
      <c r="BR4" s="69"/>
    </row>
    <row r="5" spans="1:84" x14ac:dyDescent="0.2">
      <c r="BI5" s="70"/>
      <c r="BJ5" s="70"/>
      <c r="BK5" s="70"/>
      <c r="BL5" s="70"/>
      <c r="BM5" s="70"/>
      <c r="BN5" s="70"/>
      <c r="BO5" s="70"/>
      <c r="BP5" s="70"/>
      <c r="BQ5" s="70"/>
      <c r="BR5" s="70"/>
    </row>
    <row r="6" spans="1:84" ht="15" x14ac:dyDescent="0.25">
      <c r="A6" s="32" t="s">
        <v>550</v>
      </c>
      <c r="N6" s="148" t="s">
        <v>551</v>
      </c>
      <c r="O6" s="148"/>
      <c r="P6" s="148"/>
      <c r="Q6" s="148"/>
      <c r="R6" s="148"/>
      <c r="S6" s="148"/>
      <c r="T6" s="148"/>
      <c r="U6" s="148"/>
      <c r="V6" s="148"/>
      <c r="W6" s="148"/>
      <c r="Y6" s="147" t="s">
        <v>546</v>
      </c>
      <c r="Z6" s="147"/>
      <c r="AA6" s="147"/>
      <c r="AB6" s="147"/>
      <c r="AC6" s="147"/>
      <c r="AD6" s="147"/>
      <c r="AE6" s="147"/>
      <c r="AF6" s="147"/>
      <c r="AG6" s="147"/>
      <c r="AH6" s="147"/>
      <c r="AK6" s="146" t="s">
        <v>547</v>
      </c>
      <c r="AL6" s="146"/>
      <c r="AM6" s="146"/>
      <c r="AN6" s="146"/>
      <c r="AO6" s="146"/>
      <c r="AP6" s="146"/>
      <c r="AQ6" s="146"/>
      <c r="AR6" s="146"/>
      <c r="AS6" s="146"/>
      <c r="AT6" s="146"/>
      <c r="AU6" s="146"/>
      <c r="AW6" s="146" t="s">
        <v>24</v>
      </c>
      <c r="AX6" s="146"/>
      <c r="AY6" s="146"/>
      <c r="AZ6" s="146"/>
      <c r="BA6" s="146"/>
      <c r="BB6" s="146"/>
      <c r="BC6" s="146"/>
      <c r="BD6" s="146"/>
      <c r="BE6" s="146"/>
      <c r="BF6" s="146"/>
      <c r="BG6" s="146"/>
      <c r="BI6" s="145" t="s">
        <v>25</v>
      </c>
      <c r="BJ6" s="145"/>
      <c r="BK6" s="145"/>
      <c r="BL6" s="145"/>
      <c r="BM6" s="145"/>
      <c r="BN6" s="145"/>
      <c r="BO6" s="145"/>
      <c r="BP6" s="145"/>
      <c r="BQ6" s="145"/>
      <c r="BR6" s="145"/>
      <c r="BS6" s="145"/>
      <c r="BU6" s="2" t="s">
        <v>587</v>
      </c>
      <c r="BV6" s="2" t="s">
        <v>12</v>
      </c>
      <c r="BW6" s="2" t="s">
        <v>13</v>
      </c>
      <c r="BX6" s="2" t="s">
        <v>14</v>
      </c>
      <c r="BY6" s="2" t="s">
        <v>15</v>
      </c>
      <c r="BZ6" s="2" t="s">
        <v>16</v>
      </c>
      <c r="CA6" s="2" t="s">
        <v>18</v>
      </c>
      <c r="CB6" s="2" t="s">
        <v>19</v>
      </c>
      <c r="CC6" s="2" t="s">
        <v>20</v>
      </c>
      <c r="CD6" s="2" t="s">
        <v>21</v>
      </c>
      <c r="CE6" s="2" t="s">
        <v>22</v>
      </c>
      <c r="CF6" s="2" t="s">
        <v>23</v>
      </c>
    </row>
    <row r="7" spans="1:84" ht="15" x14ac:dyDescent="0.2">
      <c r="A7" s="26" t="s">
        <v>542</v>
      </c>
      <c r="B7" s="27">
        <v>0</v>
      </c>
      <c r="C7" s="28">
        <v>0.5</v>
      </c>
      <c r="D7" s="28">
        <v>1</v>
      </c>
      <c r="E7" s="28">
        <v>1.5</v>
      </c>
      <c r="F7" s="28">
        <v>2</v>
      </c>
      <c r="G7" s="28">
        <v>2.5</v>
      </c>
      <c r="H7" s="28">
        <v>3</v>
      </c>
      <c r="I7" s="28">
        <v>3.5</v>
      </c>
      <c r="J7" s="28">
        <v>4</v>
      </c>
      <c r="K7" s="28">
        <v>4.5</v>
      </c>
      <c r="L7" s="28">
        <v>5</v>
      </c>
      <c r="M7" s="22">
        <v>0</v>
      </c>
      <c r="N7" s="22">
        <v>0.5</v>
      </c>
      <c r="O7" s="22">
        <v>1</v>
      </c>
      <c r="P7" s="22">
        <v>1.5</v>
      </c>
      <c r="Q7" s="22">
        <v>2</v>
      </c>
      <c r="R7" s="22">
        <v>2.5</v>
      </c>
      <c r="S7" s="22">
        <v>3</v>
      </c>
      <c r="T7" s="22">
        <v>3.5</v>
      </c>
      <c r="U7" s="22">
        <v>4</v>
      </c>
      <c r="V7" s="22">
        <v>4.5</v>
      </c>
      <c r="W7" s="22">
        <v>5</v>
      </c>
      <c r="X7" s="22">
        <v>0</v>
      </c>
      <c r="Y7" s="22">
        <v>0.5</v>
      </c>
      <c r="Z7" s="22">
        <v>1</v>
      </c>
      <c r="AA7" s="22">
        <v>1.5</v>
      </c>
      <c r="AB7" s="22">
        <v>2</v>
      </c>
      <c r="AC7" s="22">
        <v>2.5</v>
      </c>
      <c r="AD7" s="22">
        <v>3</v>
      </c>
      <c r="AE7" s="22">
        <v>3.5</v>
      </c>
      <c r="AF7" s="22">
        <v>4</v>
      </c>
      <c r="AG7" s="22">
        <v>4.5</v>
      </c>
      <c r="AH7" s="22">
        <v>5</v>
      </c>
      <c r="AK7" s="7" t="s">
        <v>12</v>
      </c>
      <c r="AL7" s="5" t="s">
        <v>13</v>
      </c>
      <c r="AM7" s="5" t="s">
        <v>14</v>
      </c>
      <c r="AN7" s="5" t="s">
        <v>15</v>
      </c>
      <c r="AO7" s="5" t="s">
        <v>16</v>
      </c>
      <c r="AP7" s="5" t="s">
        <v>18</v>
      </c>
      <c r="AQ7" s="5" t="s">
        <v>19</v>
      </c>
      <c r="AR7" s="5" t="s">
        <v>20</v>
      </c>
      <c r="AS7" s="5" t="s">
        <v>21</v>
      </c>
      <c r="AT7" s="5" t="s">
        <v>22</v>
      </c>
      <c r="AU7" s="5" t="s">
        <v>23</v>
      </c>
      <c r="AW7" s="7" t="s">
        <v>12</v>
      </c>
      <c r="AX7" s="5" t="s">
        <v>13</v>
      </c>
      <c r="AY7" s="5" t="s">
        <v>14</v>
      </c>
      <c r="AZ7" s="5" t="s">
        <v>15</v>
      </c>
      <c r="BA7" s="5" t="s">
        <v>16</v>
      </c>
      <c r="BB7" s="5" t="s">
        <v>18</v>
      </c>
      <c r="BC7" s="5" t="s">
        <v>19</v>
      </c>
      <c r="BD7" s="5" t="s">
        <v>20</v>
      </c>
      <c r="BE7" s="5" t="s">
        <v>21</v>
      </c>
      <c r="BF7" s="5" t="s">
        <v>22</v>
      </c>
      <c r="BG7" s="5" t="s">
        <v>23</v>
      </c>
      <c r="BI7" s="7" t="s">
        <v>12</v>
      </c>
      <c r="BJ7" s="5" t="s">
        <v>13</v>
      </c>
      <c r="BK7" s="5" t="s">
        <v>14</v>
      </c>
      <c r="BL7" s="5" t="s">
        <v>15</v>
      </c>
      <c r="BM7" s="5" t="s">
        <v>16</v>
      </c>
      <c r="BN7" s="5" t="s">
        <v>18</v>
      </c>
      <c r="BO7" s="5" t="s">
        <v>19</v>
      </c>
      <c r="BP7" s="5" t="s">
        <v>20</v>
      </c>
      <c r="BQ7" s="5" t="s">
        <v>21</v>
      </c>
      <c r="BR7" s="5" t="s">
        <v>22</v>
      </c>
      <c r="BS7" s="5" t="s">
        <v>23</v>
      </c>
      <c r="BV7" s="25">
        <f>MEDIAN(BI8:BR58)</f>
        <v>4725.5664302504028</v>
      </c>
      <c r="BW7" s="25">
        <f>MEDIAN(BJ8:BR108)</f>
        <v>4014.8748964090241</v>
      </c>
      <c r="BX7" s="25">
        <f>MEDIAN(BK8:BR158)</f>
        <v>6493.0874296835009</v>
      </c>
      <c r="BY7" s="25">
        <f>MEDIAN(BL8:BR208)</f>
        <v>9479.9500154930429</v>
      </c>
      <c r="BZ7" s="25">
        <f>MEDIAN(BM8:BR258)</f>
        <v>12095.007511483283</v>
      </c>
      <c r="CA7" s="25">
        <f>MEDIAN(BN8:BR308)</f>
        <v>14313.725726502676</v>
      </c>
      <c r="CB7" s="25">
        <f>MEDIAN(BO8:BR358)</f>
        <v>16095.240946509159</v>
      </c>
      <c r="CC7" s="25">
        <f>MEDIAN(BP8:BR408)</f>
        <v>14795.609559903565</v>
      </c>
      <c r="CD7" s="25">
        <f>MEDIAN(BQ8:BR458)</f>
        <v>12331.325758368752</v>
      </c>
      <c r="CE7" s="25">
        <f>MEDIAN(BR8:BR508)</f>
        <v>11264.477910066891</v>
      </c>
      <c r="CF7">
        <v>0</v>
      </c>
    </row>
    <row r="8" spans="1:84" x14ac:dyDescent="0.2">
      <c r="A8" s="29">
        <v>0</v>
      </c>
      <c r="B8" s="30">
        <v>3.2975943200053294E-2</v>
      </c>
      <c r="C8" s="30">
        <v>3.7491304148582053E-2</v>
      </c>
      <c r="D8" s="30">
        <v>4.5735908612954464E-2</v>
      </c>
      <c r="E8" s="30">
        <v>5.1117977769042547E-2</v>
      </c>
      <c r="F8" s="30">
        <v>5.4730068277449306E-2</v>
      </c>
      <c r="G8" s="30">
        <v>5.8044932054008458E-2</v>
      </c>
      <c r="H8" s="30">
        <v>6.1532006739623044E-2</v>
      </c>
      <c r="I8" s="30">
        <v>6.5254605489460216E-2</v>
      </c>
      <c r="J8" s="30">
        <v>6.914160367021728E-2</v>
      </c>
      <c r="K8" s="30">
        <v>7.3100367776046588E-2</v>
      </c>
      <c r="L8" s="30">
        <v>7.7065985086907415E-2</v>
      </c>
      <c r="N8" s="52">
        <f>EXP(-B8*($N$7-$M$7))</f>
        <v>0.98364721102160124</v>
      </c>
      <c r="O8" s="55">
        <f>EXP(-C8*($O$7-$N$7))</f>
        <v>0.98142895491868498</v>
      </c>
      <c r="P8" s="54">
        <f>EXP(-D8*($P$7-$N$7))</f>
        <v>0.9552942138544761</v>
      </c>
      <c r="Q8" s="54">
        <f>EXP(-E8*($Q$7-$N$7))</f>
        <v>0.92618899521809384</v>
      </c>
      <c r="R8" s="56">
        <f>EXP(-F8*($R$7-$N$7))</f>
        <v>0.89631789396911121</v>
      </c>
      <c r="S8" s="59">
        <f>EXP(-G8*($S$7-$N$7))</f>
        <v>0.86492513049700681</v>
      </c>
      <c r="T8" s="1">
        <f>EXP(-H8*($T$7-$N$7))</f>
        <v>0.83144010100591625</v>
      </c>
      <c r="U8" s="1">
        <f>EXP(-I8*($U$7-$N$7))</f>
        <v>0.79581294122672175</v>
      </c>
      <c r="V8" s="66">
        <f>EXP(-J8*($V$7-$N$7))</f>
        <v>0.75838324967754955</v>
      </c>
      <c r="W8" s="63">
        <f>EXP(-K8*($W$7-$N$7))</f>
        <v>0.71967780873532905</v>
      </c>
      <c r="Y8" s="24">
        <f>C8</f>
        <v>3.7491304148582053E-2</v>
      </c>
      <c r="Z8" s="24">
        <f>(D8*$Z$7-C8*$X$7)/($Z$7-$X$7)</f>
        <v>4.5735908612954464E-2</v>
      </c>
      <c r="AA8" s="24">
        <f>(E8*$AA$7-D8*$X$7)/($AA$7-$X$7)</f>
        <v>5.1117977769042554E-2</v>
      </c>
      <c r="AB8" s="24">
        <f>(F8*$AB$7-E8*$X$7)/($AB$7-$X$7)</f>
        <v>5.4730068277449306E-2</v>
      </c>
      <c r="AC8" s="24">
        <f>(G8*$AC$7-F8*$X$7)/($AC$7-$X$7)</f>
        <v>5.8044932054008458E-2</v>
      </c>
      <c r="AD8" s="24">
        <f>(H8*$AD$7-G8*$X$7)/($AD$7-$X$7)</f>
        <v>6.1532006739623037E-2</v>
      </c>
      <c r="AE8" s="24">
        <f>(I8*$AE$7-H8*$X$7)/($AE$7-$X$7)</f>
        <v>6.5254605489460216E-2</v>
      </c>
      <c r="AF8" s="24">
        <f>(J8*$AF$7-I8*$X$7)/($AF$7-$X$7)</f>
        <v>6.914160367021728E-2</v>
      </c>
      <c r="AG8" s="24">
        <f>(K8*$AG$7-J8*$X$7)/($AG$7-$X$7)</f>
        <v>7.3100367776046588E-2</v>
      </c>
      <c r="AH8" s="24">
        <f>(L8*$AH$7-K8*$X$7)/($AH$7-$X$7)</f>
        <v>7.7065985086907415E-2</v>
      </c>
      <c r="AL8" s="23">
        <f t="shared" ref="AL8:AL71" si="0">N*(Y8-fix)*N8*time</f>
        <v>-14858.514358156821</v>
      </c>
      <c r="AM8" s="23">
        <f t="shared" ref="AM8:AM71" si="1">N*(Z8-fix)*O8*time</f>
        <v>-10779.259648162328</v>
      </c>
      <c r="AN8" s="23">
        <f t="shared" ref="AN8:AN71" si="2">N*(AA8-fix)*P8*time</f>
        <v>-7921.4860221614599</v>
      </c>
      <c r="AO8" s="23">
        <f t="shared" ref="AO8:AO71" si="3">N*(AB8-fix)*Q8*time</f>
        <v>-6007.4006307912805</v>
      </c>
      <c r="AP8" s="23">
        <f t="shared" ref="AP8:AP71" si="4">N*(AC8-fix)*R8*time</f>
        <v>-4328.0663318128891</v>
      </c>
      <c r="AQ8" s="23">
        <f t="shared" ref="AQ8:AQ71" si="5">N*(AD8-fix)*S8*time</f>
        <v>-2668.4502665899204</v>
      </c>
      <c r="AR8" s="23">
        <f t="shared" ref="AR8:AR71" si="6">N*(AE8-fix)*T8*time</f>
        <v>-1017.5839616310004</v>
      </c>
      <c r="AS8" s="23">
        <f t="shared" ref="AS8:AS71" si="7">N*(AF8-fix)*U8*time</f>
        <v>572.68117909238595</v>
      </c>
      <c r="AT8" s="23">
        <f t="shared" ref="AT8:AT71" si="8">N*(AG8-fix)*V8*time</f>
        <v>2046.8762994548053</v>
      </c>
      <c r="AU8" s="23">
        <f t="shared" ref="AU8:AU71" si="9">N*(AH8-fix)*W8*time</f>
        <v>3369.3937072993895</v>
      </c>
      <c r="AW8" s="25">
        <f>SUM(AL8:AU8)</f>
        <v>-41591.810033459114</v>
      </c>
      <c r="AX8" s="25">
        <f>SUM(AM8:AU8)</f>
        <v>-26733.295675302299</v>
      </c>
      <c r="AY8" s="25">
        <f>SUM(AN8:AU8)</f>
        <v>-15954.03602713997</v>
      </c>
      <c r="AZ8" s="25">
        <f>SUM(AO8:AU8)</f>
        <v>-8032.5500049785087</v>
      </c>
      <c r="BA8" s="25">
        <f>SUM(AP8:AU8)</f>
        <v>-2025.14937418723</v>
      </c>
      <c r="BB8" s="25">
        <f>SUM(AQ8:AU8)</f>
        <v>2302.91695762566</v>
      </c>
      <c r="BC8" s="25">
        <f>SUM(AR8:AU8)</f>
        <v>4971.3672242155808</v>
      </c>
      <c r="BD8" s="25">
        <f>SUM(AS8:AU8)</f>
        <v>5988.9511858465812</v>
      </c>
      <c r="BE8" s="25">
        <f>SUM(AT8:AU8)</f>
        <v>5416.2700067541946</v>
      </c>
      <c r="BF8" s="25">
        <f>SUM(AU8)</f>
        <v>3369.3937072993895</v>
      </c>
      <c r="BG8" s="25">
        <f>SUM(AV8)</f>
        <v>0</v>
      </c>
      <c r="BI8" s="25">
        <f>MAX(AW8,0)</f>
        <v>0</v>
      </c>
      <c r="BJ8" s="25">
        <f t="shared" ref="BJ8:BS8" si="10">MAX(AX8,0)</f>
        <v>0</v>
      </c>
      <c r="BK8" s="25">
        <f t="shared" si="10"/>
        <v>0</v>
      </c>
      <c r="BL8" s="25">
        <f t="shared" si="10"/>
        <v>0</v>
      </c>
      <c r="BM8" s="25">
        <f t="shared" si="10"/>
        <v>0</v>
      </c>
      <c r="BN8" s="25">
        <f t="shared" si="10"/>
        <v>2302.91695762566</v>
      </c>
      <c r="BO8" s="25">
        <f t="shared" si="10"/>
        <v>4971.3672242155808</v>
      </c>
      <c r="BP8" s="25">
        <f t="shared" si="10"/>
        <v>5988.9511858465812</v>
      </c>
      <c r="BQ8" s="25">
        <f t="shared" si="10"/>
        <v>5416.2700067541946</v>
      </c>
      <c r="BR8" s="25">
        <f t="shared" si="10"/>
        <v>3369.3937072993895</v>
      </c>
      <c r="BS8" s="25">
        <f t="shared" si="10"/>
        <v>0</v>
      </c>
    </row>
    <row r="9" spans="1:84" x14ac:dyDescent="0.2">
      <c r="A9" s="29">
        <f>A8+0.01</f>
        <v>0.01</v>
      </c>
      <c r="B9" s="30">
        <v>3.319682169764359E-2</v>
      </c>
      <c r="C9" s="30">
        <v>3.7857268138099393E-2</v>
      </c>
      <c r="D9" s="30">
        <v>4.610409793023907E-2</v>
      </c>
      <c r="E9" s="30">
        <v>5.149971880539618E-2</v>
      </c>
      <c r="F9" s="30">
        <v>5.5144788346982637E-2</v>
      </c>
      <c r="G9" s="30">
        <v>5.8492486876848895E-2</v>
      </c>
      <c r="H9" s="30">
        <v>6.200462236316364E-2</v>
      </c>
      <c r="I9" s="30">
        <v>6.574231055143949E-2</v>
      </c>
      <c r="J9" s="30">
        <v>6.9634486864091322E-2</v>
      </c>
      <c r="K9" s="30">
        <v>7.3589561645612853E-2</v>
      </c>
      <c r="L9" s="30">
        <v>7.7543541115949258E-2</v>
      </c>
      <c r="N9" s="52">
        <f t="shared" ref="N9:N58" si="11">EXP(-B9*($N$7-$M$7))</f>
        <v>0.98353858376100356</v>
      </c>
      <c r="O9" s="55">
        <f t="shared" ref="O9:O72" si="12">EXP(-C9*($O$7-$N$7))</f>
        <v>0.98124938752010149</v>
      </c>
      <c r="P9" s="54">
        <f t="shared" ref="P9:P72" si="13">EXP(-D9*($P$7-$N$7))</f>
        <v>0.95494254947357793</v>
      </c>
      <c r="Q9" s="54">
        <f t="shared" ref="Q9:Q58" si="14">EXP(-E9*($Q$7-$N$7))</f>
        <v>0.92565880051004779</v>
      </c>
      <c r="R9" s="56">
        <f t="shared" ref="R9:R58" si="15">EXP(-F9*($R$7-$N$7))</f>
        <v>0.89557476016559678</v>
      </c>
      <c r="S9" s="59">
        <f t="shared" ref="S9:S58" si="16">EXP(-G9*($S$7-$N$7))</f>
        <v>0.86395791816471734</v>
      </c>
      <c r="T9" s="1">
        <f t="shared" ref="T9:T58" si="17">EXP(-H9*($T$7-$N$7))</f>
        <v>0.830262081583518</v>
      </c>
      <c r="U9" s="1">
        <f t="shared" ref="U9:U58" si="18">EXP(-I9*($U$7-$N$7))</f>
        <v>0.79445567296344943</v>
      </c>
      <c r="V9" s="66">
        <f t="shared" ref="V9:V58" si="19">EXP(-J9*($V$7-$N$7))</f>
        <v>0.75688954517194629</v>
      </c>
      <c r="W9" s="63">
        <f t="shared" ref="W9:W58" si="20">EXP(-K9*($W$7-$N$7))</f>
        <v>0.71809527237592441</v>
      </c>
      <c r="Y9" s="24">
        <f t="shared" ref="Y9:Y58" si="21">C9</f>
        <v>3.7857268138099393E-2</v>
      </c>
      <c r="Z9" s="24">
        <f t="shared" ref="Z9:Z72" si="22">(D9*$Z$7-C9*$X$7)/($Z$7-$X$7)</f>
        <v>4.610409793023907E-2</v>
      </c>
      <c r="AA9" s="24">
        <f t="shared" ref="AA9:AA72" si="23">(E9*$AA$7-D9*$X$7)/($AA$7-$X$7)</f>
        <v>5.1499718805396187E-2</v>
      </c>
      <c r="AB9" s="24">
        <f t="shared" ref="AB9:AB72" si="24">(F9*$AB$7-E9*$X$7)/($AB$7-$X$7)</f>
        <v>5.5144788346982637E-2</v>
      </c>
      <c r="AC9" s="24">
        <f t="shared" ref="AC9:AC72" si="25">(G9*$AC$7-F9*$X$7)/($AC$7-$X$7)</f>
        <v>5.8492486876848895E-2</v>
      </c>
      <c r="AD9" s="24">
        <f t="shared" ref="AD9:AD72" si="26">(H9*$AD$7-G9*$X$7)/($AD$7-$X$7)</f>
        <v>6.200462236316364E-2</v>
      </c>
      <c r="AE9" s="24">
        <f t="shared" ref="AE9:AE72" si="27">(I9*$AE$7-H9*$X$7)/($AE$7-$X$7)</f>
        <v>6.574231055143949E-2</v>
      </c>
      <c r="AF9" s="24">
        <f t="shared" ref="AF9:AF72" si="28">(J9*$AF$7-I9*$X$7)/($AF$7-$X$7)</f>
        <v>6.9634486864091322E-2</v>
      </c>
      <c r="AG9" s="24">
        <f t="shared" ref="AG9:AG72" si="29">(K9*$AG$7-J9*$X$7)/($AG$7-$X$7)</f>
        <v>7.3589561645612853E-2</v>
      </c>
      <c r="AH9" s="24">
        <f t="shared" ref="AH9:AH72" si="30">(L9*$AH$7-K9*$X$7)/($AH$7-$X$7)</f>
        <v>7.7543541115949258E-2</v>
      </c>
      <c r="AL9" s="23">
        <f t="shared" si="0"/>
        <v>-14676.903633624222</v>
      </c>
      <c r="AM9" s="23">
        <f t="shared" si="1"/>
        <v>-10596.644647138193</v>
      </c>
      <c r="AN9" s="23">
        <f t="shared" si="2"/>
        <v>-7736.2995732497593</v>
      </c>
      <c r="AO9" s="23">
        <f t="shared" si="3"/>
        <v>-5812.0170673988587</v>
      </c>
      <c r="AP9" s="23">
        <f t="shared" si="4"/>
        <v>-4124.068546690005</v>
      </c>
      <c r="AQ9" s="23">
        <f t="shared" si="5"/>
        <v>-2461.3062367256375</v>
      </c>
      <c r="AR9" s="23">
        <f t="shared" si="6"/>
        <v>-813.68069575261575</v>
      </c>
      <c r="AS9" s="23">
        <f t="shared" si="7"/>
        <v>767.49138939553563</v>
      </c>
      <c r="AT9" s="23">
        <f t="shared" si="8"/>
        <v>2227.977653892709</v>
      </c>
      <c r="AU9" s="23">
        <f t="shared" si="9"/>
        <v>3533.4499384399574</v>
      </c>
      <c r="AW9" s="25">
        <f t="shared" ref="AW9:AW58" si="31">SUM(AL9:AU9)</f>
        <v>-39692.001418851076</v>
      </c>
      <c r="AX9" s="25">
        <f t="shared" ref="AX9:AX72" si="32">SUM(AM9:AU9)</f>
        <v>-25015.097785226873</v>
      </c>
      <c r="AY9" s="25">
        <f t="shared" ref="AY9:AY72" si="33">SUM(AN9:AU9)</f>
        <v>-14418.45313808868</v>
      </c>
      <c r="AZ9" s="25">
        <f t="shared" ref="AZ9:AZ72" si="34">SUM(AO9:AU9)</f>
        <v>-6682.1535648389145</v>
      </c>
      <c r="BA9" s="25">
        <f t="shared" ref="BA9:BA72" si="35">SUM(AP9:AU9)</f>
        <v>-870.13649744005625</v>
      </c>
      <c r="BB9" s="25">
        <f t="shared" ref="BB9:BB72" si="36">SUM(AQ9:AU9)</f>
        <v>3253.9320492499487</v>
      </c>
      <c r="BC9" s="25">
        <f t="shared" ref="BC9:BC72" si="37">SUM(AR9:AU9)</f>
        <v>5715.2382859755862</v>
      </c>
      <c r="BD9" s="25">
        <f t="shared" ref="BD9:BD72" si="38">SUM(AS9:AU9)</f>
        <v>6528.9189817282022</v>
      </c>
      <c r="BE9" s="25">
        <f t="shared" ref="BE9:BE72" si="39">SUM(AT9:AU9)</f>
        <v>5761.4275923326659</v>
      </c>
      <c r="BF9" s="25">
        <f t="shared" ref="BF9:BF72" si="40">SUM(AU9)</f>
        <v>3533.4499384399574</v>
      </c>
      <c r="BG9" s="25">
        <f t="shared" ref="BG9:BG72" si="41">SUM(AV9)</f>
        <v>0</v>
      </c>
      <c r="BI9" s="25">
        <f t="shared" ref="BI9:BI27" si="42">MAX(AW9,0)</f>
        <v>0</v>
      </c>
      <c r="BJ9" s="25">
        <f t="shared" ref="BJ9:BJ27" si="43">MAX(AX9,0)</f>
        <v>0</v>
      </c>
      <c r="BK9" s="25">
        <f t="shared" ref="BK9:BK27" si="44">MAX(AY9,0)</f>
        <v>0</v>
      </c>
      <c r="BL9" s="25">
        <f t="shared" ref="BL9:BL27" si="45">MAX(AZ9,0)</f>
        <v>0</v>
      </c>
      <c r="BM9" s="25">
        <f t="shared" ref="BM9:BM27" si="46">MAX(BA9,0)</f>
        <v>0</v>
      </c>
      <c r="BN9" s="25">
        <f t="shared" ref="BN9:BN27" si="47">MAX(BB9,0)</f>
        <v>3253.9320492499487</v>
      </c>
      <c r="BO9" s="25">
        <f t="shared" ref="BO9:BO27" si="48">MAX(BC9,0)</f>
        <v>5715.2382859755862</v>
      </c>
      <c r="BP9" s="25">
        <f t="shared" ref="BP9:BP27" si="49">MAX(BD9,0)</f>
        <v>6528.9189817282022</v>
      </c>
      <c r="BQ9" s="25">
        <f t="shared" ref="BQ9:BQ27" si="50">MAX(BE9,0)</f>
        <v>5761.4275923326659</v>
      </c>
      <c r="BR9" s="25">
        <f t="shared" ref="BR9:BR27" si="51">MAX(BF9,0)</f>
        <v>3533.4499384399574</v>
      </c>
      <c r="BS9" s="25">
        <f t="shared" ref="BS9:BS27" si="52">MAX(BG9,0)</f>
        <v>0</v>
      </c>
    </row>
    <row r="10" spans="1:84" x14ac:dyDescent="0.2">
      <c r="A10" s="29">
        <f t="shared" ref="A10:A73" si="53">A9+0.01</f>
        <v>0.02</v>
      </c>
      <c r="B10" s="30">
        <v>3.2794740222853759E-2</v>
      </c>
      <c r="C10" s="30">
        <v>3.7447652845061269E-2</v>
      </c>
      <c r="D10" s="30">
        <v>4.5571813135946312E-2</v>
      </c>
      <c r="E10" s="30">
        <v>5.087978253542632E-2</v>
      </c>
      <c r="F10" s="30">
        <v>5.4478654965161681E-2</v>
      </c>
      <c r="G10" s="30">
        <v>5.7801166857219935E-2</v>
      </c>
      <c r="H10" s="30">
        <v>6.1300494018072388E-2</v>
      </c>
      <c r="I10" s="30">
        <v>6.5034488798659959E-2</v>
      </c>
      <c r="J10" s="30">
        <v>6.8931055218782983E-2</v>
      </c>
      <c r="K10" s="30">
        <v>7.2898533840844756E-2</v>
      </c>
      <c r="L10" s="30">
        <v>7.6872736066978795E-2</v>
      </c>
      <c r="N10" s="52">
        <f t="shared" si="11"/>
        <v>0.98373633496049662</v>
      </c>
      <c r="O10" s="55">
        <f t="shared" si="12"/>
        <v>0.98145037547904068</v>
      </c>
      <c r="P10" s="54">
        <f t="shared" si="13"/>
        <v>0.95545098617664437</v>
      </c>
      <c r="Q10" s="54">
        <f t="shared" si="14"/>
        <v>0.92651997504906958</v>
      </c>
      <c r="R10" s="56">
        <f t="shared" si="15"/>
        <v>0.89676869979937079</v>
      </c>
      <c r="S10" s="59">
        <f t="shared" si="16"/>
        <v>0.86545238775100652</v>
      </c>
      <c r="T10" s="1">
        <f t="shared" si="17"/>
        <v>0.83201776847051578</v>
      </c>
      <c r="U10" s="1">
        <f t="shared" si="18"/>
        <v>0.79642627844537972</v>
      </c>
      <c r="V10" s="66">
        <f t="shared" si="19"/>
        <v>0.75902222438530509</v>
      </c>
      <c r="W10" s="63">
        <f t="shared" si="20"/>
        <v>0.72033175498356516</v>
      </c>
      <c r="Y10" s="24">
        <f t="shared" si="21"/>
        <v>3.7447652845061269E-2</v>
      </c>
      <c r="Z10" s="24">
        <f>(D10*$Z$7-C10*$X$7)/($Z$7-$X$7)</f>
        <v>4.5571813135946312E-2</v>
      </c>
      <c r="AA10" s="24">
        <f t="shared" si="23"/>
        <v>5.087978253542632E-2</v>
      </c>
      <c r="AB10" s="24">
        <f t="shared" si="24"/>
        <v>5.4478654965161681E-2</v>
      </c>
      <c r="AC10" s="24">
        <f t="shared" si="25"/>
        <v>5.7801166857219935E-2</v>
      </c>
      <c r="AD10" s="24">
        <f t="shared" si="26"/>
        <v>6.1300494018072388E-2</v>
      </c>
      <c r="AE10" s="24">
        <f t="shared" si="27"/>
        <v>6.5034488798659959E-2</v>
      </c>
      <c r="AF10" s="24">
        <f t="shared" si="28"/>
        <v>6.8931055218782983E-2</v>
      </c>
      <c r="AG10" s="24">
        <f t="shared" si="29"/>
        <v>7.2898533840844756E-2</v>
      </c>
      <c r="AH10" s="24">
        <f t="shared" si="30"/>
        <v>7.6872736066978795E-2</v>
      </c>
      <c r="AL10" s="23">
        <f t="shared" si="0"/>
        <v>-14881.331309332805</v>
      </c>
      <c r="AM10" s="23">
        <f t="shared" si="1"/>
        <v>-10860.020698859093</v>
      </c>
      <c r="AN10" s="23">
        <f t="shared" si="2"/>
        <v>-8036.5779442775329</v>
      </c>
      <c r="AO10" s="23">
        <f t="shared" si="3"/>
        <v>-6126.0171434927552</v>
      </c>
      <c r="AP10" s="23">
        <f t="shared" si="4"/>
        <v>-4439.5436453218517</v>
      </c>
      <c r="AQ10" s="23">
        <f t="shared" si="5"/>
        <v>-2770.2585692919797</v>
      </c>
      <c r="AR10" s="23">
        <f t="shared" si="6"/>
        <v>-1109.8614569590291</v>
      </c>
      <c r="AS10" s="23">
        <f t="shared" si="7"/>
        <v>489.2793876844807</v>
      </c>
      <c r="AT10" s="23">
        <f t="shared" si="8"/>
        <v>1972.0026708873411</v>
      </c>
      <c r="AU10" s="23">
        <f t="shared" si="9"/>
        <v>3302.8536555887135</v>
      </c>
      <c r="AW10" s="25">
        <f t="shared" si="31"/>
        <v>-42459.47505337451</v>
      </c>
      <c r="AX10" s="25">
        <f t="shared" si="32"/>
        <v>-27578.143744041703</v>
      </c>
      <c r="AY10" s="25">
        <f t="shared" si="33"/>
        <v>-16718.123045182612</v>
      </c>
      <c r="AZ10" s="25">
        <f t="shared" si="34"/>
        <v>-8681.545100905083</v>
      </c>
      <c r="BA10" s="25">
        <f t="shared" si="35"/>
        <v>-2555.5279574123247</v>
      </c>
      <c r="BB10" s="25">
        <f t="shared" si="36"/>
        <v>1884.0156879095266</v>
      </c>
      <c r="BC10" s="25">
        <f t="shared" si="37"/>
        <v>4654.2742572015068</v>
      </c>
      <c r="BD10" s="25">
        <f t="shared" si="38"/>
        <v>5764.1357141605349</v>
      </c>
      <c r="BE10" s="25">
        <f t="shared" si="39"/>
        <v>5274.8563264760542</v>
      </c>
      <c r="BF10" s="25">
        <f t="shared" si="40"/>
        <v>3302.8536555887135</v>
      </c>
      <c r="BG10" s="25">
        <f t="shared" si="41"/>
        <v>0</v>
      </c>
      <c r="BI10" s="25">
        <f t="shared" si="42"/>
        <v>0</v>
      </c>
      <c r="BJ10" s="25">
        <f t="shared" si="43"/>
        <v>0</v>
      </c>
      <c r="BK10" s="25">
        <f t="shared" si="44"/>
        <v>0</v>
      </c>
      <c r="BL10" s="25">
        <f t="shared" si="45"/>
        <v>0</v>
      </c>
      <c r="BM10" s="25">
        <f t="shared" si="46"/>
        <v>0</v>
      </c>
      <c r="BN10" s="25">
        <f t="shared" si="47"/>
        <v>1884.0156879095266</v>
      </c>
      <c r="BO10" s="25">
        <f t="shared" si="48"/>
        <v>4654.2742572015068</v>
      </c>
      <c r="BP10" s="25">
        <f t="shared" si="49"/>
        <v>5764.1357141605349</v>
      </c>
      <c r="BQ10" s="25">
        <f t="shared" si="50"/>
        <v>5274.8563264760542</v>
      </c>
      <c r="BR10" s="25">
        <f t="shared" si="51"/>
        <v>3302.8536555887135</v>
      </c>
      <c r="BS10" s="25">
        <f t="shared" si="52"/>
        <v>0</v>
      </c>
    </row>
    <row r="11" spans="1:84" x14ac:dyDescent="0.2">
      <c r="A11" s="29">
        <f t="shared" si="53"/>
        <v>0.03</v>
      </c>
      <c r="B11" s="30">
        <v>3.2238653627023869E-2</v>
      </c>
      <c r="C11" s="30">
        <v>3.6891320201770932E-2</v>
      </c>
      <c r="D11" s="30">
        <v>4.4898966905439978E-2</v>
      </c>
      <c r="E11" s="30">
        <v>5.0121647961020116E-2</v>
      </c>
      <c r="F11" s="30">
        <v>5.3672569445754104E-2</v>
      </c>
      <c r="G11" s="30">
        <v>5.6964473558382772E-2</v>
      </c>
      <c r="H11" s="30">
        <v>6.0442224740917094E-2</v>
      </c>
      <c r="I11" s="30">
        <v>6.4160670011459947E-2</v>
      </c>
      <c r="J11" s="30">
        <v>6.8046914641502115E-2</v>
      </c>
      <c r="K11" s="30">
        <v>7.2009440332536576E-2</v>
      </c>
      <c r="L11" s="30">
        <v>7.5984074469893373E-2</v>
      </c>
      <c r="N11" s="52">
        <f t="shared" si="11"/>
        <v>0.98400989428425378</v>
      </c>
      <c r="O11" s="55">
        <f t="shared" si="12"/>
        <v>0.98172341989398459</v>
      </c>
      <c r="P11" s="54">
        <f t="shared" si="13"/>
        <v>0.9560940740965066</v>
      </c>
      <c r="Q11" s="54">
        <f t="shared" si="14"/>
        <v>0.92757421461749912</v>
      </c>
      <c r="R11" s="56">
        <f t="shared" si="15"/>
        <v>0.89821561034595454</v>
      </c>
      <c r="S11" s="59">
        <f t="shared" si="16"/>
        <v>0.86726457793272105</v>
      </c>
      <c r="T11" s="1">
        <f t="shared" si="17"/>
        <v>0.8341628146925254</v>
      </c>
      <c r="U11" s="1">
        <f t="shared" si="18"/>
        <v>0.79886576982887003</v>
      </c>
      <c r="V11" s="66">
        <f t="shared" si="19"/>
        <v>0.76171130602548465</v>
      </c>
      <c r="W11" s="63">
        <f t="shared" si="20"/>
        <v>0.72321951827987141</v>
      </c>
      <c r="Y11" s="24">
        <f t="shared" si="21"/>
        <v>3.6891320201770932E-2</v>
      </c>
      <c r="Z11" s="24">
        <f t="shared" si="22"/>
        <v>4.4898966905439978E-2</v>
      </c>
      <c r="AA11" s="24">
        <f t="shared" si="23"/>
        <v>5.0121647961020116E-2</v>
      </c>
      <c r="AB11" s="24">
        <f t="shared" si="24"/>
        <v>5.3672569445754104E-2</v>
      </c>
      <c r="AC11" s="24">
        <f t="shared" si="25"/>
        <v>5.6964473558382765E-2</v>
      </c>
      <c r="AD11" s="24">
        <f t="shared" si="26"/>
        <v>6.0442224740917094E-2</v>
      </c>
      <c r="AE11" s="24">
        <f t="shared" si="27"/>
        <v>6.4160670011459947E-2</v>
      </c>
      <c r="AF11" s="24">
        <f t="shared" si="28"/>
        <v>6.8046914641502115E-2</v>
      </c>
      <c r="AG11" s="24">
        <f t="shared" si="29"/>
        <v>7.2009440332536576E-2</v>
      </c>
      <c r="AH11" s="24">
        <f t="shared" si="30"/>
        <v>7.5984074469893373E-2</v>
      </c>
      <c r="AL11" s="23">
        <f t="shared" si="0"/>
        <v>-15159.18795179978</v>
      </c>
      <c r="AM11" s="23">
        <f t="shared" si="1"/>
        <v>-11193.31646230178</v>
      </c>
      <c r="AN11" s="23">
        <f t="shared" si="2"/>
        <v>-8404.4111320083321</v>
      </c>
      <c r="AO11" s="23">
        <f t="shared" si="3"/>
        <v>-6506.8396955527496</v>
      </c>
      <c r="AP11" s="23">
        <f t="shared" si="4"/>
        <v>-4822.4722125566268</v>
      </c>
      <c r="AQ11" s="23">
        <f t="shared" si="5"/>
        <v>-3148.2325470971855</v>
      </c>
      <c r="AR11" s="23">
        <f t="shared" si="6"/>
        <v>-1477.1763886092158</v>
      </c>
      <c r="AS11" s="23">
        <f t="shared" si="7"/>
        <v>137.62325215196239</v>
      </c>
      <c r="AT11" s="23">
        <f t="shared" si="8"/>
        <v>1640.3728392491498</v>
      </c>
      <c r="AU11" s="23">
        <f t="shared" si="9"/>
        <v>2994.7458756436999</v>
      </c>
      <c r="AW11" s="25">
        <f t="shared" si="31"/>
        <v>-45938.894422880861</v>
      </c>
      <c r="AX11" s="25">
        <f t="shared" si="32"/>
        <v>-30779.706471081077</v>
      </c>
      <c r="AY11" s="25">
        <f t="shared" si="33"/>
        <v>-19586.390008779294</v>
      </c>
      <c r="AZ11" s="25">
        <f t="shared" si="34"/>
        <v>-11181.978876770962</v>
      </c>
      <c r="BA11" s="25">
        <f t="shared" si="35"/>
        <v>-4675.1391812182146</v>
      </c>
      <c r="BB11" s="25">
        <f t="shared" si="36"/>
        <v>147.33303133841082</v>
      </c>
      <c r="BC11" s="25">
        <f t="shared" si="37"/>
        <v>3295.5655784355963</v>
      </c>
      <c r="BD11" s="25">
        <f t="shared" si="38"/>
        <v>4772.7419670448126</v>
      </c>
      <c r="BE11" s="25">
        <f t="shared" si="39"/>
        <v>4635.1187148928493</v>
      </c>
      <c r="BF11" s="25">
        <f t="shared" si="40"/>
        <v>2994.7458756436999</v>
      </c>
      <c r="BG11" s="25">
        <f t="shared" si="41"/>
        <v>0</v>
      </c>
      <c r="BI11" s="25">
        <f t="shared" si="42"/>
        <v>0</v>
      </c>
      <c r="BJ11" s="25">
        <f t="shared" si="43"/>
        <v>0</v>
      </c>
      <c r="BK11" s="25">
        <f t="shared" si="44"/>
        <v>0</v>
      </c>
      <c r="BL11" s="25">
        <f t="shared" si="45"/>
        <v>0</v>
      </c>
      <c r="BM11" s="25">
        <f t="shared" si="46"/>
        <v>0</v>
      </c>
      <c r="BN11" s="25">
        <f t="shared" si="47"/>
        <v>147.33303133841082</v>
      </c>
      <c r="BO11" s="25">
        <f t="shared" si="48"/>
        <v>3295.5655784355963</v>
      </c>
      <c r="BP11" s="25">
        <f t="shared" si="49"/>
        <v>4772.7419670448126</v>
      </c>
      <c r="BQ11" s="25">
        <f t="shared" si="50"/>
        <v>4635.1187148928493</v>
      </c>
      <c r="BR11" s="25">
        <f t="shared" si="51"/>
        <v>2994.7458756436999</v>
      </c>
      <c r="BS11" s="25">
        <f t="shared" si="52"/>
        <v>0</v>
      </c>
    </row>
    <row r="12" spans="1:84" x14ac:dyDescent="0.2">
      <c r="A12" s="29">
        <f t="shared" si="53"/>
        <v>0.04</v>
      </c>
      <c r="B12" s="30">
        <v>3.23167425082602E-2</v>
      </c>
      <c r="C12" s="30">
        <v>3.7088156367651948E-2</v>
      </c>
      <c r="D12" s="30">
        <v>4.5088448181996109E-2</v>
      </c>
      <c r="E12" s="30">
        <v>5.0322838163780026E-2</v>
      </c>
      <c r="F12" s="30">
        <v>5.3910623237026965E-2</v>
      </c>
      <c r="G12" s="30">
        <v>5.7245285843504738E-2</v>
      </c>
      <c r="H12" s="30">
        <v>6.076398600037277E-2</v>
      </c>
      <c r="I12" s="30">
        <v>6.4519110343562794E-2</v>
      </c>
      <c r="J12" s="30">
        <v>6.8437485012980373E-2</v>
      </c>
      <c r="K12" s="30">
        <v>7.242823116506665E-2</v>
      </c>
      <c r="L12" s="30">
        <v>7.6427690369438292E-2</v>
      </c>
      <c r="N12" s="52">
        <f t="shared" si="11"/>
        <v>0.98397147491840486</v>
      </c>
      <c r="O12" s="55">
        <f t="shared" si="12"/>
        <v>0.98162680531140978</v>
      </c>
      <c r="P12" s="54">
        <f t="shared" si="13"/>
        <v>0.95591292933315153</v>
      </c>
      <c r="Q12" s="54">
        <f t="shared" si="14"/>
        <v>0.92729432858589822</v>
      </c>
      <c r="R12" s="56">
        <f t="shared" si="15"/>
        <v>0.89778806487000573</v>
      </c>
      <c r="S12" s="59">
        <f t="shared" si="16"/>
        <v>0.86665594522730738</v>
      </c>
      <c r="T12" s="1">
        <f t="shared" si="17"/>
        <v>0.83335799935907073</v>
      </c>
      <c r="U12" s="1">
        <f t="shared" si="18"/>
        <v>0.79786418823145355</v>
      </c>
      <c r="V12" s="66">
        <f t="shared" si="19"/>
        <v>0.76052222763389965</v>
      </c>
      <c r="W12" s="63">
        <f t="shared" si="20"/>
        <v>0.72185785208411335</v>
      </c>
      <c r="Y12" s="24">
        <f t="shared" si="21"/>
        <v>3.7088156367651948E-2</v>
      </c>
      <c r="Z12" s="24">
        <f t="shared" si="22"/>
        <v>4.5088448181996109E-2</v>
      </c>
      <c r="AA12" s="24">
        <f t="shared" si="23"/>
        <v>5.0322838163780026E-2</v>
      </c>
      <c r="AB12" s="24">
        <f t="shared" si="24"/>
        <v>5.3910623237026965E-2</v>
      </c>
      <c r="AC12" s="24">
        <f t="shared" si="25"/>
        <v>5.7245285843504731E-2</v>
      </c>
      <c r="AD12" s="24">
        <f t="shared" si="26"/>
        <v>6.076398600037277E-2</v>
      </c>
      <c r="AE12" s="24">
        <f t="shared" si="27"/>
        <v>6.4519110343562794E-2</v>
      </c>
      <c r="AF12" s="24">
        <f t="shared" si="28"/>
        <v>6.8437485012980373E-2</v>
      </c>
      <c r="AG12" s="24">
        <f t="shared" si="29"/>
        <v>7.242823116506665E-2</v>
      </c>
      <c r="AH12" s="24">
        <f t="shared" si="30"/>
        <v>7.6427690369438292E-2</v>
      </c>
      <c r="AL12" s="23">
        <f t="shared" si="0"/>
        <v>-15061.755495111061</v>
      </c>
      <c r="AM12" s="23">
        <f t="shared" si="1"/>
        <v>-11099.214941675873</v>
      </c>
      <c r="AN12" s="23">
        <f t="shared" si="2"/>
        <v>-8306.6586462845626</v>
      </c>
      <c r="AO12" s="23">
        <f t="shared" si="3"/>
        <v>-6394.5033579567462</v>
      </c>
      <c r="AP12" s="23">
        <f t="shared" si="4"/>
        <v>-4694.1217844324092</v>
      </c>
      <c r="AQ12" s="23">
        <f t="shared" si="5"/>
        <v>-3006.5950125496888</v>
      </c>
      <c r="AR12" s="23">
        <f t="shared" si="6"/>
        <v>-1326.3966231530781</v>
      </c>
      <c r="AS12" s="23">
        <f t="shared" si="7"/>
        <v>293.26176256614025</v>
      </c>
      <c r="AT12" s="23">
        <f t="shared" si="8"/>
        <v>1797.0619843727545</v>
      </c>
      <c r="AU12" s="23">
        <f t="shared" si="9"/>
        <v>3149.2212259816833</v>
      </c>
      <c r="AW12" s="25">
        <f t="shared" si="31"/>
        <v>-44649.700888242849</v>
      </c>
      <c r="AX12" s="25">
        <f t="shared" si="32"/>
        <v>-29587.94539313178</v>
      </c>
      <c r="AY12" s="25">
        <f t="shared" si="33"/>
        <v>-18488.730451455907</v>
      </c>
      <c r="AZ12" s="25">
        <f t="shared" si="34"/>
        <v>-10182.071805171345</v>
      </c>
      <c r="BA12" s="25">
        <f t="shared" si="35"/>
        <v>-3787.5684472145977</v>
      </c>
      <c r="BB12" s="25">
        <f t="shared" si="36"/>
        <v>906.55333721781108</v>
      </c>
      <c r="BC12" s="25">
        <f t="shared" si="37"/>
        <v>3913.1483497674999</v>
      </c>
      <c r="BD12" s="25">
        <f t="shared" si="38"/>
        <v>5239.5449729205775</v>
      </c>
      <c r="BE12" s="25">
        <f t="shared" si="39"/>
        <v>4946.2832103544379</v>
      </c>
      <c r="BF12" s="25">
        <f t="shared" si="40"/>
        <v>3149.2212259816833</v>
      </c>
      <c r="BG12" s="25">
        <f t="shared" si="41"/>
        <v>0</v>
      </c>
      <c r="BI12" s="25">
        <f t="shared" si="42"/>
        <v>0</v>
      </c>
      <c r="BJ12" s="25">
        <f t="shared" si="43"/>
        <v>0</v>
      </c>
      <c r="BK12" s="25">
        <f t="shared" si="44"/>
        <v>0</v>
      </c>
      <c r="BL12" s="25">
        <f t="shared" si="45"/>
        <v>0</v>
      </c>
      <c r="BM12" s="25">
        <f t="shared" si="46"/>
        <v>0</v>
      </c>
      <c r="BN12" s="25">
        <f t="shared" si="47"/>
        <v>906.55333721781108</v>
      </c>
      <c r="BO12" s="25">
        <f t="shared" si="48"/>
        <v>3913.1483497674999</v>
      </c>
      <c r="BP12" s="25">
        <f t="shared" si="49"/>
        <v>5239.5449729205775</v>
      </c>
      <c r="BQ12" s="25">
        <f t="shared" si="50"/>
        <v>4946.2832103544379</v>
      </c>
      <c r="BR12" s="25">
        <f t="shared" si="51"/>
        <v>3149.2212259816833</v>
      </c>
      <c r="BS12" s="25">
        <f t="shared" si="52"/>
        <v>0</v>
      </c>
    </row>
    <row r="13" spans="1:84" x14ac:dyDescent="0.2">
      <c r="A13" s="29">
        <f t="shared" si="53"/>
        <v>0.05</v>
      </c>
      <c r="B13" s="30">
        <v>3.3453392580421376E-2</v>
      </c>
      <c r="C13" s="30">
        <v>3.8246858174748675E-2</v>
      </c>
      <c r="D13" s="30">
        <v>4.6152267787544728E-2</v>
      </c>
      <c r="E13" s="30">
        <v>5.1317040940949139E-2</v>
      </c>
      <c r="F13" s="30">
        <v>5.4865873216698939E-2</v>
      </c>
      <c r="G13" s="30">
        <v>5.817303322923973E-2</v>
      </c>
      <c r="H13" s="30">
        <v>6.1667896274741334E-2</v>
      </c>
      <c r="I13" s="30">
        <v>6.5400247054984428E-2</v>
      </c>
      <c r="J13" s="30">
        <v>6.9296465773028337E-2</v>
      </c>
      <c r="K13" s="30">
        <v>7.3266125357857551E-2</v>
      </c>
      <c r="L13" s="30">
        <v>7.7245893771803437E-2</v>
      </c>
      <c r="N13" s="52">
        <f t="shared" si="11"/>
        <v>0.98341241817243996</v>
      </c>
      <c r="O13" s="55">
        <f t="shared" si="12"/>
        <v>0.98105826364327242</v>
      </c>
      <c r="P13" s="54">
        <f t="shared" si="13"/>
        <v>0.95489655113511029</v>
      </c>
      <c r="Q13" s="54">
        <f t="shared" si="14"/>
        <v>0.92591248132418824</v>
      </c>
      <c r="R13" s="56">
        <f t="shared" si="15"/>
        <v>0.89607447823338926</v>
      </c>
      <c r="S13" s="59">
        <f t="shared" si="16"/>
        <v>0.86464818003221455</v>
      </c>
      <c r="T13" s="1">
        <f t="shared" si="17"/>
        <v>0.83110121806016535</v>
      </c>
      <c r="U13" s="1">
        <f t="shared" si="18"/>
        <v>0.79540738255216759</v>
      </c>
      <c r="V13" s="66">
        <f t="shared" si="19"/>
        <v>0.75791361585040384</v>
      </c>
      <c r="W13" s="63">
        <f t="shared" si="20"/>
        <v>0.71914119465321213</v>
      </c>
      <c r="Y13" s="24">
        <f t="shared" si="21"/>
        <v>3.8246858174748675E-2</v>
      </c>
      <c r="Z13" s="24">
        <f t="shared" si="22"/>
        <v>4.6152267787544728E-2</v>
      </c>
      <c r="AA13" s="24">
        <f t="shared" si="23"/>
        <v>5.1317040940949139E-2</v>
      </c>
      <c r="AB13" s="24">
        <f t="shared" si="24"/>
        <v>5.4865873216698939E-2</v>
      </c>
      <c r="AC13" s="24">
        <f t="shared" si="25"/>
        <v>5.8173033229239737E-2</v>
      </c>
      <c r="AD13" s="24">
        <f t="shared" si="26"/>
        <v>6.1667896274741334E-2</v>
      </c>
      <c r="AE13" s="24">
        <f t="shared" si="27"/>
        <v>6.5400247054984428E-2</v>
      </c>
      <c r="AF13" s="24">
        <f t="shared" si="28"/>
        <v>6.9296465773028337E-2</v>
      </c>
      <c r="AG13" s="24">
        <f t="shared" si="29"/>
        <v>7.3266125357857551E-2</v>
      </c>
      <c r="AH13" s="24">
        <f t="shared" si="30"/>
        <v>7.7245893771803437E-2</v>
      </c>
      <c r="AL13" s="23">
        <f t="shared" si="0"/>
        <v>-14483.457081309652</v>
      </c>
      <c r="AM13" s="23">
        <f t="shared" si="1"/>
        <v>-10570.951956298171</v>
      </c>
      <c r="AN13" s="23">
        <f t="shared" si="2"/>
        <v>-7823.1461571431091</v>
      </c>
      <c r="AO13" s="23">
        <f t="shared" si="3"/>
        <v>-5942.7353760959595</v>
      </c>
      <c r="AP13" s="23">
        <f t="shared" si="4"/>
        <v>-4269.496848994585</v>
      </c>
      <c r="AQ13" s="23">
        <f t="shared" si="5"/>
        <v>-2608.8475047653169</v>
      </c>
      <c r="AR13" s="23">
        <f t="shared" si="6"/>
        <v>-956.64776788937786</v>
      </c>
      <c r="AS13" s="23">
        <f t="shared" si="7"/>
        <v>633.97856176720541</v>
      </c>
      <c r="AT13" s="23">
        <f t="shared" si="8"/>
        <v>2108.4237219044376</v>
      </c>
      <c r="AU13" s="23">
        <f t="shared" si="9"/>
        <v>3431.5712562021054</v>
      </c>
      <c r="AW13" s="25">
        <f t="shared" si="31"/>
        <v>-40481.309152622423</v>
      </c>
      <c r="AX13" s="25">
        <f t="shared" si="32"/>
        <v>-25997.852071312773</v>
      </c>
      <c r="AY13" s="25">
        <f t="shared" si="33"/>
        <v>-15426.900115014601</v>
      </c>
      <c r="AZ13" s="25">
        <f t="shared" si="34"/>
        <v>-7603.7539578714914</v>
      </c>
      <c r="BA13" s="25">
        <f t="shared" si="35"/>
        <v>-1661.0185817755319</v>
      </c>
      <c r="BB13" s="25">
        <f t="shared" si="36"/>
        <v>2608.4782672190536</v>
      </c>
      <c r="BC13" s="25">
        <f t="shared" si="37"/>
        <v>5217.3257719843705</v>
      </c>
      <c r="BD13" s="25">
        <f t="shared" si="38"/>
        <v>6173.9735398737485</v>
      </c>
      <c r="BE13" s="25">
        <f t="shared" si="39"/>
        <v>5539.9949781065425</v>
      </c>
      <c r="BF13" s="25">
        <f t="shared" si="40"/>
        <v>3431.5712562021054</v>
      </c>
      <c r="BG13" s="25">
        <f t="shared" si="41"/>
        <v>0</v>
      </c>
      <c r="BI13" s="25">
        <f t="shared" si="42"/>
        <v>0</v>
      </c>
      <c r="BJ13" s="25">
        <f t="shared" si="43"/>
        <v>0</v>
      </c>
      <c r="BK13" s="25">
        <f t="shared" si="44"/>
        <v>0</v>
      </c>
      <c r="BL13" s="25">
        <f t="shared" si="45"/>
        <v>0</v>
      </c>
      <c r="BM13" s="25">
        <f t="shared" si="46"/>
        <v>0</v>
      </c>
      <c r="BN13" s="25">
        <f t="shared" si="47"/>
        <v>2608.4782672190536</v>
      </c>
      <c r="BO13" s="25">
        <f t="shared" si="48"/>
        <v>5217.3257719843705</v>
      </c>
      <c r="BP13" s="25">
        <f t="shared" si="49"/>
        <v>6173.9735398737485</v>
      </c>
      <c r="BQ13" s="25">
        <f t="shared" si="50"/>
        <v>5539.9949781065425</v>
      </c>
      <c r="BR13" s="25">
        <f t="shared" si="51"/>
        <v>3431.5712562021054</v>
      </c>
      <c r="BS13" s="25">
        <f t="shared" si="52"/>
        <v>0</v>
      </c>
    </row>
    <row r="14" spans="1:84" x14ac:dyDescent="0.2">
      <c r="A14" s="29">
        <f t="shared" si="53"/>
        <v>6.0000000000000005E-2</v>
      </c>
      <c r="B14" s="30">
        <v>3.3821847242938269E-2</v>
      </c>
      <c r="C14" s="30">
        <v>3.8799020588203156E-2</v>
      </c>
      <c r="D14" s="30">
        <v>4.6756870530606759E-2</v>
      </c>
      <c r="E14" s="30">
        <v>5.1982951082834378E-2</v>
      </c>
      <c r="F14" s="30">
        <v>5.5607535428568333E-2</v>
      </c>
      <c r="G14" s="30">
        <v>5.8986578130990848E-2</v>
      </c>
      <c r="H14" s="30">
        <v>6.2542444614951162E-2</v>
      </c>
      <c r="I14" s="30">
        <v>6.6323031961957185E-2</v>
      </c>
      <c r="J14" s="30">
        <v>7.0254963586342034E-2</v>
      </c>
      <c r="K14" s="30">
        <v>7.4248932875969176E-2</v>
      </c>
      <c r="L14" s="30">
        <v>7.8242602768841041E-2</v>
      </c>
      <c r="N14" s="52">
        <f t="shared" si="11"/>
        <v>0.98323126341445477</v>
      </c>
      <c r="O14" s="55">
        <f t="shared" si="12"/>
        <v>0.98078744927907435</v>
      </c>
      <c r="P14" s="54">
        <f t="shared" si="13"/>
        <v>0.95431939255436549</v>
      </c>
      <c r="Q14" s="54">
        <f t="shared" si="14"/>
        <v>0.92498808130883803</v>
      </c>
      <c r="R14" s="56">
        <f t="shared" si="15"/>
        <v>0.89474629438163811</v>
      </c>
      <c r="S14" s="59">
        <f t="shared" si="16"/>
        <v>0.86289139187368635</v>
      </c>
      <c r="T14" s="1">
        <f t="shared" si="17"/>
        <v>0.82892356143590262</v>
      </c>
      <c r="U14" s="1">
        <f t="shared" si="18"/>
        <v>0.7928425618965288</v>
      </c>
      <c r="V14" s="66">
        <f t="shared" si="19"/>
        <v>0.75501334503568585</v>
      </c>
      <c r="W14" s="63">
        <f t="shared" si="20"/>
        <v>0.71596771920872526</v>
      </c>
      <c r="Y14" s="24">
        <f t="shared" si="21"/>
        <v>3.8799020588203156E-2</v>
      </c>
      <c r="Z14" s="24">
        <f t="shared" si="22"/>
        <v>4.6756870530606759E-2</v>
      </c>
      <c r="AA14" s="24">
        <f t="shared" si="23"/>
        <v>5.1982951082834378E-2</v>
      </c>
      <c r="AB14" s="24">
        <f t="shared" si="24"/>
        <v>5.5607535428568333E-2</v>
      </c>
      <c r="AC14" s="24">
        <f t="shared" si="25"/>
        <v>5.8986578130990855E-2</v>
      </c>
      <c r="AD14" s="24">
        <f t="shared" si="26"/>
        <v>6.2542444614951162E-2</v>
      </c>
      <c r="AE14" s="24">
        <f t="shared" si="27"/>
        <v>6.6323031961957185E-2</v>
      </c>
      <c r="AF14" s="24">
        <f t="shared" si="28"/>
        <v>7.0254963586342034E-2</v>
      </c>
      <c r="AG14" s="24">
        <f t="shared" si="29"/>
        <v>7.4248932875969176E-2</v>
      </c>
      <c r="AH14" s="24">
        <f t="shared" si="30"/>
        <v>7.8242602768841041E-2</v>
      </c>
      <c r="AL14" s="23">
        <f t="shared" si="0"/>
        <v>-14209.337404735825</v>
      </c>
      <c r="AM14" s="23">
        <f t="shared" si="1"/>
        <v>-10271.540526854658</v>
      </c>
      <c r="AN14" s="23">
        <f t="shared" si="2"/>
        <v>-7500.6722100330826</v>
      </c>
      <c r="AO14" s="23">
        <f t="shared" si="3"/>
        <v>-5593.7879949324988</v>
      </c>
      <c r="AP14" s="23">
        <f t="shared" si="4"/>
        <v>-3899.2103516255238</v>
      </c>
      <c r="AQ14" s="23">
        <f t="shared" si="5"/>
        <v>-2226.2267432430572</v>
      </c>
      <c r="AR14" s="23">
        <f t="shared" si="6"/>
        <v>-571.68207764424164</v>
      </c>
      <c r="AS14" s="23">
        <f t="shared" si="7"/>
        <v>1011.903205281441</v>
      </c>
      <c r="AT14" s="23">
        <f t="shared" si="8"/>
        <v>2471.3719162745651</v>
      </c>
      <c r="AU14" s="23">
        <f t="shared" si="9"/>
        <v>3773.2339175459119</v>
      </c>
      <c r="AW14" s="25">
        <f t="shared" si="31"/>
        <v>-37015.948269966968</v>
      </c>
      <c r="AX14" s="25">
        <f t="shared" si="32"/>
        <v>-22806.610865231141</v>
      </c>
      <c r="AY14" s="25">
        <f t="shared" si="33"/>
        <v>-12535.070338376481</v>
      </c>
      <c r="AZ14" s="25">
        <f t="shared" si="34"/>
        <v>-5034.3981283434014</v>
      </c>
      <c r="BA14" s="25">
        <f t="shared" si="35"/>
        <v>559.38986658909516</v>
      </c>
      <c r="BB14" s="25">
        <f t="shared" si="36"/>
        <v>4458.6002182146185</v>
      </c>
      <c r="BC14" s="25">
        <f t="shared" si="37"/>
        <v>6684.8269614576766</v>
      </c>
      <c r="BD14" s="25">
        <f t="shared" si="38"/>
        <v>7256.5090391019185</v>
      </c>
      <c r="BE14" s="25">
        <f t="shared" si="39"/>
        <v>6244.6058338204766</v>
      </c>
      <c r="BF14" s="25">
        <f t="shared" si="40"/>
        <v>3773.2339175459119</v>
      </c>
      <c r="BG14" s="25">
        <f t="shared" si="41"/>
        <v>0</v>
      </c>
      <c r="BI14" s="25">
        <f t="shared" si="42"/>
        <v>0</v>
      </c>
      <c r="BJ14" s="25">
        <f t="shared" si="43"/>
        <v>0</v>
      </c>
      <c r="BK14" s="25">
        <f t="shared" si="44"/>
        <v>0</v>
      </c>
      <c r="BL14" s="25">
        <f t="shared" si="45"/>
        <v>0</v>
      </c>
      <c r="BM14" s="25">
        <f t="shared" si="46"/>
        <v>559.38986658909516</v>
      </c>
      <c r="BN14" s="25">
        <f t="shared" si="47"/>
        <v>4458.6002182146185</v>
      </c>
      <c r="BO14" s="25">
        <f t="shared" si="48"/>
        <v>6684.8269614576766</v>
      </c>
      <c r="BP14" s="25">
        <f t="shared" si="49"/>
        <v>7256.5090391019185</v>
      </c>
      <c r="BQ14" s="25">
        <f t="shared" si="50"/>
        <v>6244.6058338204766</v>
      </c>
      <c r="BR14" s="25">
        <f t="shared" si="51"/>
        <v>3773.2339175459119</v>
      </c>
      <c r="BS14" s="25">
        <f t="shared" si="52"/>
        <v>0</v>
      </c>
    </row>
    <row r="15" spans="1:84" x14ac:dyDescent="0.2">
      <c r="A15" s="29">
        <f t="shared" si="53"/>
        <v>7.0000000000000007E-2</v>
      </c>
      <c r="B15" s="30">
        <v>3.3687232542781567E-2</v>
      </c>
      <c r="C15" s="30">
        <v>3.871519913381237E-2</v>
      </c>
      <c r="D15" s="30">
        <v>4.6604772700416949E-2</v>
      </c>
      <c r="E15" s="30">
        <v>5.1780653933449272E-2</v>
      </c>
      <c r="F15" s="30">
        <v>5.537791911086775E-2</v>
      </c>
      <c r="G15" s="30">
        <v>5.8734138153585067E-2</v>
      </c>
      <c r="H15" s="30">
        <v>6.2264472385545798E-2</v>
      </c>
      <c r="I15" s="30">
        <v>6.6014677210011002E-2</v>
      </c>
      <c r="J15" s="30">
        <v>6.9911340122934693E-2</v>
      </c>
      <c r="K15" s="30">
        <v>7.3865975786790092E-2</v>
      </c>
      <c r="L15" s="30">
        <v>7.7816942833565314E-2</v>
      </c>
      <c r="N15" s="52">
        <f t="shared" si="11"/>
        <v>0.98329744433251554</v>
      </c>
      <c r="O15" s="55">
        <f t="shared" si="12"/>
        <v>0.98082855565569083</v>
      </c>
      <c r="P15" s="54">
        <f t="shared" si="13"/>
        <v>0.95446455350233383</v>
      </c>
      <c r="Q15" s="54">
        <f t="shared" si="14"/>
        <v>0.92526880757737284</v>
      </c>
      <c r="R15" s="56">
        <f t="shared" si="15"/>
        <v>0.89515728544345363</v>
      </c>
      <c r="S15" s="59">
        <f t="shared" si="16"/>
        <v>0.86343613445778367</v>
      </c>
      <c r="T15" s="1">
        <f t="shared" si="17"/>
        <v>0.82961510293096041</v>
      </c>
      <c r="U15" s="1">
        <f t="shared" si="18"/>
        <v>0.79369869249959524</v>
      </c>
      <c r="V15" s="66">
        <f t="shared" si="19"/>
        <v>0.75605181976291702</v>
      </c>
      <c r="W15" s="63">
        <f t="shared" si="20"/>
        <v>0.71720261506701255</v>
      </c>
      <c r="Y15" s="24">
        <f t="shared" si="21"/>
        <v>3.871519913381237E-2</v>
      </c>
      <c r="Z15" s="24">
        <f t="shared" si="22"/>
        <v>4.6604772700416949E-2</v>
      </c>
      <c r="AA15" s="24">
        <f t="shared" si="23"/>
        <v>5.1780653933449272E-2</v>
      </c>
      <c r="AB15" s="24">
        <f t="shared" si="24"/>
        <v>5.537791911086775E-2</v>
      </c>
      <c r="AC15" s="24">
        <f t="shared" si="25"/>
        <v>5.8734138153585067E-2</v>
      </c>
      <c r="AD15" s="24">
        <f t="shared" si="26"/>
        <v>6.2264472385545798E-2</v>
      </c>
      <c r="AE15" s="24">
        <f t="shared" si="27"/>
        <v>6.6014677210011002E-2</v>
      </c>
      <c r="AF15" s="24">
        <f t="shared" si="28"/>
        <v>6.9911340122934693E-2</v>
      </c>
      <c r="AG15" s="24">
        <f t="shared" si="29"/>
        <v>7.3865975786790092E-2</v>
      </c>
      <c r="AH15" s="24">
        <f t="shared" si="30"/>
        <v>7.7816942833565314E-2</v>
      </c>
      <c r="AL15" s="23">
        <f t="shared" si="0"/>
        <v>-14251.50454071111</v>
      </c>
      <c r="AM15" s="23">
        <f t="shared" si="1"/>
        <v>-10346.561971160429</v>
      </c>
      <c r="AN15" s="23">
        <f t="shared" si="2"/>
        <v>-7598.3558619462547</v>
      </c>
      <c r="AO15" s="23">
        <f t="shared" si="3"/>
        <v>-5701.7140717826351</v>
      </c>
      <c r="AP15" s="23">
        <f t="shared" si="4"/>
        <v>-4013.9881499514477</v>
      </c>
      <c r="AQ15" s="23">
        <f t="shared" si="5"/>
        <v>-2347.637791869176</v>
      </c>
      <c r="AR15" s="23">
        <f t="shared" si="6"/>
        <v>-700.06689134068131</v>
      </c>
      <c r="AS15" s="23">
        <f t="shared" si="7"/>
        <v>876.6291360641643</v>
      </c>
      <c r="AT15" s="23">
        <f t="shared" si="8"/>
        <v>2330.0034352701182</v>
      </c>
      <c r="AU15" s="23">
        <f t="shared" si="9"/>
        <v>3627.0997543115268</v>
      </c>
      <c r="AW15" s="25">
        <f t="shared" si="31"/>
        <v>-38126.096953115928</v>
      </c>
      <c r="AX15" s="25">
        <f t="shared" si="32"/>
        <v>-23874.592412404818</v>
      </c>
      <c r="AY15" s="25">
        <f t="shared" si="33"/>
        <v>-13528.030441244387</v>
      </c>
      <c r="AZ15" s="25">
        <f t="shared" si="34"/>
        <v>-5929.6745792981292</v>
      </c>
      <c r="BA15" s="25">
        <f t="shared" si="35"/>
        <v>-227.96050751549592</v>
      </c>
      <c r="BB15" s="25">
        <f t="shared" si="36"/>
        <v>3786.0276424359522</v>
      </c>
      <c r="BC15" s="25">
        <f t="shared" si="37"/>
        <v>6133.6654343051287</v>
      </c>
      <c r="BD15" s="25">
        <f t="shared" si="38"/>
        <v>6833.7323256458094</v>
      </c>
      <c r="BE15" s="25">
        <f t="shared" si="39"/>
        <v>5957.103189581645</v>
      </c>
      <c r="BF15" s="25">
        <f t="shared" si="40"/>
        <v>3627.0997543115268</v>
      </c>
      <c r="BG15" s="25">
        <f t="shared" si="41"/>
        <v>0</v>
      </c>
      <c r="BI15" s="25">
        <f t="shared" si="42"/>
        <v>0</v>
      </c>
      <c r="BJ15" s="25">
        <f t="shared" si="43"/>
        <v>0</v>
      </c>
      <c r="BK15" s="25">
        <f t="shared" si="44"/>
        <v>0</v>
      </c>
      <c r="BL15" s="25">
        <f t="shared" si="45"/>
        <v>0</v>
      </c>
      <c r="BM15" s="25">
        <f t="shared" si="46"/>
        <v>0</v>
      </c>
      <c r="BN15" s="25">
        <f t="shared" si="47"/>
        <v>3786.0276424359522</v>
      </c>
      <c r="BO15" s="25">
        <f t="shared" si="48"/>
        <v>6133.6654343051287</v>
      </c>
      <c r="BP15" s="25">
        <f t="shared" si="49"/>
        <v>6833.7323256458094</v>
      </c>
      <c r="BQ15" s="25">
        <f t="shared" si="50"/>
        <v>5957.103189581645</v>
      </c>
      <c r="BR15" s="25">
        <f t="shared" si="51"/>
        <v>3627.0997543115268</v>
      </c>
      <c r="BS15" s="25">
        <f t="shared" si="52"/>
        <v>0</v>
      </c>
    </row>
    <row r="16" spans="1:84" x14ac:dyDescent="0.2">
      <c r="A16" s="29">
        <f t="shared" si="53"/>
        <v>0.08</v>
      </c>
      <c r="B16" s="30">
        <v>3.4136743096664618E-2</v>
      </c>
      <c r="C16" s="30">
        <v>3.9172282046917875E-2</v>
      </c>
      <c r="D16" s="30">
        <v>4.695725005690795E-2</v>
      </c>
      <c r="E16" s="30">
        <v>5.2050687650047556E-2</v>
      </c>
      <c r="F16" s="30">
        <v>5.5591850469908208E-2</v>
      </c>
      <c r="G16" s="30">
        <v>5.8899987432028303E-2</v>
      </c>
      <c r="H16" s="30">
        <v>6.2382997033968844E-2</v>
      </c>
      <c r="I16" s="30">
        <v>6.6084375142009336E-2</v>
      </c>
      <c r="J16" s="30">
        <v>6.9930530503652374E-2</v>
      </c>
      <c r="K16" s="30">
        <v>7.3833636570436428E-2</v>
      </c>
      <c r="L16" s="30">
        <v>7.7732585091502132E-2</v>
      </c>
      <c r="N16" s="52">
        <f t="shared" si="11"/>
        <v>0.98307646787684111</v>
      </c>
      <c r="O16" s="55">
        <f t="shared" si="12"/>
        <v>0.98060442128192649</v>
      </c>
      <c r="P16" s="54">
        <f t="shared" si="13"/>
        <v>0.95412818564416024</v>
      </c>
      <c r="Q16" s="54">
        <f t="shared" si="14"/>
        <v>0.92489410280724327</v>
      </c>
      <c r="R16" s="56">
        <f t="shared" si="15"/>
        <v>0.89477436293916734</v>
      </c>
      <c r="S16" s="59">
        <f t="shared" si="16"/>
        <v>0.86307820801550994</v>
      </c>
      <c r="T16" s="1">
        <f t="shared" si="17"/>
        <v>0.8293201658548337</v>
      </c>
      <c r="U16" s="1">
        <f t="shared" si="18"/>
        <v>0.79350509906217459</v>
      </c>
      <c r="V16" s="66">
        <f t="shared" si="19"/>
        <v>0.7559937863012598</v>
      </c>
      <c r="W16" s="63">
        <f t="shared" si="20"/>
        <v>0.71730699462924452</v>
      </c>
      <c r="Y16" s="24">
        <f t="shared" si="21"/>
        <v>3.9172282046917875E-2</v>
      </c>
      <c r="Z16" s="24">
        <f t="shared" si="22"/>
        <v>4.695725005690795E-2</v>
      </c>
      <c r="AA16" s="24">
        <f t="shared" si="23"/>
        <v>5.2050687650047556E-2</v>
      </c>
      <c r="AB16" s="24">
        <f t="shared" si="24"/>
        <v>5.5591850469908208E-2</v>
      </c>
      <c r="AC16" s="24">
        <f t="shared" si="25"/>
        <v>5.8899987432028303E-2</v>
      </c>
      <c r="AD16" s="24">
        <f t="shared" si="26"/>
        <v>6.2382997033968844E-2</v>
      </c>
      <c r="AE16" s="24">
        <f t="shared" si="27"/>
        <v>6.6084375142009336E-2</v>
      </c>
      <c r="AF16" s="24">
        <f t="shared" si="28"/>
        <v>6.9930530503652374E-2</v>
      </c>
      <c r="AG16" s="24">
        <f t="shared" si="29"/>
        <v>7.3833636570436428E-2</v>
      </c>
      <c r="AH16" s="24">
        <f t="shared" si="30"/>
        <v>7.7732585091502132E-2</v>
      </c>
      <c r="AL16" s="23">
        <f t="shared" si="0"/>
        <v>-14023.628071919864</v>
      </c>
      <c r="AM16" s="23">
        <f t="shared" si="1"/>
        <v>-10171.377195914882</v>
      </c>
      <c r="AN16" s="23">
        <f t="shared" si="2"/>
        <v>-7466.8546954735266</v>
      </c>
      <c r="AO16" s="23">
        <f t="shared" si="3"/>
        <v>-5600.4731306944041</v>
      </c>
      <c r="AP16" s="23">
        <f t="shared" si="4"/>
        <v>-3938.0722402007777</v>
      </c>
      <c r="AQ16" s="23">
        <f t="shared" si="5"/>
        <v>-2295.5165879674228</v>
      </c>
      <c r="AR16" s="23">
        <f t="shared" si="6"/>
        <v>-670.91705978235098</v>
      </c>
      <c r="AS16" s="23">
        <f t="shared" si="7"/>
        <v>884.02914728881433</v>
      </c>
      <c r="AT16" s="23">
        <f t="shared" si="8"/>
        <v>2317.6004642139228</v>
      </c>
      <c r="AU16" s="23">
        <f t="shared" si="9"/>
        <v>3597.372432540752</v>
      </c>
      <c r="AW16" s="25">
        <f t="shared" si="31"/>
        <v>-37367.836937909735</v>
      </c>
      <c r="AX16" s="25">
        <f t="shared" si="32"/>
        <v>-23344.208865989876</v>
      </c>
      <c r="AY16" s="25">
        <f t="shared" si="33"/>
        <v>-13172.831670074993</v>
      </c>
      <c r="AZ16" s="25">
        <f t="shared" si="34"/>
        <v>-5705.9769746014654</v>
      </c>
      <c r="BA16" s="25">
        <f t="shared" si="35"/>
        <v>-105.50384390706267</v>
      </c>
      <c r="BB16" s="25">
        <f t="shared" si="36"/>
        <v>3832.5683962937155</v>
      </c>
      <c r="BC16" s="25">
        <f t="shared" si="37"/>
        <v>6128.0849842611387</v>
      </c>
      <c r="BD16" s="25">
        <f t="shared" si="38"/>
        <v>6799.0020440434891</v>
      </c>
      <c r="BE16" s="25">
        <f t="shared" si="39"/>
        <v>5914.9728967546744</v>
      </c>
      <c r="BF16" s="25">
        <f t="shared" si="40"/>
        <v>3597.372432540752</v>
      </c>
      <c r="BG16" s="25">
        <f t="shared" si="41"/>
        <v>0</v>
      </c>
      <c r="BI16" s="25">
        <f t="shared" si="42"/>
        <v>0</v>
      </c>
      <c r="BJ16" s="25">
        <f t="shared" si="43"/>
        <v>0</v>
      </c>
      <c r="BK16" s="25">
        <f t="shared" si="44"/>
        <v>0</v>
      </c>
      <c r="BL16" s="25">
        <f t="shared" si="45"/>
        <v>0</v>
      </c>
      <c r="BM16" s="25">
        <f t="shared" si="46"/>
        <v>0</v>
      </c>
      <c r="BN16" s="25">
        <f t="shared" si="47"/>
        <v>3832.5683962937155</v>
      </c>
      <c r="BO16" s="25">
        <f t="shared" si="48"/>
        <v>6128.0849842611387</v>
      </c>
      <c r="BP16" s="25">
        <f t="shared" si="49"/>
        <v>6799.0020440434891</v>
      </c>
      <c r="BQ16" s="25">
        <f t="shared" si="50"/>
        <v>5914.9728967546744</v>
      </c>
      <c r="BR16" s="25">
        <f t="shared" si="51"/>
        <v>3597.372432540752</v>
      </c>
      <c r="BS16" s="25">
        <f t="shared" si="52"/>
        <v>0</v>
      </c>
    </row>
    <row r="17" spans="1:71" x14ac:dyDescent="0.2">
      <c r="A17" s="29">
        <f>A16+0.01</f>
        <v>0.09</v>
      </c>
      <c r="B17" s="30">
        <v>3.5442439575569626E-2</v>
      </c>
      <c r="C17" s="30">
        <v>4.0529079365378681E-2</v>
      </c>
      <c r="D17" s="30">
        <v>4.825659140563892E-2</v>
      </c>
      <c r="E17" s="30">
        <v>5.3315621443295207E-2</v>
      </c>
      <c r="F17" s="30">
        <v>5.6849023080424756E-2</v>
      </c>
      <c r="G17" s="30">
        <v>6.0157813991083803E-2</v>
      </c>
      <c r="H17" s="30">
        <v>6.3642598512550164E-2</v>
      </c>
      <c r="I17" s="30">
        <v>6.7344523190204703E-2</v>
      </c>
      <c r="J17" s="30">
        <v>7.1189703374161292E-2</v>
      </c>
      <c r="K17" s="30">
        <v>7.5090837391897675E-2</v>
      </c>
      <c r="L17" s="30">
        <v>7.8987216111574304E-2</v>
      </c>
      <c r="N17" s="52">
        <f t="shared" si="11"/>
        <v>0.98243487758887327</v>
      </c>
      <c r="O17" s="55">
        <f t="shared" si="12"/>
        <v>0.97993940615548314</v>
      </c>
      <c r="P17" s="54">
        <f t="shared" si="13"/>
        <v>0.95288925251339196</v>
      </c>
      <c r="Q17" s="54">
        <f t="shared" si="14"/>
        <v>0.92314087191525884</v>
      </c>
      <c r="R17" s="56">
        <f t="shared" si="15"/>
        <v>0.8925274172781037</v>
      </c>
      <c r="S17" s="59">
        <f t="shared" si="16"/>
        <v>0.86036846400193168</v>
      </c>
      <c r="T17" s="1">
        <f t="shared" si="17"/>
        <v>0.82619224076411724</v>
      </c>
      <c r="U17" s="1">
        <f t="shared" si="18"/>
        <v>0.79001303696829928</v>
      </c>
      <c r="V17" s="66">
        <f t="shared" si="19"/>
        <v>0.75219565188229753</v>
      </c>
      <c r="W17" s="63">
        <f t="shared" si="20"/>
        <v>0.71326035691096701</v>
      </c>
      <c r="Y17" s="24">
        <f t="shared" si="21"/>
        <v>4.0529079365378681E-2</v>
      </c>
      <c r="Z17" s="24">
        <f t="shared" si="22"/>
        <v>4.825659140563892E-2</v>
      </c>
      <c r="AA17" s="24">
        <f t="shared" si="23"/>
        <v>5.3315621443295207E-2</v>
      </c>
      <c r="AB17" s="24">
        <f t="shared" si="24"/>
        <v>5.6849023080424756E-2</v>
      </c>
      <c r="AC17" s="24">
        <f t="shared" si="25"/>
        <v>6.0157813991083796E-2</v>
      </c>
      <c r="AD17" s="24">
        <f t="shared" si="26"/>
        <v>6.3642598512550164E-2</v>
      </c>
      <c r="AE17" s="24">
        <f t="shared" si="27"/>
        <v>6.7344523190204703E-2</v>
      </c>
      <c r="AF17" s="24">
        <f t="shared" si="28"/>
        <v>7.1189703374161292E-2</v>
      </c>
      <c r="AG17" s="24">
        <f t="shared" si="29"/>
        <v>7.5090837391897675E-2</v>
      </c>
      <c r="AH17" s="24">
        <f t="shared" si="30"/>
        <v>7.8987216111574304E-2</v>
      </c>
      <c r="AL17" s="23">
        <f t="shared" si="0"/>
        <v>-13347.993255145693</v>
      </c>
      <c r="AM17" s="23">
        <f t="shared" si="1"/>
        <v>-9527.8413924588294</v>
      </c>
      <c r="AN17" s="23">
        <f t="shared" si="2"/>
        <v>-6854.4880944306842</v>
      </c>
      <c r="AO17" s="23">
        <f t="shared" si="3"/>
        <v>-5009.5831540434165</v>
      </c>
      <c r="AP17" s="23">
        <f t="shared" si="4"/>
        <v>-3366.8606597005896</v>
      </c>
      <c r="AQ17" s="23">
        <f t="shared" si="5"/>
        <v>-1746.4488264377965</v>
      </c>
      <c r="AR17" s="23">
        <f t="shared" si="6"/>
        <v>-147.82430971044292</v>
      </c>
      <c r="AS17" s="23">
        <f t="shared" si="7"/>
        <v>1377.5201981591824</v>
      </c>
      <c r="AT17" s="23">
        <f t="shared" si="8"/>
        <v>2778.7872688748571</v>
      </c>
      <c r="AU17" s="23">
        <f t="shared" si="9"/>
        <v>4024.5173897570862</v>
      </c>
      <c r="AW17" s="25">
        <f t="shared" si="31"/>
        <v>-31820.214835136328</v>
      </c>
      <c r="AX17" s="25">
        <f t="shared" si="32"/>
        <v>-18472.221579990633</v>
      </c>
      <c r="AY17" s="25">
        <f t="shared" si="33"/>
        <v>-8944.3801875318059</v>
      </c>
      <c r="AZ17" s="25">
        <f t="shared" si="34"/>
        <v>-2089.8920931011194</v>
      </c>
      <c r="BA17" s="25">
        <f t="shared" si="35"/>
        <v>2919.6910609422966</v>
      </c>
      <c r="BB17" s="25">
        <f t="shared" si="36"/>
        <v>6286.5517206428867</v>
      </c>
      <c r="BC17" s="25">
        <f t="shared" si="37"/>
        <v>8033.0005470806827</v>
      </c>
      <c r="BD17" s="25">
        <f t="shared" si="38"/>
        <v>8180.8248567911251</v>
      </c>
      <c r="BE17" s="25">
        <f t="shared" si="39"/>
        <v>6803.3046586319433</v>
      </c>
      <c r="BF17" s="25">
        <f t="shared" si="40"/>
        <v>4024.5173897570862</v>
      </c>
      <c r="BG17" s="25">
        <f t="shared" si="41"/>
        <v>0</v>
      </c>
      <c r="BI17" s="25">
        <f t="shared" si="42"/>
        <v>0</v>
      </c>
      <c r="BJ17" s="25">
        <f t="shared" si="43"/>
        <v>0</v>
      </c>
      <c r="BK17" s="25">
        <f t="shared" si="44"/>
        <v>0</v>
      </c>
      <c r="BL17" s="25">
        <f t="shared" si="45"/>
        <v>0</v>
      </c>
      <c r="BM17" s="25">
        <f t="shared" si="46"/>
        <v>2919.6910609422966</v>
      </c>
      <c r="BN17" s="25">
        <f t="shared" si="47"/>
        <v>6286.5517206428867</v>
      </c>
      <c r="BO17" s="25">
        <f t="shared" si="48"/>
        <v>8033.0005470806827</v>
      </c>
      <c r="BP17" s="25">
        <f t="shared" si="49"/>
        <v>8180.8248567911251</v>
      </c>
      <c r="BQ17" s="25">
        <f t="shared" si="50"/>
        <v>6803.3046586319433</v>
      </c>
      <c r="BR17" s="25">
        <f t="shared" si="51"/>
        <v>4024.5173897570862</v>
      </c>
      <c r="BS17" s="25">
        <f t="shared" si="52"/>
        <v>0</v>
      </c>
    </row>
    <row r="18" spans="1:71" x14ac:dyDescent="0.2">
      <c r="A18" s="29">
        <f t="shared" si="53"/>
        <v>9.9999999999999992E-2</v>
      </c>
      <c r="B18" s="30">
        <v>3.5074645851242058E-2</v>
      </c>
      <c r="C18" s="30">
        <v>4.0281181686767628E-2</v>
      </c>
      <c r="D18" s="30">
        <v>4.8021543580022169E-2</v>
      </c>
      <c r="E18" s="30">
        <v>5.3115361625220868E-2</v>
      </c>
      <c r="F18" s="30">
        <v>5.6708590067985593E-2</v>
      </c>
      <c r="G18" s="30">
        <v>6.0084173351553097E-2</v>
      </c>
      <c r="H18" s="30">
        <v>6.3635459818744383E-2</v>
      </c>
      <c r="I18" s="30">
        <v>6.7401227081550621E-2</v>
      </c>
      <c r="J18" s="30">
        <v>7.1307252727202161E-2</v>
      </c>
      <c r="K18" s="30">
        <v>7.526669671301639E-2</v>
      </c>
      <c r="L18" s="30">
        <v>7.9219185701492889E-2</v>
      </c>
      <c r="N18" s="52">
        <f t="shared" si="11"/>
        <v>0.98261556089317925</v>
      </c>
      <c r="O18" s="55">
        <f t="shared" si="12"/>
        <v>0.98006087603533565</v>
      </c>
      <c r="P18" s="54">
        <f t="shared" si="13"/>
        <v>0.95311325338467645</v>
      </c>
      <c r="Q18" s="54">
        <f t="shared" si="14"/>
        <v>0.9234182156033709</v>
      </c>
      <c r="R18" s="56">
        <f t="shared" si="15"/>
        <v>0.89277813311302134</v>
      </c>
      <c r="S18" s="59">
        <f t="shared" si="16"/>
        <v>0.86052687379303505</v>
      </c>
      <c r="T18" s="1">
        <f t="shared" si="17"/>
        <v>0.82620993475387905</v>
      </c>
      <c r="U18" s="1">
        <f t="shared" si="18"/>
        <v>0.78985626367877571</v>
      </c>
      <c r="V18" s="66">
        <f t="shared" si="19"/>
        <v>0.75184205457012698</v>
      </c>
      <c r="W18" s="63">
        <f t="shared" si="20"/>
        <v>0.71269612952620143</v>
      </c>
      <c r="Y18" s="24">
        <f t="shared" si="21"/>
        <v>4.0281181686767628E-2</v>
      </c>
      <c r="Z18" s="24">
        <f t="shared" si="22"/>
        <v>4.8021543580022169E-2</v>
      </c>
      <c r="AA18" s="24">
        <f t="shared" si="23"/>
        <v>5.3115361625220868E-2</v>
      </c>
      <c r="AB18" s="24">
        <f t="shared" si="24"/>
        <v>5.6708590067985593E-2</v>
      </c>
      <c r="AC18" s="24">
        <f t="shared" si="25"/>
        <v>6.0084173351553097E-2</v>
      </c>
      <c r="AD18" s="24">
        <f t="shared" si="26"/>
        <v>6.3635459818744383E-2</v>
      </c>
      <c r="AE18" s="24">
        <f t="shared" si="27"/>
        <v>6.7401227081550621E-2</v>
      </c>
      <c r="AF18" s="24">
        <f t="shared" si="28"/>
        <v>7.1307252727202161E-2</v>
      </c>
      <c r="AG18" s="24">
        <f t="shared" si="29"/>
        <v>7.526669671301639E-2</v>
      </c>
      <c r="AH18" s="24">
        <f t="shared" si="30"/>
        <v>7.9219185701492889E-2</v>
      </c>
      <c r="AL18" s="23">
        <f t="shared" si="0"/>
        <v>-13472.242193193182</v>
      </c>
      <c r="AM18" s="23">
        <f t="shared" si="1"/>
        <v>-9644.203019475226</v>
      </c>
      <c r="AN18" s="23">
        <f t="shared" si="2"/>
        <v>-6951.5345596779589</v>
      </c>
      <c r="AO18" s="23">
        <f t="shared" si="3"/>
        <v>-5075.927408279158</v>
      </c>
      <c r="AP18" s="23">
        <f t="shared" si="4"/>
        <v>-3400.6788056221867</v>
      </c>
      <c r="AQ18" s="23">
        <f t="shared" si="5"/>
        <v>-1749.8418989891993</v>
      </c>
      <c r="AR18" s="23">
        <f t="shared" si="6"/>
        <v>-124.40281637719372</v>
      </c>
      <c r="AS18" s="23">
        <f t="shared" si="7"/>
        <v>1423.6703840367463</v>
      </c>
      <c r="AT18" s="23">
        <f t="shared" si="8"/>
        <v>2843.5902140714761</v>
      </c>
      <c r="AU18" s="23">
        <f t="shared" si="9"/>
        <v>4103.9956940445682</v>
      </c>
      <c r="AW18" s="25">
        <f t="shared" si="31"/>
        <v>-32047.574409461311</v>
      </c>
      <c r="AX18" s="25">
        <f t="shared" si="32"/>
        <v>-18575.332216268129</v>
      </c>
      <c r="AY18" s="25">
        <f t="shared" si="33"/>
        <v>-8931.1291967929046</v>
      </c>
      <c r="AZ18" s="25">
        <f t="shared" si="34"/>
        <v>-1979.5946371149485</v>
      </c>
      <c r="BA18" s="25">
        <f t="shared" si="35"/>
        <v>3096.3327711642105</v>
      </c>
      <c r="BB18" s="25">
        <f t="shared" si="36"/>
        <v>6497.0115767863972</v>
      </c>
      <c r="BC18" s="25">
        <f t="shared" si="37"/>
        <v>8246.853475775597</v>
      </c>
      <c r="BD18" s="25">
        <f t="shared" si="38"/>
        <v>8371.2562921527897</v>
      </c>
      <c r="BE18" s="25">
        <f t="shared" si="39"/>
        <v>6947.5859081160443</v>
      </c>
      <c r="BF18" s="25">
        <f t="shared" si="40"/>
        <v>4103.9956940445682</v>
      </c>
      <c r="BG18" s="25">
        <f t="shared" si="41"/>
        <v>0</v>
      </c>
      <c r="BI18" s="25">
        <f t="shared" si="42"/>
        <v>0</v>
      </c>
      <c r="BJ18" s="25">
        <f t="shared" si="43"/>
        <v>0</v>
      </c>
      <c r="BK18" s="25">
        <f t="shared" si="44"/>
        <v>0</v>
      </c>
      <c r="BL18" s="25">
        <f t="shared" si="45"/>
        <v>0</v>
      </c>
      <c r="BM18" s="25">
        <f t="shared" si="46"/>
        <v>3096.3327711642105</v>
      </c>
      <c r="BN18" s="25">
        <f t="shared" si="47"/>
        <v>6497.0115767863972</v>
      </c>
      <c r="BO18" s="25">
        <f t="shared" si="48"/>
        <v>8246.853475775597</v>
      </c>
      <c r="BP18" s="25">
        <f t="shared" si="49"/>
        <v>8371.2562921527897</v>
      </c>
      <c r="BQ18" s="25">
        <f t="shared" si="50"/>
        <v>6947.5859081160443</v>
      </c>
      <c r="BR18" s="25">
        <f t="shared" si="51"/>
        <v>4103.9956940445682</v>
      </c>
      <c r="BS18" s="25">
        <f t="shared" si="52"/>
        <v>0</v>
      </c>
    </row>
    <row r="19" spans="1:71" x14ac:dyDescent="0.2">
      <c r="A19" s="29">
        <f t="shared" si="53"/>
        <v>0.10999999999999999</v>
      </c>
      <c r="B19" s="30">
        <v>3.4876677664125777E-2</v>
      </c>
      <c r="C19" s="30">
        <v>4.0160680704317345E-2</v>
      </c>
      <c r="D19" s="30">
        <v>4.787209898911033E-2</v>
      </c>
      <c r="E19" s="30">
        <v>5.2957207365299068E-2</v>
      </c>
      <c r="F19" s="30">
        <v>5.6564815323946104E-2</v>
      </c>
      <c r="G19" s="30">
        <v>5.9960188501579317E-2</v>
      </c>
      <c r="H19" s="30">
        <v>6.3529695067167574E-2</v>
      </c>
      <c r="I19" s="30">
        <v>6.7309962402105766E-2</v>
      </c>
      <c r="J19" s="30">
        <v>7.1226624397978555E-2</v>
      </c>
      <c r="K19" s="30">
        <v>7.5193478204616276E-2</v>
      </c>
      <c r="L19" s="30">
        <v>7.9150661769510147E-2</v>
      </c>
      <c r="N19" s="52">
        <f t="shared" si="11"/>
        <v>0.98271282901770951</v>
      </c>
      <c r="O19" s="55">
        <f t="shared" si="12"/>
        <v>0.98011992696345318</v>
      </c>
      <c r="P19" s="54">
        <f t="shared" si="13"/>
        <v>0.95325570164871731</v>
      </c>
      <c r="Q19" s="54">
        <f t="shared" si="14"/>
        <v>0.92363730537655964</v>
      </c>
      <c r="R19" s="56">
        <f t="shared" si="15"/>
        <v>0.89303488792125374</v>
      </c>
      <c r="S19" s="59">
        <f t="shared" si="16"/>
        <v>0.86079364587388374</v>
      </c>
      <c r="T19" s="1">
        <f t="shared" si="17"/>
        <v>0.82647212801338543</v>
      </c>
      <c r="U19" s="1">
        <f t="shared" si="18"/>
        <v>0.79010860490434454</v>
      </c>
      <c r="V19" s="66">
        <f t="shared" si="19"/>
        <v>0.75208457275049645</v>
      </c>
      <c r="W19" s="63">
        <f t="shared" si="20"/>
        <v>0.71293098967928348</v>
      </c>
      <c r="Y19" s="24">
        <f t="shared" si="21"/>
        <v>4.0160680704317345E-2</v>
      </c>
      <c r="Z19" s="24">
        <f t="shared" si="22"/>
        <v>4.787209898911033E-2</v>
      </c>
      <c r="AA19" s="24">
        <f t="shared" si="23"/>
        <v>5.2957207365299068E-2</v>
      </c>
      <c r="AB19" s="24">
        <f t="shared" si="24"/>
        <v>5.6564815323946104E-2</v>
      </c>
      <c r="AC19" s="24">
        <f t="shared" si="25"/>
        <v>5.9960188501579317E-2</v>
      </c>
      <c r="AD19" s="24">
        <f t="shared" si="26"/>
        <v>6.3529695067167574E-2</v>
      </c>
      <c r="AE19" s="24">
        <f t="shared" si="27"/>
        <v>6.7309962402105766E-2</v>
      </c>
      <c r="AF19" s="24">
        <f t="shared" si="28"/>
        <v>7.1226624397978555E-2</v>
      </c>
      <c r="AG19" s="24">
        <f t="shared" si="29"/>
        <v>7.5193478204616276E-2</v>
      </c>
      <c r="AH19" s="24">
        <f t="shared" si="30"/>
        <v>7.9150661769510147E-2</v>
      </c>
      <c r="AL19" s="23">
        <f t="shared" si="0"/>
        <v>-13532.784727558124</v>
      </c>
      <c r="AM19" s="23">
        <f t="shared" si="1"/>
        <v>-9718.0209157145891</v>
      </c>
      <c r="AN19" s="23">
        <f t="shared" si="2"/>
        <v>-7027.9542315522458</v>
      </c>
      <c r="AO19" s="23">
        <f t="shared" si="3"/>
        <v>-5143.529579020762</v>
      </c>
      <c r="AP19" s="23">
        <f t="shared" si="4"/>
        <v>-3457.0182079775414</v>
      </c>
      <c r="AQ19" s="23">
        <f t="shared" si="5"/>
        <v>-1795.9051808279273</v>
      </c>
      <c r="AR19" s="23">
        <f t="shared" si="6"/>
        <v>-162.15615185555615</v>
      </c>
      <c r="AS19" s="23">
        <f t="shared" si="7"/>
        <v>1392.2726461903146</v>
      </c>
      <c r="AT19" s="23">
        <f t="shared" si="8"/>
        <v>2816.9742023832309</v>
      </c>
      <c r="AU19" s="23">
        <f t="shared" si="9"/>
        <v>4080.9216975041627</v>
      </c>
      <c r="AW19" s="25">
        <f t="shared" si="31"/>
        <v>-32547.20044842903</v>
      </c>
      <c r="AX19" s="25">
        <f t="shared" si="32"/>
        <v>-19014.415720870911</v>
      </c>
      <c r="AY19" s="25">
        <f t="shared" si="33"/>
        <v>-9296.3948051563239</v>
      </c>
      <c r="AZ19" s="25">
        <f t="shared" si="34"/>
        <v>-2268.4405736040781</v>
      </c>
      <c r="BA19" s="25">
        <f t="shared" si="35"/>
        <v>2875.0890054166834</v>
      </c>
      <c r="BB19" s="25">
        <f t="shared" si="36"/>
        <v>6332.1072133942253</v>
      </c>
      <c r="BC19" s="25">
        <f t="shared" si="37"/>
        <v>8128.0123942221526</v>
      </c>
      <c r="BD19" s="25">
        <f t="shared" si="38"/>
        <v>8290.168546077708</v>
      </c>
      <c r="BE19" s="25">
        <f t="shared" si="39"/>
        <v>6897.8958998873932</v>
      </c>
      <c r="BF19" s="25">
        <f t="shared" si="40"/>
        <v>4080.9216975041627</v>
      </c>
      <c r="BG19" s="25">
        <f t="shared" si="41"/>
        <v>0</v>
      </c>
      <c r="BI19" s="25">
        <f t="shared" si="42"/>
        <v>0</v>
      </c>
      <c r="BJ19" s="25">
        <f t="shared" si="43"/>
        <v>0</v>
      </c>
      <c r="BK19" s="25">
        <f t="shared" si="44"/>
        <v>0</v>
      </c>
      <c r="BL19" s="25">
        <f t="shared" si="45"/>
        <v>0</v>
      </c>
      <c r="BM19" s="25">
        <f t="shared" si="46"/>
        <v>2875.0890054166834</v>
      </c>
      <c r="BN19" s="25">
        <f t="shared" si="47"/>
        <v>6332.1072133942253</v>
      </c>
      <c r="BO19" s="25">
        <f t="shared" si="48"/>
        <v>8128.0123942221526</v>
      </c>
      <c r="BP19" s="25">
        <f t="shared" si="49"/>
        <v>8290.168546077708</v>
      </c>
      <c r="BQ19" s="25">
        <f t="shared" si="50"/>
        <v>6897.8958998873932</v>
      </c>
      <c r="BR19" s="25">
        <f t="shared" si="51"/>
        <v>4080.9216975041627</v>
      </c>
      <c r="BS19" s="25">
        <f t="shared" si="52"/>
        <v>0</v>
      </c>
    </row>
    <row r="20" spans="1:71" x14ac:dyDescent="0.2">
      <c r="A20" s="29">
        <f t="shared" si="53"/>
        <v>0.11999999999999998</v>
      </c>
      <c r="B20" s="30">
        <v>3.3328845174125064E-2</v>
      </c>
      <c r="C20" s="30">
        <v>3.8684016268862323E-2</v>
      </c>
      <c r="D20" s="30">
        <v>4.6366727141074586E-2</v>
      </c>
      <c r="E20" s="30">
        <v>5.1447206145995864E-2</v>
      </c>
      <c r="F20" s="30">
        <v>5.5076491885089701E-2</v>
      </c>
      <c r="G20" s="30">
        <v>5.8502169706835493E-2</v>
      </c>
      <c r="H20" s="30">
        <v>6.2103508751218402E-2</v>
      </c>
      <c r="I20" s="30">
        <v>6.591481084573933E-2</v>
      </c>
      <c r="J20" s="30">
        <v>6.9861366350103732E-2</v>
      </c>
      <c r="K20" s="30">
        <v>7.3857391634507732E-2</v>
      </c>
      <c r="L20" s="30">
        <v>7.7843317893951103E-2</v>
      </c>
      <c r="N20" s="52">
        <f t="shared" si="11"/>
        <v>0.98347366081232457</v>
      </c>
      <c r="O20" s="55">
        <f t="shared" si="12"/>
        <v>0.98084384829710269</v>
      </c>
      <c r="P20" s="54">
        <f t="shared" si="13"/>
        <v>0.9546917865956861</v>
      </c>
      <c r="Q20" s="54">
        <f t="shared" si="14"/>
        <v>0.92573171658974118</v>
      </c>
      <c r="R20" s="56">
        <f t="shared" si="15"/>
        <v>0.89569709769558692</v>
      </c>
      <c r="S20" s="59">
        <f t="shared" si="16"/>
        <v>0.86393700452375444</v>
      </c>
      <c r="T20" s="1">
        <f t="shared" si="17"/>
        <v>0.83001581325904183</v>
      </c>
      <c r="U20" s="1">
        <f t="shared" si="18"/>
        <v>0.79397616429905982</v>
      </c>
      <c r="V20" s="66">
        <f t="shared" si="19"/>
        <v>0.75620296591665792</v>
      </c>
      <c r="W20" s="63">
        <f t="shared" si="20"/>
        <v>0.71723032019620814</v>
      </c>
      <c r="Y20" s="24">
        <f t="shared" si="21"/>
        <v>3.8684016268862323E-2</v>
      </c>
      <c r="Z20" s="24">
        <f t="shared" si="22"/>
        <v>4.6366727141074586E-2</v>
      </c>
      <c r="AA20" s="24">
        <f t="shared" si="23"/>
        <v>5.144720614599587E-2</v>
      </c>
      <c r="AB20" s="24">
        <f t="shared" si="24"/>
        <v>5.5076491885089701E-2</v>
      </c>
      <c r="AC20" s="24">
        <f t="shared" si="25"/>
        <v>5.8502169706835493E-2</v>
      </c>
      <c r="AD20" s="24">
        <f t="shared" si="26"/>
        <v>6.2103508751218402E-2</v>
      </c>
      <c r="AE20" s="24">
        <f t="shared" si="27"/>
        <v>6.591481084573933E-2</v>
      </c>
      <c r="AF20" s="24">
        <f t="shared" si="28"/>
        <v>6.9861366350103732E-2</v>
      </c>
      <c r="AG20" s="24">
        <f t="shared" si="29"/>
        <v>7.3857391634507732E-2</v>
      </c>
      <c r="AH20" s="24">
        <f t="shared" si="30"/>
        <v>7.7843317893951103E-2</v>
      </c>
      <c r="AL20" s="23">
        <f t="shared" si="0"/>
        <v>-14269.392312314758</v>
      </c>
      <c r="AM20" s="23">
        <f t="shared" si="1"/>
        <v>-10463.466051388043</v>
      </c>
      <c r="AN20" s="23">
        <f t="shared" si="2"/>
        <v>-7759.3347640877428</v>
      </c>
      <c r="AO20" s="23">
        <f t="shared" si="3"/>
        <v>-5844.0869925914294</v>
      </c>
      <c r="AP20" s="23">
        <f t="shared" si="4"/>
        <v>-4120.2954623868709</v>
      </c>
      <c r="AQ20" s="23">
        <f t="shared" si="5"/>
        <v>-2418.5308514800827</v>
      </c>
      <c r="AR20" s="23">
        <f t="shared" si="6"/>
        <v>-741.85035968828379</v>
      </c>
      <c r="AS20" s="23">
        <f t="shared" si="7"/>
        <v>857.09660756280437</v>
      </c>
      <c r="AT20" s="23">
        <f t="shared" si="8"/>
        <v>2327.2235573659923</v>
      </c>
      <c r="AU20" s="23">
        <f t="shared" si="9"/>
        <v>3636.6983636153977</v>
      </c>
      <c r="AW20" s="25">
        <f t="shared" si="31"/>
        <v>-38795.938265393015</v>
      </c>
      <c r="AX20" s="25">
        <f t="shared" si="32"/>
        <v>-24526.545953078257</v>
      </c>
      <c r="AY20" s="25">
        <f t="shared" si="33"/>
        <v>-14063.079901690211</v>
      </c>
      <c r="AZ20" s="25">
        <f t="shared" si="34"/>
        <v>-6303.7451376024728</v>
      </c>
      <c r="BA20" s="25">
        <f t="shared" si="35"/>
        <v>-459.65814501104296</v>
      </c>
      <c r="BB20" s="25">
        <f t="shared" si="36"/>
        <v>3660.6373173758279</v>
      </c>
      <c r="BC20" s="25">
        <f t="shared" si="37"/>
        <v>6079.1681688559111</v>
      </c>
      <c r="BD20" s="25">
        <f t="shared" si="38"/>
        <v>6821.0185285441949</v>
      </c>
      <c r="BE20" s="25">
        <f t="shared" si="39"/>
        <v>5963.92192098139</v>
      </c>
      <c r="BF20" s="25">
        <f t="shared" si="40"/>
        <v>3636.6983636153977</v>
      </c>
      <c r="BG20" s="25">
        <f t="shared" si="41"/>
        <v>0</v>
      </c>
      <c r="BI20" s="25">
        <f t="shared" si="42"/>
        <v>0</v>
      </c>
      <c r="BJ20" s="25">
        <f t="shared" si="43"/>
        <v>0</v>
      </c>
      <c r="BK20" s="25">
        <f t="shared" si="44"/>
        <v>0</v>
      </c>
      <c r="BL20" s="25">
        <f t="shared" si="45"/>
        <v>0</v>
      </c>
      <c r="BM20" s="25">
        <f t="shared" si="46"/>
        <v>0</v>
      </c>
      <c r="BN20" s="25">
        <f t="shared" si="47"/>
        <v>3660.6373173758279</v>
      </c>
      <c r="BO20" s="25">
        <f t="shared" si="48"/>
        <v>6079.1681688559111</v>
      </c>
      <c r="BP20" s="25">
        <f t="shared" si="49"/>
        <v>6821.0185285441949</v>
      </c>
      <c r="BQ20" s="25">
        <f t="shared" si="50"/>
        <v>5963.92192098139</v>
      </c>
      <c r="BR20" s="25">
        <f t="shared" si="51"/>
        <v>3636.6983636153977</v>
      </c>
      <c r="BS20" s="25">
        <f t="shared" si="52"/>
        <v>0</v>
      </c>
    </row>
    <row r="21" spans="1:71" x14ac:dyDescent="0.2">
      <c r="A21" s="29">
        <f t="shared" si="53"/>
        <v>0.12999999999999998</v>
      </c>
      <c r="B21" s="30">
        <v>3.4911492451318173E-2</v>
      </c>
      <c r="C21" s="30">
        <v>4.0327860539744603E-2</v>
      </c>
      <c r="D21" s="30">
        <v>4.7971847732424751E-2</v>
      </c>
      <c r="E21" s="30">
        <v>5.3035355686606507E-2</v>
      </c>
      <c r="F21" s="30">
        <v>5.6671408207720403E-2</v>
      </c>
      <c r="G21" s="30">
        <v>6.0110276262913633E-2</v>
      </c>
      <c r="H21" s="30">
        <v>6.3724379714224427E-2</v>
      </c>
      <c r="I21" s="30">
        <v>6.7545888757234981E-2</v>
      </c>
      <c r="J21" s="30">
        <v>7.1499919756351421E-2</v>
      </c>
      <c r="K21" s="30">
        <v>7.5501260064213482E-2</v>
      </c>
      <c r="L21" s="30">
        <v>7.9490785826871871E-2</v>
      </c>
      <c r="N21" s="52">
        <f t="shared" si="11"/>
        <v>0.98269572269759142</v>
      </c>
      <c r="O21" s="55">
        <f t="shared" si="12"/>
        <v>0.9800380022434968</v>
      </c>
      <c r="P21" s="54">
        <f t="shared" si="13"/>
        <v>0.95316062033262028</v>
      </c>
      <c r="Q21" s="54">
        <f t="shared" si="14"/>
        <v>0.92352904066484454</v>
      </c>
      <c r="R21" s="56">
        <f t="shared" si="15"/>
        <v>0.89284452588518393</v>
      </c>
      <c r="S21" s="59">
        <f t="shared" si="16"/>
        <v>0.86047071998350244</v>
      </c>
      <c r="T21" s="1">
        <f t="shared" si="17"/>
        <v>0.82598956464498785</v>
      </c>
      <c r="U21" s="1">
        <f t="shared" si="18"/>
        <v>0.78945644814650295</v>
      </c>
      <c r="V21" s="66">
        <f t="shared" si="19"/>
        <v>0.75126285708313811</v>
      </c>
      <c r="W21" s="63">
        <f t="shared" si="20"/>
        <v>0.71194425064690625</v>
      </c>
      <c r="Y21" s="24">
        <f t="shared" si="21"/>
        <v>4.0327860539744603E-2</v>
      </c>
      <c r="Z21" s="24">
        <f t="shared" si="22"/>
        <v>4.7971847732424751E-2</v>
      </c>
      <c r="AA21" s="24">
        <f t="shared" si="23"/>
        <v>5.3035355686606507E-2</v>
      </c>
      <c r="AB21" s="24">
        <f t="shared" si="24"/>
        <v>5.6671408207720403E-2</v>
      </c>
      <c r="AC21" s="24">
        <f t="shared" si="25"/>
        <v>6.0110276262913633E-2</v>
      </c>
      <c r="AD21" s="24">
        <f t="shared" si="26"/>
        <v>6.3724379714224427E-2</v>
      </c>
      <c r="AE21" s="24">
        <f t="shared" si="27"/>
        <v>6.7545888757234981E-2</v>
      </c>
      <c r="AF21" s="24">
        <f t="shared" si="28"/>
        <v>7.1499919756351421E-2</v>
      </c>
      <c r="AG21" s="24">
        <f t="shared" si="29"/>
        <v>7.5501260064213482E-2</v>
      </c>
      <c r="AH21" s="24">
        <f t="shared" si="30"/>
        <v>7.9490785826871871E-2</v>
      </c>
      <c r="AL21" s="23">
        <f t="shared" si="0"/>
        <v>-13450.405704500414</v>
      </c>
      <c r="AM21" s="23">
        <f t="shared" si="1"/>
        <v>-9668.3298415341142</v>
      </c>
      <c r="AN21" s="23">
        <f t="shared" si="2"/>
        <v>-6990.0092857041491</v>
      </c>
      <c r="AO21" s="23">
        <f t="shared" si="3"/>
        <v>-5093.7058652081023</v>
      </c>
      <c r="AP21" s="23">
        <f t="shared" si="4"/>
        <v>-3389.2787813945874</v>
      </c>
      <c r="AQ21" s="23">
        <f t="shared" si="5"/>
        <v>-1711.4712295527336</v>
      </c>
      <c r="AR21" s="23">
        <f t="shared" si="6"/>
        <v>-64.625117887139297</v>
      </c>
      <c r="AS21" s="23">
        <f t="shared" si="7"/>
        <v>1499.0008538407374</v>
      </c>
      <c r="AT21" s="23">
        <f t="shared" si="8"/>
        <v>2929.5089606794363</v>
      </c>
      <c r="AU21" s="23">
        <f t="shared" si="9"/>
        <v>4196.3481419270656</v>
      </c>
      <c r="AW21" s="25">
        <f t="shared" si="31"/>
        <v>-31742.967869334007</v>
      </c>
      <c r="AX21" s="25">
        <f t="shared" si="32"/>
        <v>-18292.562164833591</v>
      </c>
      <c r="AY21" s="25">
        <f t="shared" si="33"/>
        <v>-8624.232323299475</v>
      </c>
      <c r="AZ21" s="25">
        <f t="shared" si="34"/>
        <v>-1634.2230375953241</v>
      </c>
      <c r="BA21" s="25">
        <f t="shared" si="35"/>
        <v>3459.4828276127791</v>
      </c>
      <c r="BB21" s="25">
        <f t="shared" si="36"/>
        <v>6848.7616090073661</v>
      </c>
      <c r="BC21" s="25">
        <f t="shared" si="37"/>
        <v>8560.2328385600995</v>
      </c>
      <c r="BD21" s="25">
        <f t="shared" si="38"/>
        <v>8624.8579564472384</v>
      </c>
      <c r="BE21" s="25">
        <f t="shared" si="39"/>
        <v>7125.8571026065019</v>
      </c>
      <c r="BF21" s="25">
        <f t="shared" si="40"/>
        <v>4196.3481419270656</v>
      </c>
      <c r="BG21" s="25">
        <f t="shared" si="41"/>
        <v>0</v>
      </c>
      <c r="BI21" s="25">
        <f t="shared" si="42"/>
        <v>0</v>
      </c>
      <c r="BJ21" s="25">
        <f t="shared" si="43"/>
        <v>0</v>
      </c>
      <c r="BK21" s="25">
        <f t="shared" si="44"/>
        <v>0</v>
      </c>
      <c r="BL21" s="25">
        <f t="shared" si="45"/>
        <v>0</v>
      </c>
      <c r="BM21" s="25">
        <f t="shared" si="46"/>
        <v>3459.4828276127791</v>
      </c>
      <c r="BN21" s="25">
        <f t="shared" si="47"/>
        <v>6848.7616090073661</v>
      </c>
      <c r="BO21" s="25">
        <f t="shared" si="48"/>
        <v>8560.2328385600995</v>
      </c>
      <c r="BP21" s="25">
        <f t="shared" si="49"/>
        <v>8624.8579564472384</v>
      </c>
      <c r="BQ21" s="25">
        <f t="shared" si="50"/>
        <v>7125.8571026065019</v>
      </c>
      <c r="BR21" s="25">
        <f t="shared" si="51"/>
        <v>4196.3481419270656</v>
      </c>
      <c r="BS21" s="25">
        <f t="shared" si="52"/>
        <v>0</v>
      </c>
    </row>
    <row r="22" spans="1:71" x14ac:dyDescent="0.2">
      <c r="A22" s="29">
        <f t="shared" si="53"/>
        <v>0.13999999999999999</v>
      </c>
      <c r="B22" s="30">
        <v>3.4950167306844401E-2</v>
      </c>
      <c r="C22" s="30">
        <v>4.0306253670526156E-2</v>
      </c>
      <c r="D22" s="30">
        <v>4.7803967431773148E-2</v>
      </c>
      <c r="E22" s="30">
        <v>5.2754057496807838E-2</v>
      </c>
      <c r="F22" s="30">
        <v>5.6310714592243405E-2</v>
      </c>
      <c r="G22" s="30">
        <v>5.968667231488417E-2</v>
      </c>
      <c r="H22" s="30">
        <v>6.3247163310663629E-2</v>
      </c>
      <c r="I22" s="30">
        <v>6.7021833004899278E-2</v>
      </c>
      <c r="J22" s="30">
        <v>7.0935206375174406E-2</v>
      </c>
      <c r="K22" s="30">
        <v>7.490220694486617E-2</v>
      </c>
      <c r="L22" s="30">
        <v>7.8863720947741647E-2</v>
      </c>
      <c r="N22" s="52">
        <f t="shared" si="11"/>
        <v>0.98267672007377216</v>
      </c>
      <c r="O22" s="55">
        <f t="shared" si="12"/>
        <v>0.98004859007716105</v>
      </c>
      <c r="P22" s="54">
        <f t="shared" si="13"/>
        <v>0.95332065065672456</v>
      </c>
      <c r="Q22" s="54">
        <f t="shared" si="14"/>
        <v>0.92391880345978661</v>
      </c>
      <c r="R22" s="56">
        <f t="shared" si="15"/>
        <v>0.89348884489919744</v>
      </c>
      <c r="S22" s="59">
        <f t="shared" si="16"/>
        <v>0.86138244964902277</v>
      </c>
      <c r="T22" s="1">
        <f t="shared" si="17"/>
        <v>0.82717293883948717</v>
      </c>
      <c r="U22" s="1">
        <f t="shared" si="18"/>
        <v>0.79090579410686757</v>
      </c>
      <c r="V22" s="66">
        <f t="shared" si="19"/>
        <v>0.75296176790881642</v>
      </c>
      <c r="W22" s="63">
        <f t="shared" si="20"/>
        <v>0.71386605573427109</v>
      </c>
      <c r="Y22" s="24">
        <f t="shared" si="21"/>
        <v>4.0306253670526156E-2</v>
      </c>
      <c r="Z22" s="24">
        <f t="shared" si="22"/>
        <v>4.7803967431773148E-2</v>
      </c>
      <c r="AA22" s="24">
        <f t="shared" si="23"/>
        <v>5.2754057496807838E-2</v>
      </c>
      <c r="AB22" s="24">
        <f t="shared" si="24"/>
        <v>5.6310714592243405E-2</v>
      </c>
      <c r="AC22" s="24">
        <f t="shared" si="25"/>
        <v>5.968667231488417E-2</v>
      </c>
      <c r="AD22" s="24">
        <f t="shared" si="26"/>
        <v>6.3247163310663629E-2</v>
      </c>
      <c r="AE22" s="24">
        <f t="shared" si="27"/>
        <v>6.7021833004899278E-2</v>
      </c>
      <c r="AF22" s="24">
        <f t="shared" si="28"/>
        <v>7.0935206375174406E-2</v>
      </c>
      <c r="AG22" s="24">
        <f t="shared" si="29"/>
        <v>7.490220694486617E-2</v>
      </c>
      <c r="AH22" s="24">
        <f t="shared" si="30"/>
        <v>7.8863720947741647E-2</v>
      </c>
      <c r="AL22" s="23">
        <f t="shared" si="0"/>
        <v>-13460.761894453821</v>
      </c>
      <c r="AM22" s="23">
        <f t="shared" si="1"/>
        <v>-9750.6997192452236</v>
      </c>
      <c r="AN22" s="23">
        <f t="shared" si="2"/>
        <v>-7125.2665557363116</v>
      </c>
      <c r="AO22" s="23">
        <f t="shared" si="3"/>
        <v>-5262.4814008847579</v>
      </c>
      <c r="AP22" s="23">
        <f t="shared" si="4"/>
        <v>-3580.9673470410748</v>
      </c>
      <c r="AQ22" s="23">
        <f t="shared" si="5"/>
        <v>-1918.8175718811178</v>
      </c>
      <c r="AR22" s="23">
        <f t="shared" si="6"/>
        <v>-281.46007303384999</v>
      </c>
      <c r="AS22" s="23">
        <f t="shared" si="7"/>
        <v>1278.4352943856895</v>
      </c>
      <c r="AT22" s="23">
        <f t="shared" si="8"/>
        <v>2710.6017238354398</v>
      </c>
      <c r="AU22" s="23">
        <f t="shared" si="9"/>
        <v>3983.855496609327</v>
      </c>
      <c r="AW22" s="25">
        <f t="shared" si="31"/>
        <v>-33407.562047445703</v>
      </c>
      <c r="AX22" s="25">
        <f t="shared" si="32"/>
        <v>-19946.800152991877</v>
      </c>
      <c r="AY22" s="25">
        <f t="shared" si="33"/>
        <v>-10196.100433746653</v>
      </c>
      <c r="AZ22" s="25">
        <f t="shared" si="34"/>
        <v>-3070.8338780103441</v>
      </c>
      <c r="BA22" s="25">
        <f t="shared" si="35"/>
        <v>2191.6475228744139</v>
      </c>
      <c r="BB22" s="25">
        <f t="shared" si="36"/>
        <v>5772.6148699154883</v>
      </c>
      <c r="BC22" s="25">
        <f t="shared" si="37"/>
        <v>7691.4324417966063</v>
      </c>
      <c r="BD22" s="25">
        <f t="shared" si="38"/>
        <v>7972.8925148304561</v>
      </c>
      <c r="BE22" s="25">
        <f t="shared" si="39"/>
        <v>6694.4572204447668</v>
      </c>
      <c r="BF22" s="25">
        <f t="shared" si="40"/>
        <v>3983.855496609327</v>
      </c>
      <c r="BG22" s="25">
        <f t="shared" si="41"/>
        <v>0</v>
      </c>
      <c r="BI22" s="25">
        <f t="shared" si="42"/>
        <v>0</v>
      </c>
      <c r="BJ22" s="25">
        <f t="shared" si="43"/>
        <v>0</v>
      </c>
      <c r="BK22" s="25">
        <f t="shared" si="44"/>
        <v>0</v>
      </c>
      <c r="BL22" s="25">
        <f t="shared" si="45"/>
        <v>0</v>
      </c>
      <c r="BM22" s="25">
        <f t="shared" si="46"/>
        <v>2191.6475228744139</v>
      </c>
      <c r="BN22" s="25">
        <f t="shared" si="47"/>
        <v>5772.6148699154883</v>
      </c>
      <c r="BO22" s="25">
        <f t="shared" si="48"/>
        <v>7691.4324417966063</v>
      </c>
      <c r="BP22" s="25">
        <f t="shared" si="49"/>
        <v>7972.8925148304561</v>
      </c>
      <c r="BQ22" s="25">
        <f t="shared" si="50"/>
        <v>6694.4572204447668</v>
      </c>
      <c r="BR22" s="25">
        <f t="shared" si="51"/>
        <v>3983.855496609327</v>
      </c>
      <c r="BS22" s="25">
        <f t="shared" si="52"/>
        <v>0</v>
      </c>
    </row>
    <row r="23" spans="1:71" x14ac:dyDescent="0.2">
      <c r="A23" s="29">
        <f t="shared" si="53"/>
        <v>0.15</v>
      </c>
      <c r="B23" s="30">
        <v>3.7092068108585653E-2</v>
      </c>
      <c r="C23" s="30">
        <v>4.2354314744408976E-2</v>
      </c>
      <c r="D23" s="30">
        <v>4.9673034767437674E-2</v>
      </c>
      <c r="E23" s="30">
        <v>5.4475611608209761E-2</v>
      </c>
      <c r="F23" s="30">
        <v>5.7917169710587357E-2</v>
      </c>
      <c r="G23" s="30">
        <v>6.1193253186013506E-2</v>
      </c>
      <c r="H23" s="30">
        <v>6.4662141595130576E-2</v>
      </c>
      <c r="I23" s="30">
        <v>6.8351135142557015E-2</v>
      </c>
      <c r="J23" s="30">
        <v>7.2184322852101329E-2</v>
      </c>
      <c r="K23" s="30">
        <v>7.6076902778114422E-2</v>
      </c>
      <c r="L23" s="30">
        <v>7.996990955769312E-2</v>
      </c>
      <c r="N23" s="52">
        <f t="shared" si="11"/>
        <v>0.98162488537840942</v>
      </c>
      <c r="O23" s="55">
        <f t="shared" si="12"/>
        <v>0.97904550407623991</v>
      </c>
      <c r="P23" s="54">
        <f t="shared" si="13"/>
        <v>0.9515404943024498</v>
      </c>
      <c r="Q23" s="54">
        <f t="shared" si="14"/>
        <v>0.92153601703368737</v>
      </c>
      <c r="R23" s="56">
        <f t="shared" si="15"/>
        <v>0.89062275215791442</v>
      </c>
      <c r="S23" s="59">
        <f t="shared" si="16"/>
        <v>0.85814419603748548</v>
      </c>
      <c r="T23" s="1">
        <f t="shared" si="17"/>
        <v>0.82366908567728592</v>
      </c>
      <c r="U23" s="1">
        <f t="shared" si="18"/>
        <v>0.78723460626562158</v>
      </c>
      <c r="V23" s="66">
        <f t="shared" si="19"/>
        <v>0.74920900319334127</v>
      </c>
      <c r="W23" s="63">
        <f t="shared" si="20"/>
        <v>0.71010242236298859</v>
      </c>
      <c r="Y23" s="24">
        <f t="shared" si="21"/>
        <v>4.2354314744408976E-2</v>
      </c>
      <c r="Z23" s="24">
        <f t="shared" si="22"/>
        <v>4.9673034767437674E-2</v>
      </c>
      <c r="AA23" s="24">
        <f t="shared" si="23"/>
        <v>5.4475611608209761E-2</v>
      </c>
      <c r="AB23" s="24">
        <f t="shared" si="24"/>
        <v>5.7917169710587357E-2</v>
      </c>
      <c r="AC23" s="24">
        <f t="shared" si="25"/>
        <v>6.1193253186013506E-2</v>
      </c>
      <c r="AD23" s="24">
        <f t="shared" si="26"/>
        <v>6.4662141595130576E-2</v>
      </c>
      <c r="AE23" s="24">
        <f t="shared" si="27"/>
        <v>6.8351135142557015E-2</v>
      </c>
      <c r="AF23" s="24">
        <f t="shared" si="28"/>
        <v>7.2184322852101329E-2</v>
      </c>
      <c r="AG23" s="24">
        <f t="shared" si="29"/>
        <v>7.6076902778114422E-2</v>
      </c>
      <c r="AH23" s="24">
        <f t="shared" si="30"/>
        <v>7.996990955769312E-2</v>
      </c>
      <c r="AL23" s="23">
        <f t="shared" si="0"/>
        <v>-12441.139944210767</v>
      </c>
      <c r="AM23" s="23">
        <f t="shared" si="1"/>
        <v>-8825.7688298122121</v>
      </c>
      <c r="AN23" s="23">
        <f t="shared" si="2"/>
        <v>-6292.8971656911808</v>
      </c>
      <c r="AO23" s="23">
        <f t="shared" si="3"/>
        <v>-4508.706336657875</v>
      </c>
      <c r="AP23" s="23">
        <f t="shared" si="4"/>
        <v>-2898.5828825099356</v>
      </c>
      <c r="AQ23" s="23">
        <f t="shared" si="5"/>
        <v>-1304.4763293484625</v>
      </c>
      <c r="AR23" s="23">
        <f t="shared" si="6"/>
        <v>267.18471250018894</v>
      </c>
      <c r="AS23" s="23">
        <f t="shared" si="7"/>
        <v>1764.174974896079</v>
      </c>
      <c r="AT23" s="23">
        <f t="shared" si="8"/>
        <v>3137.1384202345703</v>
      </c>
      <c r="AU23" s="23">
        <f t="shared" si="9"/>
        <v>4355.6054821886546</v>
      </c>
      <c r="AW23" s="25">
        <f t="shared" si="31"/>
        <v>-26747.467898410949</v>
      </c>
      <c r="AX23" s="25">
        <f t="shared" si="32"/>
        <v>-14306.327954200176</v>
      </c>
      <c r="AY23" s="25">
        <f t="shared" si="33"/>
        <v>-5480.5591243879599</v>
      </c>
      <c r="AZ23" s="25">
        <f t="shared" si="34"/>
        <v>812.3380413032196</v>
      </c>
      <c r="BA23" s="25">
        <f t="shared" si="35"/>
        <v>5321.0443779610941</v>
      </c>
      <c r="BB23" s="25">
        <f t="shared" si="36"/>
        <v>8219.6272604710302</v>
      </c>
      <c r="BC23" s="25">
        <f t="shared" si="37"/>
        <v>9524.1035898194932</v>
      </c>
      <c r="BD23" s="25">
        <f t="shared" si="38"/>
        <v>9256.9188773193036</v>
      </c>
      <c r="BE23" s="25">
        <f t="shared" si="39"/>
        <v>7492.7439024232244</v>
      </c>
      <c r="BF23" s="25">
        <f t="shared" si="40"/>
        <v>4355.6054821886546</v>
      </c>
      <c r="BG23" s="25">
        <f t="shared" si="41"/>
        <v>0</v>
      </c>
      <c r="BI23" s="25">
        <f t="shared" si="42"/>
        <v>0</v>
      </c>
      <c r="BJ23" s="25">
        <f t="shared" si="43"/>
        <v>0</v>
      </c>
      <c r="BK23" s="25">
        <f t="shared" si="44"/>
        <v>0</v>
      </c>
      <c r="BL23" s="25">
        <f t="shared" si="45"/>
        <v>812.3380413032196</v>
      </c>
      <c r="BM23" s="25">
        <f t="shared" si="46"/>
        <v>5321.0443779610941</v>
      </c>
      <c r="BN23" s="25">
        <f t="shared" si="47"/>
        <v>8219.6272604710302</v>
      </c>
      <c r="BO23" s="25">
        <f t="shared" si="48"/>
        <v>9524.1035898194932</v>
      </c>
      <c r="BP23" s="25">
        <f t="shared" si="49"/>
        <v>9256.9188773193036</v>
      </c>
      <c r="BQ23" s="25">
        <f t="shared" si="50"/>
        <v>7492.7439024232244</v>
      </c>
      <c r="BR23" s="25">
        <f t="shared" si="51"/>
        <v>4355.6054821886546</v>
      </c>
      <c r="BS23" s="25">
        <f t="shared" si="52"/>
        <v>0</v>
      </c>
    </row>
    <row r="24" spans="1:71" x14ac:dyDescent="0.2">
      <c r="A24" s="29">
        <f t="shared" si="53"/>
        <v>0.16</v>
      </c>
      <c r="B24" s="30">
        <v>3.7807498930096738E-2</v>
      </c>
      <c r="C24" s="30">
        <v>4.3092281412894666E-2</v>
      </c>
      <c r="D24" s="30">
        <v>5.0345298972729415E-2</v>
      </c>
      <c r="E24" s="30">
        <v>5.5108352071597332E-2</v>
      </c>
      <c r="F24" s="30">
        <v>5.8537232929841372E-2</v>
      </c>
      <c r="G24" s="30">
        <v>6.1810597424828813E-2</v>
      </c>
      <c r="H24" s="30">
        <v>6.5279960712486859E-2</v>
      </c>
      <c r="I24" s="30">
        <v>6.8970412485357485E-2</v>
      </c>
      <c r="J24" s="30">
        <v>7.28057165464535E-2</v>
      </c>
      <c r="K24" s="30">
        <v>7.6701439481830821E-2</v>
      </c>
      <c r="L24" s="30">
        <v>8.0598858295119008E-2</v>
      </c>
      <c r="N24" s="52">
        <f t="shared" si="11"/>
        <v>0.98127380582635515</v>
      </c>
      <c r="O24" s="55">
        <f t="shared" si="12"/>
        <v>0.9786843192414606</v>
      </c>
      <c r="P24" s="54">
        <f t="shared" si="13"/>
        <v>0.95090102265927612</v>
      </c>
      <c r="Q24" s="54">
        <f t="shared" si="14"/>
        <v>0.92066179227767686</v>
      </c>
      <c r="R24" s="56">
        <f t="shared" si="15"/>
        <v>0.88951895190362817</v>
      </c>
      <c r="S24" s="59">
        <f t="shared" si="16"/>
        <v>0.85682079160656199</v>
      </c>
      <c r="T24" s="1">
        <f t="shared" si="17"/>
        <v>0.82214386405801076</v>
      </c>
      <c r="U24" s="1">
        <f t="shared" si="18"/>
        <v>0.78553014617361128</v>
      </c>
      <c r="V24" s="66">
        <f t="shared" si="19"/>
        <v>0.74734910061301985</v>
      </c>
      <c r="W24" s="63">
        <f t="shared" si="20"/>
        <v>0.70810954146831784</v>
      </c>
      <c r="Y24" s="24">
        <f t="shared" si="21"/>
        <v>4.3092281412894666E-2</v>
      </c>
      <c r="Z24" s="24">
        <f t="shared" si="22"/>
        <v>5.0345298972729415E-2</v>
      </c>
      <c r="AA24" s="24">
        <f t="shared" si="23"/>
        <v>5.5108352071597332E-2</v>
      </c>
      <c r="AB24" s="24">
        <f t="shared" si="24"/>
        <v>5.8537232929841372E-2</v>
      </c>
      <c r="AC24" s="24">
        <f t="shared" si="25"/>
        <v>6.181059742482882E-2</v>
      </c>
      <c r="AD24" s="24">
        <f t="shared" si="26"/>
        <v>6.5279960712486859E-2</v>
      </c>
      <c r="AE24" s="24">
        <f t="shared" si="27"/>
        <v>6.8970412485357485E-2</v>
      </c>
      <c r="AF24" s="24">
        <f t="shared" si="28"/>
        <v>7.28057165464535E-2</v>
      </c>
      <c r="AG24" s="24">
        <f t="shared" si="29"/>
        <v>7.6701439481830821E-2</v>
      </c>
      <c r="AH24" s="24">
        <f t="shared" si="30"/>
        <v>8.0598858295119008E-2</v>
      </c>
      <c r="AL24" s="23">
        <f t="shared" si="0"/>
        <v>-12074.616671937572</v>
      </c>
      <c r="AM24" s="23">
        <f t="shared" si="1"/>
        <v>-8493.5456508835487</v>
      </c>
      <c r="AN24" s="23">
        <f t="shared" si="2"/>
        <v>-5987.8313210072656</v>
      </c>
      <c r="AO24" s="23">
        <f t="shared" si="3"/>
        <v>-4218.9948479749055</v>
      </c>
      <c r="AP24" s="23">
        <f t="shared" si="4"/>
        <v>-2620.4208010696711</v>
      </c>
      <c r="AQ24" s="23">
        <f t="shared" si="5"/>
        <v>-1037.7844721880672</v>
      </c>
      <c r="AR24" s="23">
        <f t="shared" si="6"/>
        <v>521.2574894441949</v>
      </c>
      <c r="AS24" s="23">
        <f t="shared" si="7"/>
        <v>2004.4170580988068</v>
      </c>
      <c r="AT24" s="23">
        <f t="shared" si="8"/>
        <v>3362.7239827402523</v>
      </c>
      <c r="AU24" s="23">
        <f t="shared" si="9"/>
        <v>4566.0639086411538</v>
      </c>
      <c r="AW24" s="25">
        <f t="shared" si="31"/>
        <v>-23978.731326136629</v>
      </c>
      <c r="AX24" s="25">
        <f t="shared" si="32"/>
        <v>-11904.114654199057</v>
      </c>
      <c r="AY24" s="25">
        <f t="shared" si="33"/>
        <v>-3410.5690033155006</v>
      </c>
      <c r="AZ24" s="25">
        <f t="shared" si="34"/>
        <v>2577.2623176917637</v>
      </c>
      <c r="BA24" s="25">
        <f t="shared" si="35"/>
        <v>6796.2571656666696</v>
      </c>
      <c r="BB24" s="25">
        <f t="shared" si="36"/>
        <v>9416.6779667363407</v>
      </c>
      <c r="BC24" s="25">
        <f t="shared" si="37"/>
        <v>10454.462438924407</v>
      </c>
      <c r="BD24" s="25">
        <f t="shared" si="38"/>
        <v>9933.2049494802122</v>
      </c>
      <c r="BE24" s="25">
        <f t="shared" si="39"/>
        <v>7928.7878913814056</v>
      </c>
      <c r="BF24" s="25">
        <f t="shared" si="40"/>
        <v>4566.0639086411538</v>
      </c>
      <c r="BG24" s="25">
        <f t="shared" si="41"/>
        <v>0</v>
      </c>
      <c r="BI24" s="25">
        <f t="shared" si="42"/>
        <v>0</v>
      </c>
      <c r="BJ24" s="25">
        <f t="shared" si="43"/>
        <v>0</v>
      </c>
      <c r="BK24" s="25">
        <f t="shared" si="44"/>
        <v>0</v>
      </c>
      <c r="BL24" s="25">
        <f t="shared" si="45"/>
        <v>2577.2623176917637</v>
      </c>
      <c r="BM24" s="25">
        <f t="shared" si="46"/>
        <v>6796.2571656666696</v>
      </c>
      <c r="BN24" s="25">
        <f t="shared" si="47"/>
        <v>9416.6779667363407</v>
      </c>
      <c r="BO24" s="25">
        <f t="shared" si="48"/>
        <v>10454.462438924407</v>
      </c>
      <c r="BP24" s="25">
        <f t="shared" si="49"/>
        <v>9933.2049494802122</v>
      </c>
      <c r="BQ24" s="25">
        <f t="shared" si="50"/>
        <v>7928.7878913814056</v>
      </c>
      <c r="BR24" s="25">
        <f t="shared" si="51"/>
        <v>4566.0639086411538</v>
      </c>
      <c r="BS24" s="25">
        <f t="shared" si="52"/>
        <v>0</v>
      </c>
    </row>
    <row r="25" spans="1:71" x14ac:dyDescent="0.2">
      <c r="A25" s="29">
        <f t="shared" si="53"/>
        <v>0.17</v>
      </c>
      <c r="B25" s="30">
        <v>3.8363241630935824E-2</v>
      </c>
      <c r="C25" s="30">
        <v>4.3662327204803938E-2</v>
      </c>
      <c r="D25" s="30">
        <v>5.0839725637396069E-2</v>
      </c>
      <c r="E25" s="30">
        <v>5.5549611669543426E-2</v>
      </c>
      <c r="F25" s="30">
        <v>5.8948326410334796E-2</v>
      </c>
      <c r="G25" s="30">
        <v>6.2198072212125012E-2</v>
      </c>
      <c r="H25" s="30">
        <v>6.5643923136454979E-2</v>
      </c>
      <c r="I25" s="30">
        <v>6.9309028302091971E-2</v>
      </c>
      <c r="J25" s="30">
        <v>7.3117072398779195E-2</v>
      </c>
      <c r="K25" s="30">
        <v>7.6984220253450253E-2</v>
      </c>
      <c r="L25" s="30">
        <v>8.0852220915088563E-2</v>
      </c>
      <c r="N25" s="52">
        <f t="shared" si="11"/>
        <v>0.98100117582858593</v>
      </c>
      <c r="O25" s="55">
        <f t="shared" si="12"/>
        <v>0.9784054115519919</v>
      </c>
      <c r="P25" s="54">
        <f t="shared" si="13"/>
        <v>0.95043098804661286</v>
      </c>
      <c r="Q25" s="54">
        <f t="shared" si="14"/>
        <v>0.92005261762458146</v>
      </c>
      <c r="R25" s="56">
        <f t="shared" si="15"/>
        <v>0.88878790159102172</v>
      </c>
      <c r="S25" s="59">
        <f t="shared" si="16"/>
        <v>0.85599120234264048</v>
      </c>
      <c r="T25" s="1">
        <f t="shared" si="17"/>
        <v>0.82124666554612724</v>
      </c>
      <c r="U25" s="1">
        <f t="shared" si="18"/>
        <v>0.78459972236883935</v>
      </c>
      <c r="V25" s="66">
        <f t="shared" si="19"/>
        <v>0.74641891390657744</v>
      </c>
      <c r="W25" s="63">
        <f t="shared" si="20"/>
        <v>0.7072090356113766</v>
      </c>
      <c r="Y25" s="24">
        <f t="shared" si="21"/>
        <v>4.3662327204803938E-2</v>
      </c>
      <c r="Z25" s="24">
        <f t="shared" si="22"/>
        <v>5.0839725637396069E-2</v>
      </c>
      <c r="AA25" s="24">
        <f t="shared" si="23"/>
        <v>5.5549611669543426E-2</v>
      </c>
      <c r="AB25" s="24">
        <f t="shared" si="24"/>
        <v>5.8948326410334796E-2</v>
      </c>
      <c r="AC25" s="24">
        <f t="shared" si="25"/>
        <v>6.2198072212125012E-2</v>
      </c>
      <c r="AD25" s="24">
        <f t="shared" si="26"/>
        <v>6.5643923136454979E-2</v>
      </c>
      <c r="AE25" s="24">
        <f t="shared" si="27"/>
        <v>6.9309028302091971E-2</v>
      </c>
      <c r="AF25" s="24">
        <f t="shared" si="28"/>
        <v>7.3117072398779195E-2</v>
      </c>
      <c r="AG25" s="24">
        <f t="shared" si="29"/>
        <v>7.6984220253450253E-2</v>
      </c>
      <c r="AH25" s="24">
        <f t="shared" si="30"/>
        <v>8.0852220915088563E-2</v>
      </c>
      <c r="AL25" s="23">
        <f t="shared" si="0"/>
        <v>-11791.654151939996</v>
      </c>
      <c r="AM25" s="23">
        <f t="shared" si="1"/>
        <v>-8249.2502787092562</v>
      </c>
      <c r="AN25" s="23">
        <f t="shared" si="2"/>
        <v>-5775.1781114733649</v>
      </c>
      <c r="AO25" s="23">
        <f t="shared" si="3"/>
        <v>-4027.0894475730265</v>
      </c>
      <c r="AP25" s="23">
        <f t="shared" si="4"/>
        <v>-2446.0757591428041</v>
      </c>
      <c r="AQ25" s="23">
        <f t="shared" si="5"/>
        <v>-881.00535419166329</v>
      </c>
      <c r="AR25" s="23">
        <f t="shared" si="6"/>
        <v>659.73220083644412</v>
      </c>
      <c r="AS25" s="23">
        <f t="shared" si="7"/>
        <v>2124.1877772672788</v>
      </c>
      <c r="AT25" s="23">
        <f t="shared" si="8"/>
        <v>3464.075032629788</v>
      </c>
      <c r="AU25" s="23">
        <f t="shared" si="9"/>
        <v>4649.8473931908266</v>
      </c>
      <c r="AW25" s="25">
        <f t="shared" si="31"/>
        <v>-22272.410699105774</v>
      </c>
      <c r="AX25" s="25">
        <f t="shared" si="32"/>
        <v>-10480.756547165782</v>
      </c>
      <c r="AY25" s="25">
        <f t="shared" si="33"/>
        <v>-2231.5062684565219</v>
      </c>
      <c r="AZ25" s="25">
        <f t="shared" si="34"/>
        <v>3543.6718430168444</v>
      </c>
      <c r="BA25" s="25">
        <f t="shared" si="35"/>
        <v>7570.7612905898695</v>
      </c>
      <c r="BB25" s="25">
        <f t="shared" si="36"/>
        <v>10016.837049732674</v>
      </c>
      <c r="BC25" s="25">
        <f t="shared" si="37"/>
        <v>10897.842403924336</v>
      </c>
      <c r="BD25" s="25">
        <f t="shared" si="38"/>
        <v>10238.110203087894</v>
      </c>
      <c r="BE25" s="25">
        <f t="shared" si="39"/>
        <v>8113.9224258206141</v>
      </c>
      <c r="BF25" s="25">
        <f t="shared" si="40"/>
        <v>4649.8473931908266</v>
      </c>
      <c r="BG25" s="25">
        <f t="shared" si="41"/>
        <v>0</v>
      </c>
      <c r="BI25" s="25">
        <f t="shared" si="42"/>
        <v>0</v>
      </c>
      <c r="BJ25" s="25">
        <f t="shared" si="43"/>
        <v>0</v>
      </c>
      <c r="BK25" s="25">
        <f t="shared" si="44"/>
        <v>0</v>
      </c>
      <c r="BL25" s="25">
        <f t="shared" si="45"/>
        <v>3543.6718430168444</v>
      </c>
      <c r="BM25" s="25">
        <f t="shared" si="46"/>
        <v>7570.7612905898695</v>
      </c>
      <c r="BN25" s="25">
        <f t="shared" si="47"/>
        <v>10016.837049732674</v>
      </c>
      <c r="BO25" s="25">
        <f t="shared" si="48"/>
        <v>10897.842403924336</v>
      </c>
      <c r="BP25" s="25">
        <f t="shared" si="49"/>
        <v>10238.110203087894</v>
      </c>
      <c r="BQ25" s="25">
        <f t="shared" si="50"/>
        <v>8113.9224258206141</v>
      </c>
      <c r="BR25" s="25">
        <f t="shared" si="51"/>
        <v>4649.8473931908266</v>
      </c>
      <c r="BS25" s="25">
        <f t="shared" si="52"/>
        <v>0</v>
      </c>
    </row>
    <row r="26" spans="1:71" x14ac:dyDescent="0.2">
      <c r="A26" s="29">
        <f t="shared" si="53"/>
        <v>0.18000000000000002</v>
      </c>
      <c r="B26" s="30">
        <v>3.8624857199475907E-2</v>
      </c>
      <c r="C26" s="30">
        <v>4.3968365183220219E-2</v>
      </c>
      <c r="D26" s="30">
        <v>5.1100222280246133E-2</v>
      </c>
      <c r="E26" s="30">
        <v>5.578481298146569E-2</v>
      </c>
      <c r="F26" s="30">
        <v>5.9178759215486071E-2</v>
      </c>
      <c r="G26" s="30">
        <v>6.2428082037309943E-2</v>
      </c>
      <c r="H26" s="30">
        <v>6.5871576403551887E-2</v>
      </c>
      <c r="I26" s="30">
        <v>6.9530560067462291E-2</v>
      </c>
      <c r="J26" s="30">
        <v>7.3328724131645484E-2</v>
      </c>
      <c r="K26" s="30">
        <v>7.7182901119049963E-2</v>
      </c>
      <c r="L26" s="30">
        <v>8.1035381556049196E-2</v>
      </c>
      <c r="N26" s="52">
        <f t="shared" si="11"/>
        <v>0.98087286163084042</v>
      </c>
      <c r="O26" s="55">
        <f t="shared" si="12"/>
        <v>0.97825570839888509</v>
      </c>
      <c r="P26" s="54">
        <f t="shared" si="13"/>
        <v>0.95018343620957713</v>
      </c>
      <c r="Q26" s="54">
        <f t="shared" si="14"/>
        <v>0.91972807850291383</v>
      </c>
      <c r="R26" s="56">
        <f t="shared" si="15"/>
        <v>0.88837838418581827</v>
      </c>
      <c r="S26" s="59">
        <f t="shared" si="16"/>
        <v>0.85549912786662785</v>
      </c>
      <c r="T26" s="1">
        <f t="shared" si="17"/>
        <v>0.82068597857174119</v>
      </c>
      <c r="U26" s="1">
        <f t="shared" si="18"/>
        <v>0.78399160998705253</v>
      </c>
      <c r="V26" s="66">
        <f t="shared" si="19"/>
        <v>0.74578725790019207</v>
      </c>
      <c r="W26" s="63">
        <f t="shared" si="20"/>
        <v>0.70657702811591949</v>
      </c>
      <c r="Y26" s="24">
        <f t="shared" si="21"/>
        <v>4.3968365183220219E-2</v>
      </c>
      <c r="Z26" s="24">
        <f t="shared" si="22"/>
        <v>5.1100222280246133E-2</v>
      </c>
      <c r="AA26" s="24">
        <f t="shared" si="23"/>
        <v>5.5784812981465683E-2</v>
      </c>
      <c r="AB26" s="24">
        <f t="shared" si="24"/>
        <v>5.9178759215486071E-2</v>
      </c>
      <c r="AC26" s="24">
        <f t="shared" si="25"/>
        <v>6.2428082037309943E-2</v>
      </c>
      <c r="AD26" s="24">
        <f t="shared" si="26"/>
        <v>6.5871576403551887E-2</v>
      </c>
      <c r="AE26" s="24">
        <f t="shared" si="27"/>
        <v>6.9530560067462291E-2</v>
      </c>
      <c r="AF26" s="24">
        <f t="shared" si="28"/>
        <v>7.3328724131645484E-2</v>
      </c>
      <c r="AG26" s="24">
        <f t="shared" si="29"/>
        <v>7.7182901119049963E-2</v>
      </c>
      <c r="AH26" s="24">
        <f t="shared" si="30"/>
        <v>8.1035381556049196E-2</v>
      </c>
      <c r="AL26" s="23">
        <f t="shared" si="0"/>
        <v>-11640.019638836246</v>
      </c>
      <c r="AM26" s="23">
        <f t="shared" si="1"/>
        <v>-8120.5719193988634</v>
      </c>
      <c r="AN26" s="23">
        <f t="shared" si="2"/>
        <v>-5661.931697512272</v>
      </c>
      <c r="AO26" s="23">
        <f t="shared" si="3"/>
        <v>-3919.701172533059</v>
      </c>
      <c r="AP26" s="23">
        <f t="shared" si="4"/>
        <v>-2342.7808282527058</v>
      </c>
      <c r="AQ26" s="23">
        <f t="shared" si="5"/>
        <v>-783.12031436993175</v>
      </c>
      <c r="AR26" s="23">
        <f t="shared" si="6"/>
        <v>750.18579091326251</v>
      </c>
      <c r="AS26" s="23">
        <f t="shared" si="7"/>
        <v>2205.5079942813827</v>
      </c>
      <c r="AT26" s="23">
        <f t="shared" si="8"/>
        <v>3535.2303927484895</v>
      </c>
      <c r="AU26" s="23">
        <f t="shared" si="9"/>
        <v>4710.4005410718846</v>
      </c>
      <c r="AW26" s="25">
        <f t="shared" si="31"/>
        <v>-21266.800851888052</v>
      </c>
      <c r="AX26" s="25">
        <f t="shared" si="32"/>
        <v>-9626.7812130518068</v>
      </c>
      <c r="AY26" s="25">
        <f t="shared" si="33"/>
        <v>-1506.2092936529471</v>
      </c>
      <c r="AZ26" s="25">
        <f t="shared" si="34"/>
        <v>4155.7224038593231</v>
      </c>
      <c r="BA26" s="25">
        <f t="shared" si="35"/>
        <v>8075.4235763923825</v>
      </c>
      <c r="BB26" s="25">
        <f t="shared" si="36"/>
        <v>10418.204404645086</v>
      </c>
      <c r="BC26" s="25">
        <f t="shared" si="37"/>
        <v>11201.324719015018</v>
      </c>
      <c r="BD26" s="25">
        <f t="shared" si="38"/>
        <v>10451.138928101758</v>
      </c>
      <c r="BE26" s="25">
        <f t="shared" si="39"/>
        <v>8245.6309338203737</v>
      </c>
      <c r="BF26" s="25">
        <f t="shared" si="40"/>
        <v>4710.4005410718846</v>
      </c>
      <c r="BG26" s="25">
        <f t="shared" si="41"/>
        <v>0</v>
      </c>
      <c r="BI26" s="25">
        <f t="shared" si="42"/>
        <v>0</v>
      </c>
      <c r="BJ26" s="25">
        <f t="shared" si="43"/>
        <v>0</v>
      </c>
      <c r="BK26" s="25">
        <f t="shared" si="44"/>
        <v>0</v>
      </c>
      <c r="BL26" s="25">
        <f t="shared" si="45"/>
        <v>4155.7224038593231</v>
      </c>
      <c r="BM26" s="25">
        <f t="shared" si="46"/>
        <v>8075.4235763923825</v>
      </c>
      <c r="BN26" s="25">
        <f t="shared" si="47"/>
        <v>10418.204404645086</v>
      </c>
      <c r="BO26" s="25">
        <f t="shared" si="48"/>
        <v>11201.324719015018</v>
      </c>
      <c r="BP26" s="25">
        <f t="shared" si="49"/>
        <v>10451.138928101758</v>
      </c>
      <c r="BQ26" s="25">
        <f t="shared" si="50"/>
        <v>8245.6309338203737</v>
      </c>
      <c r="BR26" s="25">
        <f t="shared" si="51"/>
        <v>4710.4005410718846</v>
      </c>
      <c r="BS26" s="25">
        <f t="shared" si="52"/>
        <v>0</v>
      </c>
    </row>
    <row r="27" spans="1:71" x14ac:dyDescent="0.2">
      <c r="A27" s="29">
        <f t="shared" si="53"/>
        <v>0.19000000000000003</v>
      </c>
      <c r="B27" s="30">
        <v>3.8544568306503948E-2</v>
      </c>
      <c r="C27" s="30">
        <v>4.3900994552688657E-2</v>
      </c>
      <c r="D27" s="30">
        <v>5.0964014295768627E-2</v>
      </c>
      <c r="E27" s="30">
        <v>5.5605740686673545E-2</v>
      </c>
      <c r="F27" s="30">
        <v>5.89824647197396E-2</v>
      </c>
      <c r="G27" s="30">
        <v>6.2223941685013863E-2</v>
      </c>
      <c r="H27" s="30">
        <v>6.5662493877520794E-2</v>
      </c>
      <c r="I27" s="30">
        <v>6.9317361929109533E-2</v>
      </c>
      <c r="J27" s="30">
        <v>7.3111974069456589E-2</v>
      </c>
      <c r="K27" s="30">
        <v>7.6963545481700965E-2</v>
      </c>
      <c r="L27" s="30">
        <v>8.0814623117997267E-2</v>
      </c>
      <c r="N27" s="52">
        <f t="shared" si="11"/>
        <v>0.98091223901933011</v>
      </c>
      <c r="O27" s="55">
        <f t="shared" si="12"/>
        <v>0.97828866180585283</v>
      </c>
      <c r="P27" s="54">
        <f t="shared" si="13"/>
        <v>0.95031286759490108</v>
      </c>
      <c r="Q27" s="54">
        <f t="shared" si="14"/>
        <v>0.91997515841170641</v>
      </c>
      <c r="R27" s="56">
        <f t="shared" si="15"/>
        <v>0.88872722022984485</v>
      </c>
      <c r="S27" s="59">
        <f t="shared" si="16"/>
        <v>0.85593584402976741</v>
      </c>
      <c r="T27" s="1">
        <f t="shared" si="17"/>
        <v>0.82120091334308654</v>
      </c>
      <c r="U27" s="1">
        <f t="shared" si="18"/>
        <v>0.78457683773753184</v>
      </c>
      <c r="V27" s="66">
        <f t="shared" si="19"/>
        <v>0.74643413601953446</v>
      </c>
      <c r="W27" s="63">
        <f t="shared" si="20"/>
        <v>0.70727483490645271</v>
      </c>
      <c r="Y27" s="24">
        <f t="shared" si="21"/>
        <v>4.3900994552688657E-2</v>
      </c>
      <c r="Z27" s="24">
        <f t="shared" si="22"/>
        <v>5.0964014295768627E-2</v>
      </c>
      <c r="AA27" s="24">
        <f t="shared" si="23"/>
        <v>5.5605740686673545E-2</v>
      </c>
      <c r="AB27" s="24">
        <f t="shared" si="24"/>
        <v>5.89824647197396E-2</v>
      </c>
      <c r="AC27" s="24">
        <f t="shared" si="25"/>
        <v>6.2223941685013863E-2</v>
      </c>
      <c r="AD27" s="24">
        <f t="shared" si="26"/>
        <v>6.5662493877520794E-2</v>
      </c>
      <c r="AE27" s="24">
        <f t="shared" si="27"/>
        <v>6.9317361929109533E-2</v>
      </c>
      <c r="AF27" s="24">
        <f t="shared" si="28"/>
        <v>7.3111974069456589E-2</v>
      </c>
      <c r="AG27" s="24">
        <f t="shared" si="29"/>
        <v>7.6963545481700965E-2</v>
      </c>
      <c r="AH27" s="24">
        <f t="shared" si="30"/>
        <v>8.0814623117997267E-2</v>
      </c>
      <c r="AL27" s="23">
        <f t="shared" si="0"/>
        <v>-11673.529268380678</v>
      </c>
      <c r="AM27" s="23">
        <f t="shared" si="1"/>
        <v>-8187.470831462253</v>
      </c>
      <c r="AN27" s="23">
        <f t="shared" si="2"/>
        <v>-5747.7903033266011</v>
      </c>
      <c r="AO27" s="23">
        <f t="shared" si="3"/>
        <v>-4011.0472086855607</v>
      </c>
      <c r="AP27" s="23">
        <f t="shared" si="4"/>
        <v>-2434.41330269726</v>
      </c>
      <c r="AQ27" s="23">
        <f t="shared" si="5"/>
        <v>-873.00069670958112</v>
      </c>
      <c r="AR27" s="23">
        <f t="shared" si="6"/>
        <v>663.1172377717985</v>
      </c>
      <c r="AS27" s="23">
        <f t="shared" si="7"/>
        <v>2122.125804961735</v>
      </c>
      <c r="AT27" s="23">
        <f t="shared" si="8"/>
        <v>3456.4294996373428</v>
      </c>
      <c r="AU27" s="23">
        <f t="shared" si="9"/>
        <v>4636.9840308510493</v>
      </c>
      <c r="AW27" s="25">
        <f t="shared" si="31"/>
        <v>-22048.595038040006</v>
      </c>
      <c r="AX27" s="25">
        <f t="shared" si="32"/>
        <v>-10375.065769659326</v>
      </c>
      <c r="AY27" s="25">
        <f t="shared" si="33"/>
        <v>-2187.5949381970759</v>
      </c>
      <c r="AZ27" s="25">
        <f t="shared" si="34"/>
        <v>3560.1953651295235</v>
      </c>
      <c r="BA27" s="25">
        <f t="shared" si="35"/>
        <v>7571.2425738150851</v>
      </c>
      <c r="BB27" s="25">
        <f t="shared" si="36"/>
        <v>10005.655876512345</v>
      </c>
      <c r="BC27" s="25">
        <f t="shared" si="37"/>
        <v>10878.656573221924</v>
      </c>
      <c r="BD27" s="25">
        <f t="shared" si="38"/>
        <v>10215.539335450128</v>
      </c>
      <c r="BE27" s="25">
        <f t="shared" si="39"/>
        <v>8093.4135304883921</v>
      </c>
      <c r="BF27" s="25">
        <f t="shared" si="40"/>
        <v>4636.9840308510493</v>
      </c>
      <c r="BG27" s="25">
        <f t="shared" si="41"/>
        <v>0</v>
      </c>
      <c r="BI27" s="25">
        <f t="shared" si="42"/>
        <v>0</v>
      </c>
      <c r="BJ27" s="25">
        <f t="shared" si="43"/>
        <v>0</v>
      </c>
      <c r="BK27" s="25">
        <f t="shared" si="44"/>
        <v>0</v>
      </c>
      <c r="BL27" s="25">
        <f t="shared" si="45"/>
        <v>3560.1953651295235</v>
      </c>
      <c r="BM27" s="25">
        <f t="shared" si="46"/>
        <v>7571.2425738150851</v>
      </c>
      <c r="BN27" s="25">
        <f t="shared" si="47"/>
        <v>10005.655876512345</v>
      </c>
      <c r="BO27" s="25">
        <f t="shared" si="48"/>
        <v>10878.656573221924</v>
      </c>
      <c r="BP27" s="25">
        <f t="shared" si="49"/>
        <v>10215.539335450128</v>
      </c>
      <c r="BQ27" s="25">
        <f t="shared" si="50"/>
        <v>8093.4135304883921</v>
      </c>
      <c r="BR27" s="25">
        <f t="shared" si="51"/>
        <v>4636.9840308510493</v>
      </c>
      <c r="BS27" s="25">
        <f t="shared" si="52"/>
        <v>0</v>
      </c>
    </row>
    <row r="28" spans="1:71" x14ac:dyDescent="0.2">
      <c r="A28" s="29">
        <f t="shared" si="53"/>
        <v>0.20000000000000004</v>
      </c>
      <c r="B28" s="30">
        <v>3.8628824007631367E-2</v>
      </c>
      <c r="C28" s="30">
        <v>4.3974325729680304E-2</v>
      </c>
      <c r="D28" s="30">
        <v>5.0949601797910173E-2</v>
      </c>
      <c r="E28" s="30">
        <v>5.5532216581875495E-2</v>
      </c>
      <c r="F28" s="30">
        <v>5.8877695195520774E-2</v>
      </c>
      <c r="G28" s="30">
        <v>6.2099606776497764E-2</v>
      </c>
      <c r="H28" s="30">
        <v>6.5523772619537568E-2</v>
      </c>
      <c r="I28" s="30">
        <v>6.916727627055054E-2</v>
      </c>
      <c r="J28" s="30">
        <v>7.29531797474407E-2</v>
      </c>
      <c r="K28" s="30">
        <v>7.6798962119342354E-2</v>
      </c>
      <c r="L28" s="30">
        <v>8.0647307981587396E-2</v>
      </c>
      <c r="N28" s="52">
        <f t="shared" si="11"/>
        <v>0.98087091616553623</v>
      </c>
      <c r="O28" s="55">
        <f t="shared" si="12"/>
        <v>0.97825279293392964</v>
      </c>
      <c r="P28" s="54">
        <f t="shared" si="13"/>
        <v>0.95032656407577021</v>
      </c>
      <c r="Q28" s="54">
        <f t="shared" si="14"/>
        <v>0.92007662453169581</v>
      </c>
      <c r="R28" s="56">
        <f t="shared" si="15"/>
        <v>0.88891346279775629</v>
      </c>
      <c r="S28" s="59">
        <f t="shared" si="16"/>
        <v>0.85620194214638889</v>
      </c>
      <c r="T28" s="1">
        <f t="shared" si="17"/>
        <v>0.82154273853705218</v>
      </c>
      <c r="U28" s="1">
        <f t="shared" si="18"/>
        <v>0.78498908406434664</v>
      </c>
      <c r="V28" s="66">
        <f t="shared" si="19"/>
        <v>0.74690840463615105</v>
      </c>
      <c r="W28" s="63">
        <f t="shared" si="20"/>
        <v>0.70779885445050361</v>
      </c>
      <c r="Y28" s="24">
        <f t="shared" si="21"/>
        <v>4.3974325729680304E-2</v>
      </c>
      <c r="Z28" s="24">
        <f t="shared" si="22"/>
        <v>5.0949601797910173E-2</v>
      </c>
      <c r="AA28" s="24">
        <f t="shared" si="23"/>
        <v>5.5532216581875495E-2</v>
      </c>
      <c r="AB28" s="24">
        <f t="shared" si="24"/>
        <v>5.8877695195520774E-2</v>
      </c>
      <c r="AC28" s="24">
        <f t="shared" si="25"/>
        <v>6.2099606776497764E-2</v>
      </c>
      <c r="AD28" s="24">
        <f t="shared" si="26"/>
        <v>6.5523772619537568E-2</v>
      </c>
      <c r="AE28" s="24">
        <f t="shared" si="27"/>
        <v>6.916727627055054E-2</v>
      </c>
      <c r="AF28" s="24">
        <f t="shared" si="28"/>
        <v>7.29531797474407E-2</v>
      </c>
      <c r="AG28" s="24">
        <f t="shared" si="29"/>
        <v>7.6798962119342354E-2</v>
      </c>
      <c r="AH28" s="24">
        <f t="shared" si="30"/>
        <v>8.0647307981587396E-2</v>
      </c>
      <c r="AL28" s="23">
        <f t="shared" si="0"/>
        <v>-11637.073288663149</v>
      </c>
      <c r="AM28" s="23">
        <f t="shared" si="1"/>
        <v>-8194.2201716709278</v>
      </c>
      <c r="AN28" s="23">
        <f t="shared" si="2"/>
        <v>-5782.8090988837466</v>
      </c>
      <c r="AO28" s="23">
        <f t="shared" si="3"/>
        <v>-4059.6875911612206</v>
      </c>
      <c r="AP28" s="23">
        <f t="shared" si="4"/>
        <v>-2490.1849478292092</v>
      </c>
      <c r="AQ28" s="23">
        <f t="shared" si="5"/>
        <v>-932.65880529404569</v>
      </c>
      <c r="AR28" s="23">
        <f t="shared" si="6"/>
        <v>601.74236910155651</v>
      </c>
      <c r="AS28" s="23">
        <f t="shared" si="7"/>
        <v>2060.9149453770879</v>
      </c>
      <c r="AT28" s="23">
        <f t="shared" si="8"/>
        <v>3397.161294245057</v>
      </c>
      <c r="AU28" s="23">
        <f t="shared" si="9"/>
        <v>4581.206838879194</v>
      </c>
      <c r="AW28" s="25">
        <f t="shared" si="31"/>
        <v>-22455.608455899404</v>
      </c>
      <c r="AX28" s="25">
        <f t="shared" si="32"/>
        <v>-10818.535167236256</v>
      </c>
      <c r="AY28" s="25">
        <f t="shared" si="33"/>
        <v>-2624.314995565328</v>
      </c>
      <c r="AZ28" s="25">
        <f t="shared" si="34"/>
        <v>3158.4941033184191</v>
      </c>
      <c r="BA28" s="25">
        <f t="shared" si="35"/>
        <v>7218.181694479641</v>
      </c>
      <c r="BB28" s="25">
        <f t="shared" si="36"/>
        <v>9708.3666423088507</v>
      </c>
      <c r="BC28" s="25">
        <f t="shared" si="37"/>
        <v>10641.025447602895</v>
      </c>
      <c r="BD28" s="25">
        <f t="shared" si="38"/>
        <v>10039.283078501339</v>
      </c>
      <c r="BE28" s="25">
        <f t="shared" si="39"/>
        <v>7978.3681331242515</v>
      </c>
      <c r="BF28" s="25">
        <f t="shared" si="40"/>
        <v>4581.206838879194</v>
      </c>
      <c r="BG28" s="25">
        <f t="shared" si="41"/>
        <v>0</v>
      </c>
      <c r="BI28" s="25">
        <f t="shared" ref="BI28:BI58" si="54">MAX(AW28,0)</f>
        <v>0</v>
      </c>
      <c r="BJ28" s="25">
        <f t="shared" ref="BJ28:BJ91" si="55">MAX(AX28,0)</f>
        <v>0</v>
      </c>
      <c r="BK28" s="25">
        <f t="shared" ref="BK28:BK91" si="56">MAX(AY28,0)</f>
        <v>0</v>
      </c>
      <c r="BL28" s="25">
        <f t="shared" ref="BL28:BL91" si="57">MAX(AZ28,0)</f>
        <v>3158.4941033184191</v>
      </c>
      <c r="BM28" s="25">
        <f t="shared" ref="BM28:BM91" si="58">MAX(BA28,0)</f>
        <v>7218.181694479641</v>
      </c>
      <c r="BN28" s="25">
        <f t="shared" ref="BN28:BN91" si="59">MAX(BB28,0)</f>
        <v>9708.3666423088507</v>
      </c>
      <c r="BO28" s="25">
        <f t="shared" ref="BO28:BO91" si="60">MAX(BC28,0)</f>
        <v>10641.025447602895</v>
      </c>
      <c r="BP28" s="25">
        <f t="shared" ref="BP28:BP91" si="61">MAX(BD28,0)</f>
        <v>10039.283078501339</v>
      </c>
      <c r="BQ28" s="25">
        <f t="shared" ref="BQ28:BQ91" si="62">MAX(BE28,0)</f>
        <v>7978.3681331242515</v>
      </c>
      <c r="BR28" s="25">
        <f t="shared" ref="BR28:BR91" si="63">MAX(BF28,0)</f>
        <v>4581.206838879194</v>
      </c>
      <c r="BS28" s="25">
        <f t="shared" ref="BS28:BS91" si="64">MAX(BG28,0)</f>
        <v>0</v>
      </c>
    </row>
    <row r="29" spans="1:71" x14ac:dyDescent="0.2">
      <c r="A29" s="29">
        <f t="shared" si="53"/>
        <v>0.21000000000000005</v>
      </c>
      <c r="B29" s="30">
        <v>3.9517258778385612E-2</v>
      </c>
      <c r="C29" s="30">
        <v>4.4963374041099201E-2</v>
      </c>
      <c r="D29" s="30">
        <v>5.1948153406926149E-2</v>
      </c>
      <c r="E29" s="30">
        <v>5.6553204413423673E-2</v>
      </c>
      <c r="F29" s="30">
        <v>5.9933694180062683E-2</v>
      </c>
      <c r="G29" s="30">
        <v>6.3187915686499813E-2</v>
      </c>
      <c r="H29" s="30">
        <v>6.6635992396818097E-2</v>
      </c>
      <c r="I29" s="30">
        <v>7.029360287983058E-2</v>
      </c>
      <c r="J29" s="30">
        <v>7.4084171834982324E-2</v>
      </c>
      <c r="K29" s="30">
        <v>7.7926155983904774E-2</v>
      </c>
      <c r="L29" s="30">
        <v>8.1763091330627938E-2</v>
      </c>
      <c r="N29" s="52">
        <f t="shared" si="11"/>
        <v>0.98043529301461663</v>
      </c>
      <c r="O29" s="55">
        <f t="shared" si="12"/>
        <v>0.97776914289560357</v>
      </c>
      <c r="P29" s="54">
        <f t="shared" si="13"/>
        <v>0.94937808758629494</v>
      </c>
      <c r="Q29" s="54">
        <f t="shared" si="14"/>
        <v>0.91866862241505676</v>
      </c>
      <c r="R29" s="56">
        <f t="shared" si="15"/>
        <v>0.88703806048967726</v>
      </c>
      <c r="S29" s="59">
        <f t="shared" si="16"/>
        <v>0.85387557782925483</v>
      </c>
      <c r="T29" s="1">
        <f t="shared" si="17"/>
        <v>0.81880609844883478</v>
      </c>
      <c r="U29" s="1">
        <f t="shared" si="18"/>
        <v>0.78190063628879025</v>
      </c>
      <c r="V29" s="66">
        <f t="shared" si="19"/>
        <v>0.74353704636209905</v>
      </c>
      <c r="W29" s="63">
        <f t="shared" si="20"/>
        <v>0.70421772517200387</v>
      </c>
      <c r="Y29" s="24">
        <f t="shared" si="21"/>
        <v>4.4963374041099201E-2</v>
      </c>
      <c r="Z29" s="24">
        <f t="shared" si="22"/>
        <v>5.1948153406926149E-2</v>
      </c>
      <c r="AA29" s="24">
        <f t="shared" si="23"/>
        <v>5.6553204413423673E-2</v>
      </c>
      <c r="AB29" s="24">
        <f t="shared" si="24"/>
        <v>5.9933694180062683E-2</v>
      </c>
      <c r="AC29" s="24">
        <f t="shared" si="25"/>
        <v>6.3187915686499813E-2</v>
      </c>
      <c r="AD29" s="24">
        <f t="shared" si="26"/>
        <v>6.6635992396818097E-2</v>
      </c>
      <c r="AE29" s="24">
        <f t="shared" si="27"/>
        <v>7.029360287983058E-2</v>
      </c>
      <c r="AF29" s="24">
        <f t="shared" si="28"/>
        <v>7.4084171834982324E-2</v>
      </c>
      <c r="AG29" s="24">
        <f t="shared" si="29"/>
        <v>7.7926155983904774E-2</v>
      </c>
      <c r="AH29" s="24">
        <f t="shared" si="30"/>
        <v>8.1763091330627938E-2</v>
      </c>
      <c r="AL29" s="23">
        <f t="shared" si="0"/>
        <v>-11147.056110884138</v>
      </c>
      <c r="AM29" s="23">
        <f t="shared" si="1"/>
        <v>-7701.9924582166368</v>
      </c>
      <c r="AN29" s="23">
        <f t="shared" si="2"/>
        <v>-5292.3858101468459</v>
      </c>
      <c r="AO29" s="23">
        <f t="shared" si="3"/>
        <v>-3568.4184459550625</v>
      </c>
      <c r="AP29" s="23">
        <f t="shared" si="4"/>
        <v>-2002.2455197771146</v>
      </c>
      <c r="AQ29" s="23">
        <f t="shared" si="5"/>
        <v>-455.27604949753663</v>
      </c>
      <c r="AR29" s="23">
        <f t="shared" si="6"/>
        <v>1060.8594540374975</v>
      </c>
      <c r="AS29" s="23">
        <f t="shared" si="7"/>
        <v>2494.9682329161406</v>
      </c>
      <c r="AT29" s="23">
        <f t="shared" si="8"/>
        <v>3800.8825537161115</v>
      </c>
      <c r="AU29" s="23">
        <f t="shared" si="9"/>
        <v>4950.9052930447269</v>
      </c>
      <c r="AW29" s="25">
        <f t="shared" si="31"/>
        <v>-17859.758860762864</v>
      </c>
      <c r="AX29" s="25">
        <f t="shared" si="32"/>
        <v>-6712.7027498787211</v>
      </c>
      <c r="AY29" s="25">
        <f t="shared" si="33"/>
        <v>989.28970833791709</v>
      </c>
      <c r="AZ29" s="25">
        <f t="shared" si="34"/>
        <v>6281.6755184847625</v>
      </c>
      <c r="BA29" s="25">
        <f t="shared" si="35"/>
        <v>9850.093964439824</v>
      </c>
      <c r="BB29" s="25">
        <f t="shared" si="36"/>
        <v>11852.33948421694</v>
      </c>
      <c r="BC29" s="25">
        <f t="shared" si="37"/>
        <v>12307.615533714477</v>
      </c>
      <c r="BD29" s="25">
        <f t="shared" si="38"/>
        <v>11246.756079676979</v>
      </c>
      <c r="BE29" s="25">
        <f t="shared" si="39"/>
        <v>8751.7878467608389</v>
      </c>
      <c r="BF29" s="25">
        <f t="shared" si="40"/>
        <v>4950.9052930447269</v>
      </c>
      <c r="BG29" s="25">
        <f t="shared" si="41"/>
        <v>0</v>
      </c>
      <c r="BI29" s="25">
        <f t="shared" si="54"/>
        <v>0</v>
      </c>
      <c r="BJ29" s="25">
        <f t="shared" si="55"/>
        <v>0</v>
      </c>
      <c r="BK29" s="25">
        <f t="shared" si="56"/>
        <v>989.28970833791709</v>
      </c>
      <c r="BL29" s="25">
        <f t="shared" si="57"/>
        <v>6281.6755184847625</v>
      </c>
      <c r="BM29" s="25">
        <f t="shared" si="58"/>
        <v>9850.093964439824</v>
      </c>
      <c r="BN29" s="25">
        <f t="shared" si="59"/>
        <v>11852.33948421694</v>
      </c>
      <c r="BO29" s="25">
        <f t="shared" si="60"/>
        <v>12307.615533714477</v>
      </c>
      <c r="BP29" s="25">
        <f t="shared" si="61"/>
        <v>11246.756079676979</v>
      </c>
      <c r="BQ29" s="25">
        <f t="shared" si="62"/>
        <v>8751.7878467608389</v>
      </c>
      <c r="BR29" s="25">
        <f t="shared" si="63"/>
        <v>4950.9052930447269</v>
      </c>
      <c r="BS29" s="25">
        <f t="shared" si="64"/>
        <v>0</v>
      </c>
    </row>
    <row r="30" spans="1:71" x14ac:dyDescent="0.2">
      <c r="A30" s="29">
        <f t="shared" si="53"/>
        <v>0.22000000000000006</v>
      </c>
      <c r="B30" s="30">
        <v>3.9980290141440361E-2</v>
      </c>
      <c r="C30" s="30">
        <v>4.5383754386902564E-2</v>
      </c>
      <c r="D30" s="30">
        <v>5.2249379765715677E-2</v>
      </c>
      <c r="E30" s="30">
        <v>5.6760277415651865E-2</v>
      </c>
      <c r="F30" s="30">
        <v>6.007050655389979E-2</v>
      </c>
      <c r="G30" s="30">
        <v>6.3262824024129707E-2</v>
      </c>
      <c r="H30" s="30">
        <v>6.6651289772309372E-2</v>
      </c>
      <c r="I30" s="30">
        <v>7.0249761198789049E-2</v>
      </c>
      <c r="J30" s="30">
        <v>7.3981586439435768E-2</v>
      </c>
      <c r="K30" s="30">
        <v>7.7765745798963892E-2</v>
      </c>
      <c r="L30" s="30">
        <v>8.1546172627179267E-2</v>
      </c>
      <c r="N30" s="52">
        <f t="shared" si="11"/>
        <v>0.9802083331429593</v>
      </c>
      <c r="O30" s="55">
        <f t="shared" si="12"/>
        <v>0.97756364702776299</v>
      </c>
      <c r="P30" s="54">
        <f t="shared" si="13"/>
        <v>0.94909215294954363</v>
      </c>
      <c r="Q30" s="54">
        <f t="shared" si="14"/>
        <v>0.91838331952170116</v>
      </c>
      <c r="R30" s="56">
        <f t="shared" si="15"/>
        <v>0.88679537812766251</v>
      </c>
      <c r="S30" s="59">
        <f t="shared" si="16"/>
        <v>0.85371568680099108</v>
      </c>
      <c r="T30" s="1">
        <f t="shared" si="17"/>
        <v>0.81876852255803256</v>
      </c>
      <c r="U30" s="1">
        <f t="shared" si="18"/>
        <v>0.78202062492849456</v>
      </c>
      <c r="V30" s="66">
        <f t="shared" si="19"/>
        <v>0.74384221313714405</v>
      </c>
      <c r="W30" s="63">
        <f t="shared" si="20"/>
        <v>0.70472624531639716</v>
      </c>
      <c r="Y30" s="24">
        <f t="shared" si="21"/>
        <v>4.5383754386902564E-2</v>
      </c>
      <c r="Z30" s="24">
        <f t="shared" si="22"/>
        <v>5.2249379765715677E-2</v>
      </c>
      <c r="AA30" s="24">
        <f t="shared" si="23"/>
        <v>5.6760277415651865E-2</v>
      </c>
      <c r="AB30" s="24">
        <f t="shared" si="24"/>
        <v>6.007050655389979E-2</v>
      </c>
      <c r="AC30" s="24">
        <f t="shared" si="25"/>
        <v>6.3262824024129707E-2</v>
      </c>
      <c r="AD30" s="24">
        <f t="shared" si="26"/>
        <v>6.6651289772309372E-2</v>
      </c>
      <c r="AE30" s="24">
        <f t="shared" si="27"/>
        <v>7.0249761198789049E-2</v>
      </c>
      <c r="AF30" s="24">
        <f t="shared" si="28"/>
        <v>7.3981586439435768E-2</v>
      </c>
      <c r="AG30" s="24">
        <f t="shared" si="29"/>
        <v>7.7765745798963892E-2</v>
      </c>
      <c r="AH30" s="24">
        <f t="shared" si="30"/>
        <v>8.1546172627179267E-2</v>
      </c>
      <c r="AL30" s="23">
        <f t="shared" si="0"/>
        <v>-10938.44553228394</v>
      </c>
      <c r="AM30" s="23">
        <f t="shared" si="1"/>
        <v>-7553.1397762753077</v>
      </c>
      <c r="AN30" s="23">
        <f t="shared" si="2"/>
        <v>-5192.5261633730497</v>
      </c>
      <c r="AO30" s="23">
        <f t="shared" si="3"/>
        <v>-3504.4871323753505</v>
      </c>
      <c r="AP30" s="23">
        <f t="shared" si="4"/>
        <v>-1968.4835470030032</v>
      </c>
      <c r="AQ30" s="23">
        <f t="shared" si="5"/>
        <v>-448.66099283841845</v>
      </c>
      <c r="AR30" s="23">
        <f t="shared" si="6"/>
        <v>1042.8626758519586</v>
      </c>
      <c r="AS30" s="23">
        <f t="shared" si="7"/>
        <v>2455.2391573286936</v>
      </c>
      <c r="AT30" s="23">
        <f t="shared" si="8"/>
        <v>3742.7826004293083</v>
      </c>
      <c r="AU30" s="23">
        <f t="shared" si="9"/>
        <v>4878.0462218594066</v>
      </c>
      <c r="AW30" s="25">
        <f t="shared" si="31"/>
        <v>-17486.812488679698</v>
      </c>
      <c r="AX30" s="25">
        <f t="shared" si="32"/>
        <v>-6548.3669563957601</v>
      </c>
      <c r="AY30" s="25">
        <f t="shared" si="33"/>
        <v>1004.7728198795448</v>
      </c>
      <c r="AZ30" s="25">
        <f t="shared" si="34"/>
        <v>6197.2989832525946</v>
      </c>
      <c r="BA30" s="25">
        <f t="shared" si="35"/>
        <v>9701.7861156279469</v>
      </c>
      <c r="BB30" s="25">
        <f t="shared" si="36"/>
        <v>11670.269662630948</v>
      </c>
      <c r="BC30" s="25">
        <f t="shared" si="37"/>
        <v>12118.930655469369</v>
      </c>
      <c r="BD30" s="25">
        <f t="shared" si="38"/>
        <v>11076.067979617408</v>
      </c>
      <c r="BE30" s="25">
        <f t="shared" si="39"/>
        <v>8620.8288222887149</v>
      </c>
      <c r="BF30" s="25">
        <f t="shared" si="40"/>
        <v>4878.0462218594066</v>
      </c>
      <c r="BG30" s="25">
        <f t="shared" si="41"/>
        <v>0</v>
      </c>
      <c r="BI30" s="25">
        <f t="shared" si="54"/>
        <v>0</v>
      </c>
      <c r="BJ30" s="25">
        <f t="shared" si="55"/>
        <v>0</v>
      </c>
      <c r="BK30" s="25">
        <f t="shared" si="56"/>
        <v>1004.7728198795448</v>
      </c>
      <c r="BL30" s="25">
        <f t="shared" si="57"/>
        <v>6197.2989832525946</v>
      </c>
      <c r="BM30" s="25">
        <f t="shared" si="58"/>
        <v>9701.7861156279469</v>
      </c>
      <c r="BN30" s="25">
        <f t="shared" si="59"/>
        <v>11670.269662630948</v>
      </c>
      <c r="BO30" s="25">
        <f t="shared" si="60"/>
        <v>12118.930655469369</v>
      </c>
      <c r="BP30" s="25">
        <f t="shared" si="61"/>
        <v>11076.067979617408</v>
      </c>
      <c r="BQ30" s="25">
        <f t="shared" si="62"/>
        <v>8620.8288222887149</v>
      </c>
      <c r="BR30" s="25">
        <f t="shared" si="63"/>
        <v>4878.0462218594066</v>
      </c>
      <c r="BS30" s="25">
        <f t="shared" si="64"/>
        <v>0</v>
      </c>
    </row>
    <row r="31" spans="1:71" x14ac:dyDescent="0.2">
      <c r="A31" s="29">
        <f t="shared" si="53"/>
        <v>0.23000000000000007</v>
      </c>
      <c r="B31" s="30">
        <v>4.0794524554424318E-2</v>
      </c>
      <c r="C31" s="30">
        <v>4.6046709260017638E-2</v>
      </c>
      <c r="D31" s="30">
        <v>5.2699919243474586E-2</v>
      </c>
      <c r="E31" s="30">
        <v>5.7036160777969365E-2</v>
      </c>
      <c r="F31" s="30">
        <v>6.0207540378971372E-2</v>
      </c>
      <c r="G31" s="30">
        <v>6.3280911971758974E-2</v>
      </c>
      <c r="H31" s="30">
        <v>6.6563800596414716E-2</v>
      </c>
      <c r="I31" s="30">
        <v>7.0067721142160852E-2</v>
      </c>
      <c r="J31" s="30">
        <v>7.371540094945668E-2</v>
      </c>
      <c r="K31" s="30">
        <v>7.7425785146590362E-2</v>
      </c>
      <c r="L31" s="30">
        <v>8.1142645683637826E-2</v>
      </c>
      <c r="N31" s="52">
        <f t="shared" si="11"/>
        <v>0.97980935468559827</v>
      </c>
      <c r="O31" s="55">
        <f t="shared" si="12"/>
        <v>0.97723966043606336</v>
      </c>
      <c r="P31" s="54">
        <f t="shared" si="13"/>
        <v>0.94866464577826892</v>
      </c>
      <c r="Q31" s="54">
        <f t="shared" si="14"/>
        <v>0.9180033481308334</v>
      </c>
      <c r="R31" s="56">
        <f t="shared" si="15"/>
        <v>0.88655236950414351</v>
      </c>
      <c r="S31" s="59">
        <f t="shared" si="16"/>
        <v>0.85367708276224963</v>
      </c>
      <c r="T31" s="1">
        <f t="shared" si="17"/>
        <v>0.8189834509125169</v>
      </c>
      <c r="U31" s="1">
        <f t="shared" si="18"/>
        <v>0.78251904046788379</v>
      </c>
      <c r="V31" s="66">
        <f t="shared" si="19"/>
        <v>0.74463463494053772</v>
      </c>
      <c r="W31" s="63">
        <f t="shared" si="20"/>
        <v>0.70580517676647381</v>
      </c>
      <c r="Y31" s="24">
        <f t="shared" si="21"/>
        <v>4.6046709260017638E-2</v>
      </c>
      <c r="Z31" s="24">
        <f t="shared" si="22"/>
        <v>5.2699919243474586E-2</v>
      </c>
      <c r="AA31" s="24">
        <f t="shared" si="23"/>
        <v>5.7036160777969365E-2</v>
      </c>
      <c r="AB31" s="24">
        <f t="shared" si="24"/>
        <v>6.0207540378971372E-2</v>
      </c>
      <c r="AC31" s="24">
        <f t="shared" si="25"/>
        <v>6.3280911971758974E-2</v>
      </c>
      <c r="AD31" s="24">
        <f t="shared" si="26"/>
        <v>6.6563800596414716E-2</v>
      </c>
      <c r="AE31" s="24">
        <f t="shared" si="27"/>
        <v>7.0067721142160852E-2</v>
      </c>
      <c r="AF31" s="24">
        <f t="shared" si="28"/>
        <v>7.371540094945668E-2</v>
      </c>
      <c r="AG31" s="24">
        <f t="shared" si="29"/>
        <v>7.7425785146590362E-2</v>
      </c>
      <c r="AH31" s="24">
        <f t="shared" si="30"/>
        <v>8.1142645683637826E-2</v>
      </c>
      <c r="AL31" s="23">
        <f t="shared" si="0"/>
        <v>-10609.208516059347</v>
      </c>
      <c r="AM31" s="23">
        <f t="shared" si="1"/>
        <v>-7330.4939726486509</v>
      </c>
      <c r="AN31" s="23">
        <f t="shared" si="2"/>
        <v>-5059.3268561780851</v>
      </c>
      <c r="AO31" s="23">
        <f t="shared" si="3"/>
        <v>-3440.138432756356</v>
      </c>
      <c r="AP31" s="23">
        <f t="shared" si="4"/>
        <v>-1959.9261668505085</v>
      </c>
      <c r="AQ31" s="23">
        <f t="shared" si="5"/>
        <v>-485.98445713128797</v>
      </c>
      <c r="AR31" s="23">
        <f t="shared" si="6"/>
        <v>968.59253247350011</v>
      </c>
      <c r="AS31" s="23">
        <f t="shared" si="7"/>
        <v>2352.6563802446822</v>
      </c>
      <c r="AT31" s="23">
        <f t="shared" si="8"/>
        <v>3620.1965822772004</v>
      </c>
      <c r="AU31" s="23">
        <f t="shared" si="9"/>
        <v>4743.1087770924942</v>
      </c>
      <c r="AW31" s="25">
        <f t="shared" si="31"/>
        <v>-17200.524129536363</v>
      </c>
      <c r="AX31" s="25">
        <f t="shared" si="32"/>
        <v>-6591.3156134770152</v>
      </c>
      <c r="AY31" s="25">
        <f t="shared" si="33"/>
        <v>739.17835917163893</v>
      </c>
      <c r="AZ31" s="25">
        <f t="shared" si="34"/>
        <v>5798.5052153497245</v>
      </c>
      <c r="BA31" s="25">
        <f t="shared" si="35"/>
        <v>9238.6436481060809</v>
      </c>
      <c r="BB31" s="25">
        <f t="shared" si="36"/>
        <v>11198.569814956589</v>
      </c>
      <c r="BC31" s="25">
        <f t="shared" si="37"/>
        <v>11684.554272087877</v>
      </c>
      <c r="BD31" s="25">
        <f t="shared" si="38"/>
        <v>10715.961739614377</v>
      </c>
      <c r="BE31" s="25">
        <f t="shared" si="39"/>
        <v>8363.305359369695</v>
      </c>
      <c r="BF31" s="25">
        <f t="shared" si="40"/>
        <v>4743.1087770924942</v>
      </c>
      <c r="BG31" s="25">
        <f t="shared" si="41"/>
        <v>0</v>
      </c>
      <c r="BI31" s="25">
        <f t="shared" si="54"/>
        <v>0</v>
      </c>
      <c r="BJ31" s="25">
        <f t="shared" si="55"/>
        <v>0</v>
      </c>
      <c r="BK31" s="25">
        <f t="shared" si="56"/>
        <v>739.17835917163893</v>
      </c>
      <c r="BL31" s="25">
        <f t="shared" si="57"/>
        <v>5798.5052153497245</v>
      </c>
      <c r="BM31" s="25">
        <f t="shared" si="58"/>
        <v>9238.6436481060809</v>
      </c>
      <c r="BN31" s="25">
        <f t="shared" si="59"/>
        <v>11198.569814956589</v>
      </c>
      <c r="BO31" s="25">
        <f t="shared" si="60"/>
        <v>11684.554272087877</v>
      </c>
      <c r="BP31" s="25">
        <f t="shared" si="61"/>
        <v>10715.961739614377</v>
      </c>
      <c r="BQ31" s="25">
        <f t="shared" si="62"/>
        <v>8363.305359369695</v>
      </c>
      <c r="BR31" s="25">
        <f t="shared" si="63"/>
        <v>4743.1087770924942</v>
      </c>
      <c r="BS31" s="25">
        <f t="shared" si="64"/>
        <v>0</v>
      </c>
    </row>
    <row r="32" spans="1:71" x14ac:dyDescent="0.2">
      <c r="A32" s="29">
        <f t="shared" si="53"/>
        <v>0.24000000000000007</v>
      </c>
      <c r="B32" s="30">
        <v>4.3090848921423119E-2</v>
      </c>
      <c r="C32" s="30">
        <v>4.8308684887847633E-2</v>
      </c>
      <c r="D32" s="30">
        <v>5.4854913808811134E-2</v>
      </c>
      <c r="E32" s="30">
        <v>5.9108964830774338E-2</v>
      </c>
      <c r="F32" s="30">
        <v>6.2221257457780774E-2</v>
      </c>
      <c r="G32" s="30">
        <v>6.5243474751593894E-2</v>
      </c>
      <c r="H32" s="30">
        <v>6.8477235388933105E-2</v>
      </c>
      <c r="I32" s="30">
        <v>7.1932290876833879E-2</v>
      </c>
      <c r="J32" s="30">
        <v>7.5531304167354291E-2</v>
      </c>
      <c r="K32" s="30">
        <v>7.9193727382517093E-2</v>
      </c>
      <c r="L32" s="30">
        <v>8.2863713264376179E-2</v>
      </c>
      <c r="N32" s="52">
        <f t="shared" si="11"/>
        <v>0.978685020220182</v>
      </c>
      <c r="O32" s="55">
        <f t="shared" si="12"/>
        <v>0.97613503906323806</v>
      </c>
      <c r="P32" s="54">
        <f t="shared" si="13"/>
        <v>0.94662247984085657</v>
      </c>
      <c r="Q32" s="54">
        <f t="shared" si="14"/>
        <v>0.91515351918864096</v>
      </c>
      <c r="R32" s="56">
        <f t="shared" si="15"/>
        <v>0.88298901860577483</v>
      </c>
      <c r="S32" s="59">
        <f t="shared" si="16"/>
        <v>0.84949885401776815</v>
      </c>
      <c r="T32" s="1">
        <f t="shared" si="17"/>
        <v>0.81429570404322793</v>
      </c>
      <c r="U32" s="1">
        <f t="shared" si="18"/>
        <v>0.77742895285482227</v>
      </c>
      <c r="V32" s="66">
        <f t="shared" si="19"/>
        <v>0.73924549323535116</v>
      </c>
      <c r="W32" s="63">
        <f t="shared" si="20"/>
        <v>0.70021225167480439</v>
      </c>
      <c r="Y32" s="24">
        <f t="shared" si="21"/>
        <v>4.8308684887847633E-2</v>
      </c>
      <c r="Z32" s="24">
        <f t="shared" si="22"/>
        <v>5.4854913808811134E-2</v>
      </c>
      <c r="AA32" s="24">
        <f t="shared" si="23"/>
        <v>5.9108964830774345E-2</v>
      </c>
      <c r="AB32" s="24">
        <f t="shared" si="24"/>
        <v>6.2221257457780774E-2</v>
      </c>
      <c r="AC32" s="24">
        <f t="shared" si="25"/>
        <v>6.5243474751593894E-2</v>
      </c>
      <c r="AD32" s="24">
        <f t="shared" si="26"/>
        <v>6.8477235388933105E-2</v>
      </c>
      <c r="AE32" s="24">
        <f t="shared" si="27"/>
        <v>7.1932290876833879E-2</v>
      </c>
      <c r="AF32" s="24">
        <f t="shared" si="28"/>
        <v>7.5531304167354291E-2</v>
      </c>
      <c r="AG32" s="24">
        <f t="shared" si="29"/>
        <v>7.9193727382517093E-2</v>
      </c>
      <c r="AH32" s="24">
        <f t="shared" si="30"/>
        <v>8.2863713264376179E-2</v>
      </c>
      <c r="AL32" s="23">
        <f t="shared" si="0"/>
        <v>-9490.1535827731987</v>
      </c>
      <c r="AM32" s="23">
        <f t="shared" si="1"/>
        <v>-6270.4251077606623</v>
      </c>
      <c r="AN32" s="23">
        <f t="shared" si="2"/>
        <v>-4067.3543172802529</v>
      </c>
      <c r="AO32" s="23">
        <f t="shared" si="3"/>
        <v>-2508.028808734995</v>
      </c>
      <c r="AP32" s="23">
        <f t="shared" si="4"/>
        <v>-1085.5878757054568</v>
      </c>
      <c r="AQ32" s="23">
        <f t="shared" si="5"/>
        <v>329.12447217218698</v>
      </c>
      <c r="AR32" s="23">
        <f t="shared" si="6"/>
        <v>1722.2040065368706</v>
      </c>
      <c r="AS32" s="23">
        <f t="shared" si="7"/>
        <v>3043.2208166097739</v>
      </c>
      <c r="AT32" s="23">
        <f t="shared" si="8"/>
        <v>4247.4678109972401</v>
      </c>
      <c r="AU32" s="23">
        <f t="shared" si="9"/>
        <v>5308.0798469892015</v>
      </c>
      <c r="AW32" s="25">
        <f t="shared" si="31"/>
        <v>-8771.4527389492887</v>
      </c>
      <c r="AX32" s="25">
        <f t="shared" si="32"/>
        <v>718.70084382390723</v>
      </c>
      <c r="AY32" s="25">
        <f t="shared" si="33"/>
        <v>6989.1259515845686</v>
      </c>
      <c r="AZ32" s="25">
        <f t="shared" si="34"/>
        <v>11056.480268864821</v>
      </c>
      <c r="BA32" s="25">
        <f t="shared" si="35"/>
        <v>13564.509077599816</v>
      </c>
      <c r="BB32" s="25">
        <f t="shared" si="36"/>
        <v>14650.096953305272</v>
      </c>
      <c r="BC32" s="25">
        <f t="shared" si="37"/>
        <v>14320.972481133087</v>
      </c>
      <c r="BD32" s="25">
        <f t="shared" si="38"/>
        <v>12598.768474596216</v>
      </c>
      <c r="BE32" s="25">
        <f t="shared" si="39"/>
        <v>9555.5476579864408</v>
      </c>
      <c r="BF32" s="25">
        <f t="shared" si="40"/>
        <v>5308.0798469892015</v>
      </c>
      <c r="BG32" s="25">
        <f t="shared" si="41"/>
        <v>0</v>
      </c>
      <c r="BI32" s="25">
        <f t="shared" si="54"/>
        <v>0</v>
      </c>
      <c r="BJ32" s="25">
        <f t="shared" si="55"/>
        <v>718.70084382390723</v>
      </c>
      <c r="BK32" s="25">
        <f t="shared" si="56"/>
        <v>6989.1259515845686</v>
      </c>
      <c r="BL32" s="25">
        <f t="shared" si="57"/>
        <v>11056.480268864821</v>
      </c>
      <c r="BM32" s="25">
        <f t="shared" si="58"/>
        <v>13564.509077599816</v>
      </c>
      <c r="BN32" s="25">
        <f t="shared" si="59"/>
        <v>14650.096953305272</v>
      </c>
      <c r="BO32" s="25">
        <f t="shared" si="60"/>
        <v>14320.972481133087</v>
      </c>
      <c r="BP32" s="25">
        <f t="shared" si="61"/>
        <v>12598.768474596216</v>
      </c>
      <c r="BQ32" s="25">
        <f t="shared" si="62"/>
        <v>9555.5476579864408</v>
      </c>
      <c r="BR32" s="25">
        <f t="shared" si="63"/>
        <v>5308.0798469892015</v>
      </c>
      <c r="BS32" s="25">
        <f t="shared" si="64"/>
        <v>0</v>
      </c>
    </row>
    <row r="33" spans="1:71" x14ac:dyDescent="0.2">
      <c r="A33" s="29">
        <f t="shared" si="53"/>
        <v>0.25000000000000006</v>
      </c>
      <c r="B33" s="30">
        <v>4.2856969254811188E-2</v>
      </c>
      <c r="C33" s="30">
        <v>4.7980558596915086E-2</v>
      </c>
      <c r="D33" s="30">
        <v>5.4376354590674338E-2</v>
      </c>
      <c r="E33" s="30">
        <v>5.8518521838689129E-2</v>
      </c>
      <c r="F33" s="30">
        <v>6.1554817937082576E-2</v>
      </c>
      <c r="G33" s="30">
        <v>6.4521235154653467E-2</v>
      </c>
      <c r="H33" s="30">
        <v>6.77128634449288E-2</v>
      </c>
      <c r="I33" s="30">
        <v>7.1137019693180231E-2</v>
      </c>
      <c r="J33" s="30">
        <v>7.4715608671254513E-2</v>
      </c>
      <c r="K33" s="30">
        <v>7.8367881751421092E-2</v>
      </c>
      <c r="L33" s="30">
        <v>8.203766475334083E-2</v>
      </c>
      <c r="N33" s="52">
        <f t="shared" si="11"/>
        <v>0.97879947417528834</v>
      </c>
      <c r="O33" s="55">
        <f t="shared" si="12"/>
        <v>0.97629519998603975</v>
      </c>
      <c r="P33" s="54">
        <f t="shared" si="13"/>
        <v>0.94707560316920503</v>
      </c>
      <c r="Q33" s="54">
        <f t="shared" si="14"/>
        <v>0.91596439719169287</v>
      </c>
      <c r="R33" s="56">
        <f t="shared" si="15"/>
        <v>0.88416672085542491</v>
      </c>
      <c r="S33" s="59">
        <f t="shared" si="16"/>
        <v>0.85103409388927098</v>
      </c>
      <c r="T33" s="1">
        <f t="shared" si="17"/>
        <v>0.81616512098973248</v>
      </c>
      <c r="U33" s="1">
        <f t="shared" si="18"/>
        <v>0.77959590120343425</v>
      </c>
      <c r="V33" s="66">
        <f t="shared" si="19"/>
        <v>0.74166142930578416</v>
      </c>
      <c r="W33" s="63">
        <f t="shared" si="20"/>
        <v>0.70281929548974142</v>
      </c>
      <c r="Y33" s="24">
        <f t="shared" si="21"/>
        <v>4.7980558596915086E-2</v>
      </c>
      <c r="Z33" s="24">
        <f t="shared" si="22"/>
        <v>5.4376354590674338E-2</v>
      </c>
      <c r="AA33" s="24">
        <f t="shared" si="23"/>
        <v>5.8518521838689129E-2</v>
      </c>
      <c r="AB33" s="24">
        <f t="shared" si="24"/>
        <v>6.1554817937082576E-2</v>
      </c>
      <c r="AC33" s="24">
        <f t="shared" si="25"/>
        <v>6.4521235154653467E-2</v>
      </c>
      <c r="AD33" s="24">
        <f t="shared" si="26"/>
        <v>6.77128634449288E-2</v>
      </c>
      <c r="AE33" s="24">
        <f t="shared" si="27"/>
        <v>7.1137019693180231E-2</v>
      </c>
      <c r="AF33" s="24">
        <f t="shared" si="28"/>
        <v>7.4715608671254513E-2</v>
      </c>
      <c r="AG33" s="24">
        <f t="shared" si="29"/>
        <v>7.8367881751421092E-2</v>
      </c>
      <c r="AH33" s="24">
        <f t="shared" si="30"/>
        <v>8.203766475334083E-2</v>
      </c>
      <c r="AL33" s="23">
        <f t="shared" si="0"/>
        <v>-9651.8483451562442</v>
      </c>
      <c r="AM33" s="23">
        <f t="shared" si="1"/>
        <v>-6505.0614716095051</v>
      </c>
      <c r="AN33" s="23">
        <f t="shared" si="2"/>
        <v>-4348.898329440146</v>
      </c>
      <c r="AO33" s="23">
        <f t="shared" si="3"/>
        <v>-2815.4685016479621</v>
      </c>
      <c r="AP33" s="23">
        <f t="shared" si="4"/>
        <v>-1406.3259058200856</v>
      </c>
      <c r="AQ33" s="23">
        <f t="shared" si="5"/>
        <v>4.4659834342878115</v>
      </c>
      <c r="AR33" s="23">
        <f t="shared" si="6"/>
        <v>1401.6214503618558</v>
      </c>
      <c r="AS33" s="23">
        <f t="shared" si="7"/>
        <v>2733.746834046065</v>
      </c>
      <c r="AT33" s="23">
        <f t="shared" si="8"/>
        <v>3955.1000802194899</v>
      </c>
      <c r="AU33" s="23">
        <f t="shared" si="9"/>
        <v>5037.5615763825454</v>
      </c>
      <c r="AW33" s="25">
        <f t="shared" si="31"/>
        <v>-11595.106629229704</v>
      </c>
      <c r="AX33" s="25">
        <f t="shared" si="32"/>
        <v>-1943.2582840734549</v>
      </c>
      <c r="AY33" s="25">
        <f t="shared" si="33"/>
        <v>4561.8031875360502</v>
      </c>
      <c r="AZ33" s="25">
        <f t="shared" si="34"/>
        <v>8910.7015169761962</v>
      </c>
      <c r="BA33" s="25">
        <f t="shared" si="35"/>
        <v>11726.170018624158</v>
      </c>
      <c r="BB33" s="25">
        <f t="shared" si="36"/>
        <v>13132.495924444243</v>
      </c>
      <c r="BC33" s="25">
        <f t="shared" si="37"/>
        <v>13128.029941009958</v>
      </c>
      <c r="BD33" s="25">
        <f t="shared" si="38"/>
        <v>11726.4084906481</v>
      </c>
      <c r="BE33" s="25">
        <f t="shared" si="39"/>
        <v>8992.6616566020348</v>
      </c>
      <c r="BF33" s="25">
        <f t="shared" si="40"/>
        <v>5037.5615763825454</v>
      </c>
      <c r="BG33" s="25">
        <f t="shared" si="41"/>
        <v>0</v>
      </c>
      <c r="BI33" s="25">
        <f t="shared" si="54"/>
        <v>0</v>
      </c>
      <c r="BJ33" s="25">
        <f t="shared" si="55"/>
        <v>0</v>
      </c>
      <c r="BK33" s="25">
        <f t="shared" si="56"/>
        <v>4561.8031875360502</v>
      </c>
      <c r="BL33" s="25">
        <f t="shared" si="57"/>
        <v>8910.7015169761962</v>
      </c>
      <c r="BM33" s="25">
        <f t="shared" si="58"/>
        <v>11726.170018624158</v>
      </c>
      <c r="BN33" s="25">
        <f t="shared" si="59"/>
        <v>13132.495924444243</v>
      </c>
      <c r="BO33" s="25">
        <f t="shared" si="60"/>
        <v>13128.029941009958</v>
      </c>
      <c r="BP33" s="25">
        <f t="shared" si="61"/>
        <v>11726.4084906481</v>
      </c>
      <c r="BQ33" s="25">
        <f t="shared" si="62"/>
        <v>8992.6616566020348</v>
      </c>
      <c r="BR33" s="25">
        <f t="shared" si="63"/>
        <v>5037.5615763825454</v>
      </c>
      <c r="BS33" s="25">
        <f t="shared" si="64"/>
        <v>0</v>
      </c>
    </row>
    <row r="34" spans="1:71" x14ac:dyDescent="0.2">
      <c r="A34" s="29">
        <f t="shared" si="53"/>
        <v>0.26000000000000006</v>
      </c>
      <c r="B34" s="30">
        <v>4.2663688509879276E-2</v>
      </c>
      <c r="C34" s="30">
        <v>4.7906149506510391E-2</v>
      </c>
      <c r="D34" s="30">
        <v>5.4341062190875783E-2</v>
      </c>
      <c r="E34" s="30">
        <v>5.8536423703312704E-2</v>
      </c>
      <c r="F34" s="30">
        <v>6.1638114183201802E-2</v>
      </c>
      <c r="G34" s="30">
        <v>6.4667663376651446E-2</v>
      </c>
      <c r="H34" s="30">
        <v>6.791475942490359E-2</v>
      </c>
      <c r="I34" s="30">
        <v>7.1385363149175957E-2</v>
      </c>
      <c r="J34" s="30">
        <v>7.5001677318591919E-2</v>
      </c>
      <c r="K34" s="30">
        <v>7.8683795061093659E-2</v>
      </c>
      <c r="L34" s="30">
        <v>8.2376257816082071E-2</v>
      </c>
      <c r="N34" s="52">
        <f t="shared" si="11"/>
        <v>0.97889407029187048</v>
      </c>
      <c r="O34" s="55">
        <f t="shared" si="12"/>
        <v>0.97633152328063011</v>
      </c>
      <c r="P34" s="54">
        <f t="shared" si="13"/>
        <v>0.94710902832985511</v>
      </c>
      <c r="Q34" s="54">
        <f t="shared" si="14"/>
        <v>0.91593980131597053</v>
      </c>
      <c r="R34" s="56">
        <f t="shared" si="15"/>
        <v>0.88401943758632739</v>
      </c>
      <c r="S34" s="59">
        <f t="shared" si="16"/>
        <v>0.85072261238178393</v>
      </c>
      <c r="T34" s="1">
        <f t="shared" si="17"/>
        <v>0.81567092929704443</v>
      </c>
      <c r="U34" s="1">
        <f t="shared" si="18"/>
        <v>0.77891856922391944</v>
      </c>
      <c r="V34" s="66">
        <f t="shared" si="19"/>
        <v>0.74081325034569245</v>
      </c>
      <c r="W34" s="63">
        <f t="shared" si="20"/>
        <v>0.70182087047949737</v>
      </c>
      <c r="Y34" s="24">
        <f t="shared" si="21"/>
        <v>4.7906149506510391E-2</v>
      </c>
      <c r="Z34" s="24">
        <f t="shared" si="22"/>
        <v>5.4341062190875783E-2</v>
      </c>
      <c r="AA34" s="24">
        <f t="shared" si="23"/>
        <v>5.8536423703312711E-2</v>
      </c>
      <c r="AB34" s="24">
        <f t="shared" si="24"/>
        <v>6.1638114183201802E-2</v>
      </c>
      <c r="AC34" s="24">
        <f t="shared" si="25"/>
        <v>6.4667663376651446E-2</v>
      </c>
      <c r="AD34" s="24">
        <f t="shared" si="26"/>
        <v>6.791475942490359E-2</v>
      </c>
      <c r="AE34" s="24">
        <f t="shared" si="27"/>
        <v>7.1385363149175957E-2</v>
      </c>
      <c r="AF34" s="24">
        <f t="shared" si="28"/>
        <v>7.5001677318591919E-2</v>
      </c>
      <c r="AG34" s="24">
        <f t="shared" si="29"/>
        <v>7.8683795061093659E-2</v>
      </c>
      <c r="AH34" s="24">
        <f t="shared" si="30"/>
        <v>8.2376257816082071E-2</v>
      </c>
      <c r="AL34" s="23">
        <f t="shared" si="0"/>
        <v>-9689.2004571342932</v>
      </c>
      <c r="AM34" s="23">
        <f t="shared" si="1"/>
        <v>-6522.5320351929831</v>
      </c>
      <c r="AN34" s="23">
        <f t="shared" si="2"/>
        <v>-4340.5743064026292</v>
      </c>
      <c r="AO34" s="23">
        <f t="shared" si="3"/>
        <v>-2777.2457258986738</v>
      </c>
      <c r="AP34" s="23">
        <f t="shared" si="4"/>
        <v>-1341.3689447676645</v>
      </c>
      <c r="AQ34" s="23">
        <f t="shared" si="5"/>
        <v>90.34308662522146</v>
      </c>
      <c r="AR34" s="23">
        <f t="shared" si="6"/>
        <v>1502.056030967507</v>
      </c>
      <c r="AS34" s="23">
        <f t="shared" si="7"/>
        <v>2842.7837787004737</v>
      </c>
      <c r="AT34" s="23">
        <f t="shared" si="8"/>
        <v>4067.593330928501</v>
      </c>
      <c r="AU34" s="23">
        <f t="shared" si="9"/>
        <v>5149.2210560028934</v>
      </c>
      <c r="AW34" s="25">
        <f t="shared" si="31"/>
        <v>-11018.924186171651</v>
      </c>
      <c r="AX34" s="25">
        <f t="shared" si="32"/>
        <v>-1329.7237290373532</v>
      </c>
      <c r="AY34" s="25">
        <f t="shared" si="33"/>
        <v>5192.8083061556308</v>
      </c>
      <c r="AZ34" s="25">
        <f t="shared" si="34"/>
        <v>9533.3826125582582</v>
      </c>
      <c r="BA34" s="25">
        <f t="shared" si="35"/>
        <v>12310.628338456932</v>
      </c>
      <c r="BB34" s="25">
        <f t="shared" si="36"/>
        <v>13651.997283224599</v>
      </c>
      <c r="BC34" s="25">
        <f t="shared" si="37"/>
        <v>13561.654196599375</v>
      </c>
      <c r="BD34" s="25">
        <f t="shared" si="38"/>
        <v>12059.598165631869</v>
      </c>
      <c r="BE34" s="25">
        <f t="shared" si="39"/>
        <v>9216.8143869313935</v>
      </c>
      <c r="BF34" s="25">
        <f t="shared" si="40"/>
        <v>5149.2210560028934</v>
      </c>
      <c r="BG34" s="25">
        <f t="shared" si="41"/>
        <v>0</v>
      </c>
      <c r="BI34" s="25">
        <f t="shared" si="54"/>
        <v>0</v>
      </c>
      <c r="BJ34" s="25">
        <f t="shared" si="55"/>
        <v>0</v>
      </c>
      <c r="BK34" s="25">
        <f t="shared" si="56"/>
        <v>5192.8083061556308</v>
      </c>
      <c r="BL34" s="25">
        <f t="shared" si="57"/>
        <v>9533.3826125582582</v>
      </c>
      <c r="BM34" s="25">
        <f t="shared" si="58"/>
        <v>12310.628338456932</v>
      </c>
      <c r="BN34" s="25">
        <f t="shared" si="59"/>
        <v>13651.997283224599</v>
      </c>
      <c r="BO34" s="25">
        <f t="shared" si="60"/>
        <v>13561.654196599375</v>
      </c>
      <c r="BP34" s="25">
        <f t="shared" si="61"/>
        <v>12059.598165631869</v>
      </c>
      <c r="BQ34" s="25">
        <f t="shared" si="62"/>
        <v>9216.8143869313935</v>
      </c>
      <c r="BR34" s="25">
        <f t="shared" si="63"/>
        <v>5149.2210560028934</v>
      </c>
      <c r="BS34" s="25">
        <f t="shared" si="64"/>
        <v>0</v>
      </c>
    </row>
    <row r="35" spans="1:71" x14ac:dyDescent="0.2">
      <c r="A35" s="29">
        <f t="shared" si="53"/>
        <v>0.27000000000000007</v>
      </c>
      <c r="B35" s="30">
        <v>4.2925147074796166E-2</v>
      </c>
      <c r="C35" s="30">
        <v>4.8204325141036349E-2</v>
      </c>
      <c r="D35" s="30">
        <v>5.4602957378647593E-2</v>
      </c>
      <c r="E35" s="30">
        <v>5.8780827478572384E-2</v>
      </c>
      <c r="F35" s="30">
        <v>6.1881554634887696E-2</v>
      </c>
      <c r="G35" s="30">
        <v>6.4912255497977328E-2</v>
      </c>
      <c r="H35" s="30">
        <v>6.8157165524520613E-2</v>
      </c>
      <c r="I35" s="30">
        <v>7.1620790765665659E-2</v>
      </c>
      <c r="J35" s="30">
        <v>7.5225511075738161E-2</v>
      </c>
      <c r="K35" s="30">
        <v>7.8892127028392114E-2</v>
      </c>
      <c r="L35" s="30">
        <v>8.2565761417119368E-2</v>
      </c>
      <c r="N35" s="52">
        <f t="shared" si="11"/>
        <v>0.97876610853681489</v>
      </c>
      <c r="O35" s="55">
        <f t="shared" si="12"/>
        <v>0.97618597499490689</v>
      </c>
      <c r="P35" s="54">
        <f t="shared" si="13"/>
        <v>0.94686101751087781</v>
      </c>
      <c r="Q35" s="54">
        <f t="shared" si="14"/>
        <v>0.91560407414144396</v>
      </c>
      <c r="R35" s="56">
        <f t="shared" si="15"/>
        <v>0.88358913016669027</v>
      </c>
      <c r="S35" s="59">
        <f t="shared" si="16"/>
        <v>0.85020257127437904</v>
      </c>
      <c r="T35" s="1">
        <f t="shared" si="17"/>
        <v>0.81507797410148497</v>
      </c>
      <c r="U35" s="1">
        <f t="shared" si="18"/>
        <v>0.77827700728499438</v>
      </c>
      <c r="V35" s="66">
        <f t="shared" si="19"/>
        <v>0.74015027113156329</v>
      </c>
      <c r="W35" s="63">
        <f t="shared" si="20"/>
        <v>0.70116322604460013</v>
      </c>
      <c r="Y35" s="24">
        <f t="shared" si="21"/>
        <v>4.8204325141036349E-2</v>
      </c>
      <c r="Z35" s="24">
        <f t="shared" si="22"/>
        <v>5.4602957378647593E-2</v>
      </c>
      <c r="AA35" s="24">
        <f t="shared" si="23"/>
        <v>5.8780827478572384E-2</v>
      </c>
      <c r="AB35" s="24">
        <f t="shared" si="24"/>
        <v>6.1881554634887696E-2</v>
      </c>
      <c r="AC35" s="24">
        <f t="shared" si="25"/>
        <v>6.4912255497977328E-2</v>
      </c>
      <c r="AD35" s="24">
        <f t="shared" si="26"/>
        <v>6.8157165524520613E-2</v>
      </c>
      <c r="AE35" s="24">
        <f t="shared" si="27"/>
        <v>7.1620790765665659E-2</v>
      </c>
      <c r="AF35" s="24">
        <f t="shared" si="28"/>
        <v>7.5225511075738161E-2</v>
      </c>
      <c r="AG35" s="24">
        <f t="shared" si="29"/>
        <v>7.8892127028392114E-2</v>
      </c>
      <c r="AH35" s="24">
        <f t="shared" si="30"/>
        <v>8.2565761417119368E-2</v>
      </c>
      <c r="AL35" s="23">
        <f t="shared" si="0"/>
        <v>-9542.0117749695146</v>
      </c>
      <c r="AM35" s="23">
        <f t="shared" si="1"/>
        <v>-6393.7304730032156</v>
      </c>
      <c r="AN35" s="23">
        <f t="shared" si="2"/>
        <v>-4223.7294760617051</v>
      </c>
      <c r="AO35" s="23">
        <f t="shared" si="3"/>
        <v>-2664.7802238088125</v>
      </c>
      <c r="AP35" s="23">
        <f t="shared" si="4"/>
        <v>-1232.6565469420766</v>
      </c>
      <c r="AQ35" s="23">
        <f t="shared" si="5"/>
        <v>193.33500508726942</v>
      </c>
      <c r="AR35" s="23">
        <f t="shared" si="6"/>
        <v>1596.9100377661141</v>
      </c>
      <c r="AS35" s="23">
        <f t="shared" si="7"/>
        <v>2927.544632506917</v>
      </c>
      <c r="AT35" s="23">
        <f t="shared" si="8"/>
        <v>4141.0515830333579</v>
      </c>
      <c r="AU35" s="23">
        <f t="shared" si="9"/>
        <v>5210.8324331458025</v>
      </c>
      <c r="AW35" s="25">
        <f t="shared" si="31"/>
        <v>-9987.2348032458685</v>
      </c>
      <c r="AX35" s="25">
        <f t="shared" si="32"/>
        <v>-445.22302827634758</v>
      </c>
      <c r="AY35" s="25">
        <f t="shared" si="33"/>
        <v>5948.5074447268671</v>
      </c>
      <c r="AZ35" s="25">
        <f t="shared" si="34"/>
        <v>10172.236920788571</v>
      </c>
      <c r="BA35" s="25">
        <f t="shared" si="35"/>
        <v>12837.017144597385</v>
      </c>
      <c r="BB35" s="25">
        <f t="shared" si="36"/>
        <v>14069.673691539461</v>
      </c>
      <c r="BC35" s="25">
        <f t="shared" si="37"/>
        <v>13876.338686452193</v>
      </c>
      <c r="BD35" s="25">
        <f t="shared" si="38"/>
        <v>12279.428648686076</v>
      </c>
      <c r="BE35" s="25">
        <f t="shared" si="39"/>
        <v>9351.8840161791595</v>
      </c>
      <c r="BF35" s="25">
        <f t="shared" si="40"/>
        <v>5210.8324331458025</v>
      </c>
      <c r="BG35" s="25">
        <f t="shared" si="41"/>
        <v>0</v>
      </c>
      <c r="BI35" s="25">
        <f t="shared" si="54"/>
        <v>0</v>
      </c>
      <c r="BJ35" s="25">
        <f t="shared" si="55"/>
        <v>0</v>
      </c>
      <c r="BK35" s="25">
        <f t="shared" si="56"/>
        <v>5948.5074447268671</v>
      </c>
      <c r="BL35" s="25">
        <f t="shared" si="57"/>
        <v>10172.236920788571</v>
      </c>
      <c r="BM35" s="25">
        <f t="shared" si="58"/>
        <v>12837.017144597385</v>
      </c>
      <c r="BN35" s="25">
        <f t="shared" si="59"/>
        <v>14069.673691539461</v>
      </c>
      <c r="BO35" s="25">
        <f t="shared" si="60"/>
        <v>13876.338686452193</v>
      </c>
      <c r="BP35" s="25">
        <f t="shared" si="61"/>
        <v>12279.428648686076</v>
      </c>
      <c r="BQ35" s="25">
        <f t="shared" si="62"/>
        <v>9351.8840161791595</v>
      </c>
      <c r="BR35" s="25">
        <f t="shared" si="63"/>
        <v>5210.8324331458025</v>
      </c>
      <c r="BS35" s="25">
        <f t="shared" si="64"/>
        <v>0</v>
      </c>
    </row>
    <row r="36" spans="1:71" x14ac:dyDescent="0.2">
      <c r="A36" s="29">
        <f t="shared" si="53"/>
        <v>0.28000000000000008</v>
      </c>
      <c r="B36" s="30">
        <v>4.0594116478067703E-2</v>
      </c>
      <c r="C36" s="30">
        <v>4.6023630613882476E-2</v>
      </c>
      <c r="D36" s="30">
        <v>5.2500976447994847E-2</v>
      </c>
      <c r="E36" s="30">
        <v>5.6775669238246208E-2</v>
      </c>
      <c r="F36" s="30">
        <v>5.9988650156613255E-2</v>
      </c>
      <c r="G36" s="30">
        <v>6.3132627932190308E-2</v>
      </c>
      <c r="H36" s="30">
        <v>6.6486291261595748E-2</v>
      </c>
      <c r="I36" s="30">
        <v>7.0052550029225349E-2</v>
      </c>
      <c r="J36" s="30">
        <v>7.3753797748029148E-2</v>
      </c>
      <c r="K36" s="30">
        <v>7.7511365881752364E-2</v>
      </c>
      <c r="L36" s="30">
        <v>8.127078207428283E-2</v>
      </c>
      <c r="N36" s="52">
        <f t="shared" si="11"/>
        <v>0.9799075404588059</v>
      </c>
      <c r="O36" s="55">
        <f t="shared" si="12"/>
        <v>0.97725093718528255</v>
      </c>
      <c r="P36" s="54">
        <f t="shared" si="13"/>
        <v>0.94885339454935447</v>
      </c>
      <c r="Q36" s="54">
        <f t="shared" si="14"/>
        <v>0.91836211637677678</v>
      </c>
      <c r="R36" s="56">
        <f t="shared" si="15"/>
        <v>0.88694056976177005</v>
      </c>
      <c r="S36" s="59">
        <f t="shared" si="16"/>
        <v>0.85399360814400049</v>
      </c>
      <c r="T36" s="1">
        <f t="shared" si="17"/>
        <v>0.81917390964267689</v>
      </c>
      <c r="U36" s="1">
        <f t="shared" si="18"/>
        <v>0.78256059246763654</v>
      </c>
      <c r="V36" s="66">
        <f t="shared" si="19"/>
        <v>0.74452027737833959</v>
      </c>
      <c r="W36" s="63">
        <f t="shared" si="20"/>
        <v>0.70553341413294635</v>
      </c>
      <c r="Y36" s="24">
        <f t="shared" si="21"/>
        <v>4.6023630613882476E-2</v>
      </c>
      <c r="Z36" s="24">
        <f t="shared" si="22"/>
        <v>5.2500976447994847E-2</v>
      </c>
      <c r="AA36" s="24">
        <f t="shared" si="23"/>
        <v>5.6775669238246208E-2</v>
      </c>
      <c r="AB36" s="24">
        <f t="shared" si="24"/>
        <v>5.9988650156613255E-2</v>
      </c>
      <c r="AC36" s="24">
        <f t="shared" si="25"/>
        <v>6.3132627932190308E-2</v>
      </c>
      <c r="AD36" s="24">
        <f t="shared" si="26"/>
        <v>6.6486291261595748E-2</v>
      </c>
      <c r="AE36" s="24">
        <f t="shared" si="27"/>
        <v>7.0052550029225349E-2</v>
      </c>
      <c r="AF36" s="24">
        <f t="shared" si="28"/>
        <v>7.3753797748029148E-2</v>
      </c>
      <c r="AG36" s="24">
        <f t="shared" si="29"/>
        <v>7.7511365881752364E-2</v>
      </c>
      <c r="AH36" s="24">
        <f t="shared" si="30"/>
        <v>8.127078207428283E-2</v>
      </c>
      <c r="AL36" s="23">
        <f t="shared" si="0"/>
        <v>-10621.579124544754</v>
      </c>
      <c r="AM36" s="23">
        <f t="shared" si="1"/>
        <v>-7427.7870787393149</v>
      </c>
      <c r="AN36" s="23">
        <f t="shared" si="2"/>
        <v>-5183.9176137912082</v>
      </c>
      <c r="AO36" s="23">
        <f t="shared" si="3"/>
        <v>-3541.9931297685471</v>
      </c>
      <c r="AP36" s="23">
        <f t="shared" si="4"/>
        <v>-2026.5439373092663</v>
      </c>
      <c r="AQ36" s="23">
        <f t="shared" si="5"/>
        <v>-519.26088812848263</v>
      </c>
      <c r="AR36" s="23">
        <f t="shared" si="6"/>
        <v>962.60389360128181</v>
      </c>
      <c r="AS36" s="23">
        <f t="shared" si="7"/>
        <v>2367.8052177360064</v>
      </c>
      <c r="AT36" s="23">
        <f t="shared" si="8"/>
        <v>3651.4989054781495</v>
      </c>
      <c r="AU36" s="23">
        <f t="shared" si="9"/>
        <v>4786.484747048723</v>
      </c>
      <c r="AW36" s="25">
        <f t="shared" si="31"/>
        <v>-17552.689008417412</v>
      </c>
      <c r="AX36" s="25">
        <f t="shared" si="32"/>
        <v>-6931.1098838726602</v>
      </c>
      <c r="AY36" s="25">
        <f t="shared" si="33"/>
        <v>496.67719486665465</v>
      </c>
      <c r="AZ36" s="25">
        <f t="shared" si="34"/>
        <v>5680.5948086578646</v>
      </c>
      <c r="BA36" s="25">
        <f t="shared" si="35"/>
        <v>9222.5879384264117</v>
      </c>
      <c r="BB36" s="25">
        <f t="shared" si="36"/>
        <v>11249.131875735678</v>
      </c>
      <c r="BC36" s="25">
        <f t="shared" si="37"/>
        <v>11768.392763864162</v>
      </c>
      <c r="BD36" s="25">
        <f t="shared" si="38"/>
        <v>10805.788870262879</v>
      </c>
      <c r="BE36" s="25">
        <f t="shared" si="39"/>
        <v>8437.9836525268729</v>
      </c>
      <c r="BF36" s="25">
        <f t="shared" si="40"/>
        <v>4786.484747048723</v>
      </c>
      <c r="BG36" s="25">
        <f t="shared" si="41"/>
        <v>0</v>
      </c>
      <c r="BI36" s="25">
        <f t="shared" si="54"/>
        <v>0</v>
      </c>
      <c r="BJ36" s="25">
        <f t="shared" si="55"/>
        <v>0</v>
      </c>
      <c r="BK36" s="25">
        <f t="shared" si="56"/>
        <v>496.67719486665465</v>
      </c>
      <c r="BL36" s="25">
        <f t="shared" si="57"/>
        <v>5680.5948086578646</v>
      </c>
      <c r="BM36" s="25">
        <f t="shared" si="58"/>
        <v>9222.5879384264117</v>
      </c>
      <c r="BN36" s="25">
        <f t="shared" si="59"/>
        <v>11249.131875735678</v>
      </c>
      <c r="BO36" s="25">
        <f t="shared" si="60"/>
        <v>11768.392763864162</v>
      </c>
      <c r="BP36" s="25">
        <f t="shared" si="61"/>
        <v>10805.788870262879</v>
      </c>
      <c r="BQ36" s="25">
        <f t="shared" si="62"/>
        <v>8437.9836525268729</v>
      </c>
      <c r="BR36" s="25">
        <f t="shared" si="63"/>
        <v>4786.484747048723</v>
      </c>
      <c r="BS36" s="25">
        <f t="shared" si="64"/>
        <v>0</v>
      </c>
    </row>
    <row r="37" spans="1:71" x14ac:dyDescent="0.2">
      <c r="A37" s="29">
        <f t="shared" si="53"/>
        <v>0.29000000000000009</v>
      </c>
      <c r="B37" s="30">
        <v>4.0325642917196806E-2</v>
      </c>
      <c r="C37" s="30">
        <v>4.5915379525106104E-2</v>
      </c>
      <c r="D37" s="30">
        <v>5.2475178125228304E-2</v>
      </c>
      <c r="E37" s="30">
        <v>5.6842859586030491E-2</v>
      </c>
      <c r="F37" s="30">
        <v>6.0156874694912099E-2</v>
      </c>
      <c r="G37" s="30">
        <v>6.3396123718409345E-2</v>
      </c>
      <c r="H37" s="30">
        <v>6.6834249840452581E-2</v>
      </c>
      <c r="I37" s="30">
        <v>7.0473021210699607E-2</v>
      </c>
      <c r="J37" s="30">
        <v>7.4235277580860959E-2</v>
      </c>
      <c r="K37" s="30">
        <v>7.8043301019485908E-2</v>
      </c>
      <c r="L37" s="30">
        <v>8.1843443795114504E-2</v>
      </c>
      <c r="N37" s="52">
        <f t="shared" si="11"/>
        <v>0.980039088921285</v>
      </c>
      <c r="O37" s="55">
        <f t="shared" si="12"/>
        <v>0.97730383285575206</v>
      </c>
      <c r="P37" s="54">
        <f t="shared" si="13"/>
        <v>0.94887787369124421</v>
      </c>
      <c r="Q37" s="54">
        <f t="shared" si="14"/>
        <v>0.91826956343586652</v>
      </c>
      <c r="R37" s="56">
        <f t="shared" si="15"/>
        <v>0.8866422096203882</v>
      </c>
      <c r="S37" s="59">
        <f t="shared" si="16"/>
        <v>0.85343123410031541</v>
      </c>
      <c r="T37" s="1">
        <f t="shared" si="17"/>
        <v>0.8183192400364111</v>
      </c>
      <c r="U37" s="1">
        <f t="shared" si="18"/>
        <v>0.7814097848487368</v>
      </c>
      <c r="V37" s="66">
        <f t="shared" si="19"/>
        <v>0.74308777127195624</v>
      </c>
      <c r="W37" s="63">
        <f t="shared" si="20"/>
        <v>0.70384659275519412</v>
      </c>
      <c r="Y37" s="24">
        <f t="shared" si="21"/>
        <v>4.5915379525106104E-2</v>
      </c>
      <c r="Z37" s="24">
        <f t="shared" si="22"/>
        <v>5.2475178125228304E-2</v>
      </c>
      <c r="AA37" s="24">
        <f t="shared" si="23"/>
        <v>5.6842859586030491E-2</v>
      </c>
      <c r="AB37" s="24">
        <f t="shared" si="24"/>
        <v>6.0156874694912099E-2</v>
      </c>
      <c r="AC37" s="24">
        <f t="shared" si="25"/>
        <v>6.3396123718409345E-2</v>
      </c>
      <c r="AD37" s="24">
        <f t="shared" si="26"/>
        <v>6.6834249840452581E-2</v>
      </c>
      <c r="AE37" s="24">
        <f t="shared" si="27"/>
        <v>7.0473021210699607E-2</v>
      </c>
      <c r="AF37" s="24">
        <f t="shared" si="28"/>
        <v>7.4235277580860959E-2</v>
      </c>
      <c r="AG37" s="24">
        <f t="shared" si="29"/>
        <v>7.8043301019485908E-2</v>
      </c>
      <c r="AH37" s="24">
        <f t="shared" si="30"/>
        <v>8.1843443795114504E-2</v>
      </c>
      <c r="AL37" s="23">
        <f t="shared" si="0"/>
        <v>-10676.050176041264</v>
      </c>
      <c r="AM37" s="23">
        <f t="shared" si="1"/>
        <v>-7440.7955224993711</v>
      </c>
      <c r="AN37" s="23">
        <f t="shared" si="2"/>
        <v>-5152.1736347270435</v>
      </c>
      <c r="AO37" s="23">
        <f t="shared" si="3"/>
        <v>-3464.3984294604343</v>
      </c>
      <c r="AP37" s="23">
        <f t="shared" si="4"/>
        <v>-1909.0489801008985</v>
      </c>
      <c r="AQ37" s="23">
        <f t="shared" si="5"/>
        <v>-370.43958344246664</v>
      </c>
      <c r="AR37" s="23">
        <f t="shared" si="6"/>
        <v>1133.639407874439</v>
      </c>
      <c r="AS37" s="23">
        <f t="shared" si="7"/>
        <v>2552.4397283072963</v>
      </c>
      <c r="AT37" s="23">
        <f t="shared" si="8"/>
        <v>3842.1104287887088</v>
      </c>
      <c r="AU37" s="23">
        <f t="shared" si="9"/>
        <v>4976.5740021061911</v>
      </c>
      <c r="AW37" s="25">
        <f t="shared" si="31"/>
        <v>-16508.142759194841</v>
      </c>
      <c r="AX37" s="25">
        <f t="shared" si="32"/>
        <v>-5832.0925831535778</v>
      </c>
      <c r="AY37" s="25">
        <f t="shared" si="33"/>
        <v>1608.7029393457919</v>
      </c>
      <c r="AZ37" s="25">
        <f t="shared" si="34"/>
        <v>6760.876574072835</v>
      </c>
      <c r="BA37" s="25">
        <f t="shared" si="35"/>
        <v>10225.27500353327</v>
      </c>
      <c r="BB37" s="25">
        <f t="shared" si="36"/>
        <v>12134.323983634167</v>
      </c>
      <c r="BC37" s="25">
        <f t="shared" si="37"/>
        <v>12504.763567076636</v>
      </c>
      <c r="BD37" s="25">
        <f t="shared" si="38"/>
        <v>11371.124159202196</v>
      </c>
      <c r="BE37" s="25">
        <f t="shared" si="39"/>
        <v>8818.6844308949003</v>
      </c>
      <c r="BF37" s="25">
        <f t="shared" si="40"/>
        <v>4976.5740021061911</v>
      </c>
      <c r="BG37" s="25">
        <f t="shared" si="41"/>
        <v>0</v>
      </c>
      <c r="BI37" s="25">
        <f t="shared" si="54"/>
        <v>0</v>
      </c>
      <c r="BJ37" s="25">
        <f t="shared" si="55"/>
        <v>0</v>
      </c>
      <c r="BK37" s="25">
        <f t="shared" si="56"/>
        <v>1608.7029393457919</v>
      </c>
      <c r="BL37" s="25">
        <f t="shared" si="57"/>
        <v>6760.876574072835</v>
      </c>
      <c r="BM37" s="25">
        <f t="shared" si="58"/>
        <v>10225.27500353327</v>
      </c>
      <c r="BN37" s="25">
        <f t="shared" si="59"/>
        <v>12134.323983634167</v>
      </c>
      <c r="BO37" s="25">
        <f t="shared" si="60"/>
        <v>12504.763567076636</v>
      </c>
      <c r="BP37" s="25">
        <f t="shared" si="61"/>
        <v>11371.124159202196</v>
      </c>
      <c r="BQ37" s="25">
        <f t="shared" si="62"/>
        <v>8818.6844308949003</v>
      </c>
      <c r="BR37" s="25">
        <f t="shared" si="63"/>
        <v>4976.5740021061911</v>
      </c>
      <c r="BS37" s="25">
        <f t="shared" si="64"/>
        <v>0</v>
      </c>
    </row>
    <row r="38" spans="1:71" x14ac:dyDescent="0.2">
      <c r="A38" s="29">
        <f t="shared" si="53"/>
        <v>0.3000000000000001</v>
      </c>
      <c r="B38" s="30">
        <v>3.9940770433253565E-2</v>
      </c>
      <c r="C38" s="30">
        <v>4.5563440518934649E-2</v>
      </c>
      <c r="D38" s="30">
        <v>5.2098646886677702E-2</v>
      </c>
      <c r="E38" s="30">
        <v>5.6469890164348502E-2</v>
      </c>
      <c r="F38" s="30">
        <v>5.9812094461886671E-2</v>
      </c>
      <c r="G38" s="30">
        <v>6.3089716910944768E-2</v>
      </c>
      <c r="H38" s="30">
        <v>6.6570623327001213E-2</v>
      </c>
      <c r="I38" s="30">
        <v>7.0254661953122827E-2</v>
      </c>
      <c r="J38" s="30">
        <v>7.4064318935778556E-2</v>
      </c>
      <c r="K38" s="30">
        <v>7.7922014497395817E-2</v>
      </c>
      <c r="L38" s="30">
        <v>8.177411314740067E-2</v>
      </c>
      <c r="N38" s="52">
        <f t="shared" si="11"/>
        <v>0.98022770210796673</v>
      </c>
      <c r="O38" s="55">
        <f t="shared" si="12"/>
        <v>0.97747582365770769</v>
      </c>
      <c r="P38" s="54">
        <f t="shared" si="13"/>
        <v>0.94923522312464881</v>
      </c>
      <c r="Q38" s="54">
        <f t="shared" si="14"/>
        <v>0.91878343686880548</v>
      </c>
      <c r="R38" s="56">
        <f t="shared" si="15"/>
        <v>0.88725381388049918</v>
      </c>
      <c r="S38" s="59">
        <f t="shared" si="16"/>
        <v>0.85408522740291415</v>
      </c>
      <c r="T38" s="1">
        <f t="shared" si="17"/>
        <v>0.81896668797374983</v>
      </c>
      <c r="U38" s="1">
        <f t="shared" si="18"/>
        <v>0.78200721132515061</v>
      </c>
      <c r="V38" s="66">
        <f t="shared" si="19"/>
        <v>0.74359609417075123</v>
      </c>
      <c r="W38" s="63">
        <f t="shared" si="20"/>
        <v>0.70423084958123805</v>
      </c>
      <c r="Y38" s="24">
        <f t="shared" si="21"/>
        <v>4.5563440518934649E-2</v>
      </c>
      <c r="Z38" s="24">
        <f t="shared" si="22"/>
        <v>5.2098646886677702E-2</v>
      </c>
      <c r="AA38" s="24">
        <f t="shared" si="23"/>
        <v>5.6469890164348502E-2</v>
      </c>
      <c r="AB38" s="24">
        <f t="shared" si="24"/>
        <v>5.9812094461886671E-2</v>
      </c>
      <c r="AC38" s="24">
        <f t="shared" si="25"/>
        <v>6.3089716910944768E-2</v>
      </c>
      <c r="AD38" s="24">
        <f t="shared" si="26"/>
        <v>6.6570623327001213E-2</v>
      </c>
      <c r="AE38" s="24">
        <f t="shared" si="27"/>
        <v>7.0254661953122827E-2</v>
      </c>
      <c r="AF38" s="24">
        <f t="shared" si="28"/>
        <v>7.4064318935778556E-2</v>
      </c>
      <c r="AG38" s="24">
        <f t="shared" si="29"/>
        <v>7.7922014497395817E-2</v>
      </c>
      <c r="AH38" s="24">
        <f t="shared" si="30"/>
        <v>8.177411314740067E-2</v>
      </c>
      <c r="AL38" s="23">
        <f t="shared" si="0"/>
        <v>-10850.595014355909</v>
      </c>
      <c r="AM38" s="23">
        <f t="shared" si="1"/>
        <v>-7626.130082067446</v>
      </c>
      <c r="AN38" s="23">
        <f t="shared" si="2"/>
        <v>-5331.1318104239863</v>
      </c>
      <c r="AO38" s="23">
        <f t="shared" si="3"/>
        <v>-3624.7263274705583</v>
      </c>
      <c r="AP38" s="23">
        <f t="shared" si="4"/>
        <v>-2046.2961430409398</v>
      </c>
      <c r="AQ38" s="23">
        <f t="shared" si="5"/>
        <v>-483.30321052445362</v>
      </c>
      <c r="AR38" s="23">
        <f t="shared" si="6"/>
        <v>1045.1218557390293</v>
      </c>
      <c r="AS38" s="23">
        <f t="shared" si="7"/>
        <v>2487.5457482315765</v>
      </c>
      <c r="AT38" s="23">
        <f t="shared" si="8"/>
        <v>3799.6446032578315</v>
      </c>
      <c r="AU38" s="23">
        <f t="shared" si="9"/>
        <v>4954.8785140830696</v>
      </c>
      <c r="AW38" s="25">
        <f t="shared" si="31"/>
        <v>-17674.991866571789</v>
      </c>
      <c r="AX38" s="25">
        <f t="shared" si="32"/>
        <v>-6824.3968522158793</v>
      </c>
      <c r="AY38" s="25">
        <f t="shared" si="33"/>
        <v>801.73322985156847</v>
      </c>
      <c r="AZ38" s="25">
        <f t="shared" si="34"/>
        <v>6132.8650402755557</v>
      </c>
      <c r="BA38" s="25">
        <f t="shared" si="35"/>
        <v>9757.591367746114</v>
      </c>
      <c r="BB38" s="25">
        <f t="shared" si="36"/>
        <v>11803.887510787054</v>
      </c>
      <c r="BC38" s="25">
        <f t="shared" si="37"/>
        <v>12287.190721311506</v>
      </c>
      <c r="BD38" s="25">
        <f t="shared" si="38"/>
        <v>11242.068865572477</v>
      </c>
      <c r="BE38" s="25">
        <f t="shared" si="39"/>
        <v>8754.5231173409011</v>
      </c>
      <c r="BF38" s="25">
        <f t="shared" si="40"/>
        <v>4954.8785140830696</v>
      </c>
      <c r="BG38" s="25">
        <f t="shared" si="41"/>
        <v>0</v>
      </c>
      <c r="BI38" s="25">
        <f t="shared" si="54"/>
        <v>0</v>
      </c>
      <c r="BJ38" s="25">
        <f t="shared" si="55"/>
        <v>0</v>
      </c>
      <c r="BK38" s="25">
        <f t="shared" si="56"/>
        <v>801.73322985156847</v>
      </c>
      <c r="BL38" s="25">
        <f t="shared" si="57"/>
        <v>6132.8650402755557</v>
      </c>
      <c r="BM38" s="25">
        <f t="shared" si="58"/>
        <v>9757.591367746114</v>
      </c>
      <c r="BN38" s="25">
        <f t="shared" si="59"/>
        <v>11803.887510787054</v>
      </c>
      <c r="BO38" s="25">
        <f t="shared" si="60"/>
        <v>12287.190721311506</v>
      </c>
      <c r="BP38" s="25">
        <f t="shared" si="61"/>
        <v>11242.068865572477</v>
      </c>
      <c r="BQ38" s="25">
        <f t="shared" si="62"/>
        <v>8754.5231173409011</v>
      </c>
      <c r="BR38" s="25">
        <f t="shared" si="63"/>
        <v>4954.8785140830696</v>
      </c>
      <c r="BS38" s="25">
        <f t="shared" si="64"/>
        <v>0</v>
      </c>
    </row>
    <row r="39" spans="1:71" x14ac:dyDescent="0.2">
      <c r="A39" s="29">
        <f t="shared" si="53"/>
        <v>0.31000000000000011</v>
      </c>
      <c r="B39" s="30">
        <v>4.0461155450256039E-2</v>
      </c>
      <c r="C39" s="30">
        <v>4.6122503204737229E-2</v>
      </c>
      <c r="D39" s="30">
        <v>5.2639193602268743E-2</v>
      </c>
      <c r="E39" s="30">
        <v>5.7018687804877878E-2</v>
      </c>
      <c r="F39" s="30">
        <v>6.0392229819395939E-2</v>
      </c>
      <c r="G39" s="30">
        <v>6.371007186142047E-2</v>
      </c>
      <c r="H39" s="30">
        <v>6.7234444430715148E-2</v>
      </c>
      <c r="I39" s="30">
        <v>7.0963372093282809E-2</v>
      </c>
      <c r="J39" s="30">
        <v>7.4819062129033206E-2</v>
      </c>
      <c r="K39" s="30">
        <v>7.8724135299511999E-2</v>
      </c>
      <c r="L39" s="30">
        <v>8.2625030815041675E-2</v>
      </c>
      <c r="N39" s="52">
        <f t="shared" si="11"/>
        <v>0.97997268738115229</v>
      </c>
      <c r="O39" s="55">
        <f t="shared" si="12"/>
        <v>0.9772026267134003</v>
      </c>
      <c r="P39" s="54">
        <f t="shared" si="13"/>
        <v>0.94872225579635805</v>
      </c>
      <c r="Q39" s="54">
        <f t="shared" si="14"/>
        <v>0.91802740881784051</v>
      </c>
      <c r="R39" s="56">
        <f t="shared" si="15"/>
        <v>0.88622495625557429</v>
      </c>
      <c r="S39" s="59">
        <f t="shared" si="16"/>
        <v>0.85276166401970843</v>
      </c>
      <c r="T39" s="1">
        <f t="shared" si="17"/>
        <v>0.81733736876479612</v>
      </c>
      <c r="U39" s="1">
        <f t="shared" si="18"/>
        <v>0.78006985756623703</v>
      </c>
      <c r="V39" s="66">
        <f t="shared" si="19"/>
        <v>0.74135458304132595</v>
      </c>
      <c r="W39" s="63">
        <f t="shared" si="20"/>
        <v>0.70169347974694585</v>
      </c>
      <c r="Y39" s="24">
        <f t="shared" si="21"/>
        <v>4.6122503204737229E-2</v>
      </c>
      <c r="Z39" s="24">
        <f t="shared" si="22"/>
        <v>5.2639193602268743E-2</v>
      </c>
      <c r="AA39" s="24">
        <f t="shared" si="23"/>
        <v>5.7018687804877878E-2</v>
      </c>
      <c r="AB39" s="24">
        <f t="shared" si="24"/>
        <v>6.0392229819395939E-2</v>
      </c>
      <c r="AC39" s="24">
        <f t="shared" si="25"/>
        <v>6.371007186142047E-2</v>
      </c>
      <c r="AD39" s="24">
        <f t="shared" si="26"/>
        <v>6.7234444430715148E-2</v>
      </c>
      <c r="AE39" s="24">
        <f t="shared" si="27"/>
        <v>7.0963372093282809E-2</v>
      </c>
      <c r="AF39" s="24">
        <f t="shared" si="28"/>
        <v>7.4819062129033206E-2</v>
      </c>
      <c r="AG39" s="24">
        <f t="shared" si="29"/>
        <v>7.8724135299511999E-2</v>
      </c>
      <c r="AH39" s="24">
        <f t="shared" si="30"/>
        <v>8.2625030815041675E-2</v>
      </c>
      <c r="AL39" s="23">
        <f t="shared" si="0"/>
        <v>-10573.839056771707</v>
      </c>
      <c r="AM39" s="23">
        <f t="shared" si="1"/>
        <v>-7359.8868024326785</v>
      </c>
      <c r="AN39" s="23">
        <f t="shared" si="2"/>
        <v>-5067.9225955974935</v>
      </c>
      <c r="AO39" s="23">
        <f t="shared" si="3"/>
        <v>-3355.4536138928524</v>
      </c>
      <c r="AP39" s="23">
        <f t="shared" si="4"/>
        <v>-1769.0362429859415</v>
      </c>
      <c r="AQ39" s="23">
        <f t="shared" si="5"/>
        <v>-199.51364810169608</v>
      </c>
      <c r="AR39" s="23">
        <f t="shared" si="6"/>
        <v>1332.670245558287</v>
      </c>
      <c r="AS39" s="23">
        <f t="shared" si="7"/>
        <v>2775.7592810990845</v>
      </c>
      <c r="AT39" s="23">
        <f t="shared" si="8"/>
        <v>4085.5188439965095</v>
      </c>
      <c r="AU39" s="23">
        <f t="shared" si="9"/>
        <v>5235.5675928709834</v>
      </c>
      <c r="AW39" s="25">
        <f t="shared" si="31"/>
        <v>-14896.135996257512</v>
      </c>
      <c r="AX39" s="25">
        <f t="shared" si="32"/>
        <v>-4322.2969394857982</v>
      </c>
      <c r="AY39" s="25">
        <f t="shared" si="33"/>
        <v>3037.5898629468802</v>
      </c>
      <c r="AZ39" s="25">
        <f t="shared" si="34"/>
        <v>8105.5124585443746</v>
      </c>
      <c r="BA39" s="25">
        <f t="shared" si="35"/>
        <v>11460.966072437226</v>
      </c>
      <c r="BB39" s="25">
        <f t="shared" si="36"/>
        <v>13230.002315423168</v>
      </c>
      <c r="BC39" s="25">
        <f t="shared" si="37"/>
        <v>13429.515963524864</v>
      </c>
      <c r="BD39" s="25">
        <f t="shared" si="38"/>
        <v>12096.845717966578</v>
      </c>
      <c r="BE39" s="25">
        <f t="shared" si="39"/>
        <v>9321.086436867492</v>
      </c>
      <c r="BF39" s="25">
        <f t="shared" si="40"/>
        <v>5235.5675928709834</v>
      </c>
      <c r="BG39" s="25">
        <f t="shared" si="41"/>
        <v>0</v>
      </c>
      <c r="BI39" s="25">
        <f t="shared" si="54"/>
        <v>0</v>
      </c>
      <c r="BJ39" s="25">
        <f t="shared" si="55"/>
        <v>0</v>
      </c>
      <c r="BK39" s="25">
        <f t="shared" si="56"/>
        <v>3037.5898629468802</v>
      </c>
      <c r="BL39" s="25">
        <f t="shared" si="57"/>
        <v>8105.5124585443746</v>
      </c>
      <c r="BM39" s="25">
        <f t="shared" si="58"/>
        <v>11460.966072437226</v>
      </c>
      <c r="BN39" s="25">
        <f t="shared" si="59"/>
        <v>13230.002315423168</v>
      </c>
      <c r="BO39" s="25">
        <f t="shared" si="60"/>
        <v>13429.515963524864</v>
      </c>
      <c r="BP39" s="25">
        <f t="shared" si="61"/>
        <v>12096.845717966578</v>
      </c>
      <c r="BQ39" s="25">
        <f t="shared" si="62"/>
        <v>9321.086436867492</v>
      </c>
      <c r="BR39" s="25">
        <f t="shared" si="63"/>
        <v>5235.5675928709834</v>
      </c>
      <c r="BS39" s="25">
        <f t="shared" si="64"/>
        <v>0</v>
      </c>
    </row>
    <row r="40" spans="1:71" x14ac:dyDescent="0.2">
      <c r="A40" s="29">
        <f t="shared" si="53"/>
        <v>0.32000000000000012</v>
      </c>
      <c r="B40" s="30">
        <v>4.0122055328359808E-2</v>
      </c>
      <c r="C40" s="30">
        <v>4.5784063463004031E-2</v>
      </c>
      <c r="D40" s="30">
        <v>5.2249103790097194E-2</v>
      </c>
      <c r="E40" s="30">
        <v>5.6606730904898324E-2</v>
      </c>
      <c r="F40" s="30">
        <v>5.9984183926687112E-2</v>
      </c>
      <c r="G40" s="30">
        <v>6.3317567258828478E-2</v>
      </c>
      <c r="H40" s="30">
        <v>6.6863438029960018E-2</v>
      </c>
      <c r="I40" s="30">
        <v>7.0617913737046262E-2</v>
      </c>
      <c r="J40" s="30">
        <v>7.4502818093366924E-2</v>
      </c>
      <c r="K40" s="30">
        <v>7.8440855594637149E-2</v>
      </c>
      <c r="L40" s="30">
        <v>8.2378423429496889E-2</v>
      </c>
      <c r="N40" s="52">
        <f t="shared" si="11"/>
        <v>0.98013885589656813</v>
      </c>
      <c r="O40" s="55">
        <f t="shared" si="12"/>
        <v>0.97736800280776936</v>
      </c>
      <c r="P40" s="54">
        <f t="shared" si="13"/>
        <v>0.94909241487587359</v>
      </c>
      <c r="Q40" s="54">
        <f t="shared" si="14"/>
        <v>0.91859486571377091</v>
      </c>
      <c r="R40" s="56">
        <f t="shared" si="15"/>
        <v>0.88694849235818485</v>
      </c>
      <c r="S40" s="59">
        <f t="shared" si="16"/>
        <v>0.85359885690021042</v>
      </c>
      <c r="T40" s="1">
        <f t="shared" si="17"/>
        <v>0.81824758740240566</v>
      </c>
      <c r="U40" s="1">
        <f t="shared" si="18"/>
        <v>0.78101361377868928</v>
      </c>
      <c r="V40" s="66">
        <f t="shared" si="19"/>
        <v>0.74229297229700775</v>
      </c>
      <c r="W40" s="63">
        <f t="shared" si="20"/>
        <v>0.70258853996697679</v>
      </c>
      <c r="Y40" s="24">
        <f t="shared" si="21"/>
        <v>4.5784063463004031E-2</v>
      </c>
      <c r="Z40" s="24">
        <f t="shared" si="22"/>
        <v>5.2249103790097194E-2</v>
      </c>
      <c r="AA40" s="24">
        <f t="shared" si="23"/>
        <v>5.6606730904898324E-2</v>
      </c>
      <c r="AB40" s="24">
        <f t="shared" si="24"/>
        <v>5.9984183926687112E-2</v>
      </c>
      <c r="AC40" s="24">
        <f t="shared" si="25"/>
        <v>6.3317567258828478E-2</v>
      </c>
      <c r="AD40" s="24">
        <f t="shared" si="26"/>
        <v>6.6863438029960018E-2</v>
      </c>
      <c r="AE40" s="24">
        <f t="shared" si="27"/>
        <v>7.0617913737046262E-2</v>
      </c>
      <c r="AF40" s="24">
        <f t="shared" si="28"/>
        <v>7.4502818093366924E-2</v>
      </c>
      <c r="AG40" s="24">
        <f t="shared" si="29"/>
        <v>7.8440855594637149E-2</v>
      </c>
      <c r="AH40" s="24">
        <f t="shared" si="30"/>
        <v>8.2378423429496889E-2</v>
      </c>
      <c r="AL40" s="23">
        <f t="shared" si="0"/>
        <v>-10741.490974447239</v>
      </c>
      <c r="AM40" s="23">
        <f t="shared" si="1"/>
        <v>-7551.7629972283266</v>
      </c>
      <c r="AN40" s="23">
        <f t="shared" si="2"/>
        <v>-5265.3925107272871</v>
      </c>
      <c r="AO40" s="23">
        <f t="shared" si="3"/>
        <v>-3544.9421390670727</v>
      </c>
      <c r="AP40" s="23">
        <f t="shared" si="4"/>
        <v>-1944.5462109427419</v>
      </c>
      <c r="AQ40" s="23">
        <f t="shared" si="5"/>
        <v>-358.05483904290816</v>
      </c>
      <c r="AR40" s="23">
        <f t="shared" si="6"/>
        <v>1192.819125632717</v>
      </c>
      <c r="AS40" s="23">
        <f t="shared" si="7"/>
        <v>2655.62204467335</v>
      </c>
      <c r="AT40" s="23">
        <f t="shared" si="8"/>
        <v>3985.5519309332194</v>
      </c>
      <c r="AU40" s="23">
        <f t="shared" si="9"/>
        <v>5155.614172317155</v>
      </c>
      <c r="AW40" s="25">
        <f t="shared" si="31"/>
        <v>-16416.582397899132</v>
      </c>
      <c r="AX40" s="25">
        <f t="shared" si="32"/>
        <v>-5675.091423451895</v>
      </c>
      <c r="AY40" s="25">
        <f t="shared" si="33"/>
        <v>1876.6715737764298</v>
      </c>
      <c r="AZ40" s="25">
        <f t="shared" si="34"/>
        <v>7142.0640845037178</v>
      </c>
      <c r="BA40" s="25">
        <f t="shared" si="35"/>
        <v>10687.006223570792</v>
      </c>
      <c r="BB40" s="25">
        <f t="shared" si="36"/>
        <v>12631.552434513533</v>
      </c>
      <c r="BC40" s="25">
        <f t="shared" si="37"/>
        <v>12989.607273556441</v>
      </c>
      <c r="BD40" s="25">
        <f t="shared" si="38"/>
        <v>11796.788147923724</v>
      </c>
      <c r="BE40" s="25">
        <f t="shared" si="39"/>
        <v>9141.1661032503744</v>
      </c>
      <c r="BF40" s="25">
        <f t="shared" si="40"/>
        <v>5155.614172317155</v>
      </c>
      <c r="BG40" s="25">
        <f t="shared" si="41"/>
        <v>0</v>
      </c>
      <c r="BI40" s="25">
        <f t="shared" si="54"/>
        <v>0</v>
      </c>
      <c r="BJ40" s="25">
        <f t="shared" si="55"/>
        <v>0</v>
      </c>
      <c r="BK40" s="25">
        <f t="shared" si="56"/>
        <v>1876.6715737764298</v>
      </c>
      <c r="BL40" s="25">
        <f t="shared" si="57"/>
        <v>7142.0640845037178</v>
      </c>
      <c r="BM40" s="25">
        <f t="shared" si="58"/>
        <v>10687.006223570792</v>
      </c>
      <c r="BN40" s="25">
        <f t="shared" si="59"/>
        <v>12631.552434513533</v>
      </c>
      <c r="BO40" s="25">
        <f t="shared" si="60"/>
        <v>12989.607273556441</v>
      </c>
      <c r="BP40" s="25">
        <f t="shared" si="61"/>
        <v>11796.788147923724</v>
      </c>
      <c r="BQ40" s="25">
        <f t="shared" si="62"/>
        <v>9141.1661032503744</v>
      </c>
      <c r="BR40" s="25">
        <f t="shared" si="63"/>
        <v>5155.614172317155</v>
      </c>
      <c r="BS40" s="25">
        <f t="shared" si="64"/>
        <v>0</v>
      </c>
    </row>
    <row r="41" spans="1:71" x14ac:dyDescent="0.2">
      <c r="A41" s="29">
        <f t="shared" si="53"/>
        <v>0.33000000000000013</v>
      </c>
      <c r="B41" s="30">
        <v>3.8671382379413866E-2</v>
      </c>
      <c r="C41" s="30">
        <v>4.4385753326464147E-2</v>
      </c>
      <c r="D41" s="30">
        <v>5.0843653336967824E-2</v>
      </c>
      <c r="E41" s="30">
        <v>5.5215408494048768E-2</v>
      </c>
      <c r="F41" s="30">
        <v>5.8624450191990175E-2</v>
      </c>
      <c r="G41" s="30">
        <v>6.1993304531795239E-2</v>
      </c>
      <c r="H41" s="30">
        <v>6.5573330618066E-2</v>
      </c>
      <c r="I41" s="30">
        <v>6.9359169369825599E-2</v>
      </c>
      <c r="J41" s="30">
        <v>7.3272670300788476E-2</v>
      </c>
      <c r="K41" s="30">
        <v>7.7237019146770988E-2</v>
      </c>
      <c r="L41" s="30">
        <v>8.1198968670616642E-2</v>
      </c>
      <c r="N41" s="52">
        <f t="shared" si="11"/>
        <v>0.98085004425304523</v>
      </c>
      <c r="O41" s="55">
        <f t="shared" si="12"/>
        <v>0.97805157353362093</v>
      </c>
      <c r="P41" s="54">
        <f t="shared" si="13"/>
        <v>0.95042725504655912</v>
      </c>
      <c r="Q41" s="54">
        <f t="shared" si="14"/>
        <v>0.92051396001113628</v>
      </c>
      <c r="R41" s="56">
        <f t="shared" si="15"/>
        <v>0.8893638026204882</v>
      </c>
      <c r="S41" s="59">
        <f t="shared" si="16"/>
        <v>0.85642951285506808</v>
      </c>
      <c r="T41" s="1">
        <f t="shared" si="17"/>
        <v>0.82142060557479257</v>
      </c>
      <c r="U41" s="1">
        <f t="shared" si="18"/>
        <v>0.78446204211282322</v>
      </c>
      <c r="V41" s="66">
        <f t="shared" si="19"/>
        <v>0.74595449357913091</v>
      </c>
      <c r="W41" s="63">
        <f t="shared" si="20"/>
        <v>0.70640497556846915</v>
      </c>
      <c r="Y41" s="24">
        <f t="shared" si="21"/>
        <v>4.4385753326464147E-2</v>
      </c>
      <c r="Z41" s="24">
        <f t="shared" si="22"/>
        <v>5.0843653336967824E-2</v>
      </c>
      <c r="AA41" s="24">
        <f t="shared" si="23"/>
        <v>5.5215408494048768E-2</v>
      </c>
      <c r="AB41" s="24">
        <f t="shared" si="24"/>
        <v>5.8624450191990175E-2</v>
      </c>
      <c r="AC41" s="24">
        <f t="shared" si="25"/>
        <v>6.1993304531795232E-2</v>
      </c>
      <c r="AD41" s="24">
        <f t="shared" si="26"/>
        <v>6.5573330618066E-2</v>
      </c>
      <c r="AE41" s="24">
        <f t="shared" si="27"/>
        <v>6.9359169369825599E-2</v>
      </c>
      <c r="AF41" s="24">
        <f t="shared" si="28"/>
        <v>7.3272670300788476E-2</v>
      </c>
      <c r="AG41" s="24">
        <f t="shared" si="29"/>
        <v>7.7237019146770988E-2</v>
      </c>
      <c r="AH41" s="24">
        <f t="shared" si="30"/>
        <v>8.1198968670616642E-2</v>
      </c>
      <c r="AL41" s="23">
        <f t="shared" si="0"/>
        <v>-11435.051275595866</v>
      </c>
      <c r="AM41" s="23">
        <f t="shared" si="1"/>
        <v>-8244.3462103539187</v>
      </c>
      <c r="AN41" s="23">
        <f t="shared" si="2"/>
        <v>-5933.9733317099317</v>
      </c>
      <c r="AO41" s="23">
        <f t="shared" si="3"/>
        <v>-4178.1750429473905</v>
      </c>
      <c r="AP41" s="23">
        <f t="shared" si="4"/>
        <v>-2538.717205369041</v>
      </c>
      <c r="AQ41" s="23">
        <f t="shared" si="5"/>
        <v>-911.68523127443711</v>
      </c>
      <c r="AR41" s="23">
        <f t="shared" si="6"/>
        <v>680.46538521541481</v>
      </c>
      <c r="AS41" s="23">
        <f t="shared" si="7"/>
        <v>2184.845352303857</v>
      </c>
      <c r="AT41" s="23">
        <f t="shared" si="8"/>
        <v>3556.2079274245584</v>
      </c>
      <c r="AU41" s="23">
        <f t="shared" si="9"/>
        <v>4767.032927434273</v>
      </c>
      <c r="AW41" s="25">
        <f t="shared" si="31"/>
        <v>-22053.396704872477</v>
      </c>
      <c r="AX41" s="25">
        <f t="shared" si="32"/>
        <v>-10618.345429276615</v>
      </c>
      <c r="AY41" s="25">
        <f t="shared" si="33"/>
        <v>-2373.9992189226959</v>
      </c>
      <c r="AZ41" s="25">
        <f t="shared" si="34"/>
        <v>3559.9741127872353</v>
      </c>
      <c r="BA41" s="25">
        <f t="shared" si="35"/>
        <v>7738.1491557346253</v>
      </c>
      <c r="BB41" s="25">
        <f t="shared" si="36"/>
        <v>10276.866361103666</v>
      </c>
      <c r="BC41" s="25">
        <f t="shared" si="37"/>
        <v>11188.551592378102</v>
      </c>
      <c r="BD41" s="25">
        <f t="shared" si="38"/>
        <v>10508.086207162689</v>
      </c>
      <c r="BE41" s="25">
        <f t="shared" si="39"/>
        <v>8323.2408548588319</v>
      </c>
      <c r="BF41" s="25">
        <f t="shared" si="40"/>
        <v>4767.032927434273</v>
      </c>
      <c r="BG41" s="25">
        <f t="shared" si="41"/>
        <v>0</v>
      </c>
      <c r="BI41" s="25">
        <f t="shared" si="54"/>
        <v>0</v>
      </c>
      <c r="BJ41" s="25">
        <f t="shared" si="55"/>
        <v>0</v>
      </c>
      <c r="BK41" s="25">
        <f t="shared" si="56"/>
        <v>0</v>
      </c>
      <c r="BL41" s="25">
        <f t="shared" si="57"/>
        <v>3559.9741127872353</v>
      </c>
      <c r="BM41" s="25">
        <f t="shared" si="58"/>
        <v>7738.1491557346253</v>
      </c>
      <c r="BN41" s="25">
        <f t="shared" si="59"/>
        <v>10276.866361103666</v>
      </c>
      <c r="BO41" s="25">
        <f t="shared" si="60"/>
        <v>11188.551592378102</v>
      </c>
      <c r="BP41" s="25">
        <f t="shared" si="61"/>
        <v>10508.086207162689</v>
      </c>
      <c r="BQ41" s="25">
        <f t="shared" si="62"/>
        <v>8323.2408548588319</v>
      </c>
      <c r="BR41" s="25">
        <f t="shared" si="63"/>
        <v>4767.032927434273</v>
      </c>
      <c r="BS41" s="25">
        <f t="shared" si="64"/>
        <v>0</v>
      </c>
    </row>
    <row r="42" spans="1:71" x14ac:dyDescent="0.2">
      <c r="A42" s="29">
        <f t="shared" si="53"/>
        <v>0.34000000000000014</v>
      </c>
      <c r="B42" s="30">
        <v>3.8677795990240835E-2</v>
      </c>
      <c r="C42" s="30">
        <v>4.4301894262845441E-2</v>
      </c>
      <c r="D42" s="30">
        <v>5.0626099667929934E-2</v>
      </c>
      <c r="E42" s="30">
        <v>5.4899258749864441E-2</v>
      </c>
      <c r="F42" s="30">
        <v>5.8240240324026998E-2</v>
      </c>
      <c r="G42" s="30">
        <v>6.1557600352264256E-2</v>
      </c>
      <c r="H42" s="30">
        <v>6.5097014901703193E-2</v>
      </c>
      <c r="I42" s="30">
        <v>6.8851118918631771E-2</v>
      </c>
      <c r="J42" s="30">
        <v>7.2741237383631099E-2</v>
      </c>
      <c r="K42" s="30">
        <v>7.6690475316939399E-2</v>
      </c>
      <c r="L42" s="30">
        <v>8.0645379197443745E-2</v>
      </c>
      <c r="N42" s="52">
        <f t="shared" si="11"/>
        <v>0.98084689886285681</v>
      </c>
      <c r="O42" s="55">
        <f t="shared" si="12"/>
        <v>0.97809258363794582</v>
      </c>
      <c r="P42" s="54">
        <f t="shared" si="13"/>
        <v>0.95063404647634964</v>
      </c>
      <c r="Q42" s="54">
        <f t="shared" si="14"/>
        <v>0.92095059391368939</v>
      </c>
      <c r="R42" s="56">
        <f t="shared" si="15"/>
        <v>0.89004746995693707</v>
      </c>
      <c r="S42" s="59">
        <f t="shared" si="16"/>
        <v>0.85736289590696324</v>
      </c>
      <c r="T42" s="1">
        <f t="shared" si="17"/>
        <v>0.82259521123216583</v>
      </c>
      <c r="U42" s="1">
        <f t="shared" si="18"/>
        <v>0.78585819507873911</v>
      </c>
      <c r="V42" s="66">
        <f t="shared" si="19"/>
        <v>0.74754187924973581</v>
      </c>
      <c r="W42" s="63">
        <f t="shared" si="20"/>
        <v>0.70814447956419402</v>
      </c>
      <c r="Y42" s="24">
        <f t="shared" si="21"/>
        <v>4.4301894262845441E-2</v>
      </c>
      <c r="Z42" s="24">
        <f t="shared" si="22"/>
        <v>5.0626099667929934E-2</v>
      </c>
      <c r="AA42" s="24">
        <f t="shared" si="23"/>
        <v>5.4899258749864434E-2</v>
      </c>
      <c r="AB42" s="24">
        <f t="shared" si="24"/>
        <v>5.8240240324026998E-2</v>
      </c>
      <c r="AC42" s="24">
        <f t="shared" si="25"/>
        <v>6.155760035226425E-2</v>
      </c>
      <c r="AD42" s="24">
        <f t="shared" si="26"/>
        <v>6.5097014901703193E-2</v>
      </c>
      <c r="AE42" s="24">
        <f t="shared" si="27"/>
        <v>6.8851118918631771E-2</v>
      </c>
      <c r="AF42" s="24">
        <f t="shared" si="28"/>
        <v>7.2741237383631099E-2</v>
      </c>
      <c r="AG42" s="24">
        <f t="shared" si="29"/>
        <v>7.6690475316939399E-2</v>
      </c>
      <c r="AH42" s="24">
        <f t="shared" si="30"/>
        <v>8.0645379197443745E-2</v>
      </c>
      <c r="AL42" s="23">
        <f t="shared" si="0"/>
        <v>-11476.141056916304</v>
      </c>
      <c r="AM42" s="23">
        <f t="shared" si="1"/>
        <v>-8351.0857142924197</v>
      </c>
      <c r="AN42" s="23">
        <f t="shared" si="2"/>
        <v>-6085.5357851198996</v>
      </c>
      <c r="AO42" s="23">
        <f t="shared" si="3"/>
        <v>-4357.0760593350124</v>
      </c>
      <c r="AP42" s="23">
        <f t="shared" si="4"/>
        <v>-2734.5674568029735</v>
      </c>
      <c r="AQ42" s="23">
        <f t="shared" si="5"/>
        <v>-1116.866545960424</v>
      </c>
      <c r="AR42" s="23">
        <f t="shared" si="6"/>
        <v>472.47849522822003</v>
      </c>
      <c r="AS42" s="23">
        <f t="shared" si="7"/>
        <v>1979.9183927896688</v>
      </c>
      <c r="AT42" s="23">
        <f t="shared" si="8"/>
        <v>3359.493310890919</v>
      </c>
      <c r="AU42" s="23">
        <f t="shared" si="9"/>
        <v>4582.760958130857</v>
      </c>
      <c r="AW42" s="25">
        <f t="shared" si="31"/>
        <v>-23726.621461387367</v>
      </c>
      <c r="AX42" s="25">
        <f t="shared" si="32"/>
        <v>-12250.480404471062</v>
      </c>
      <c r="AY42" s="25">
        <f t="shared" si="33"/>
        <v>-3899.3946901786439</v>
      </c>
      <c r="AZ42" s="25">
        <f t="shared" si="34"/>
        <v>2186.1410949412548</v>
      </c>
      <c r="BA42" s="25">
        <f t="shared" si="35"/>
        <v>6543.217154276268</v>
      </c>
      <c r="BB42" s="25">
        <f t="shared" si="36"/>
        <v>9277.7846110792416</v>
      </c>
      <c r="BC42" s="25">
        <f t="shared" si="37"/>
        <v>10394.651157039665</v>
      </c>
      <c r="BD42" s="25">
        <f t="shared" si="38"/>
        <v>9922.1726618114444</v>
      </c>
      <c r="BE42" s="25">
        <f t="shared" si="39"/>
        <v>7942.2542690217761</v>
      </c>
      <c r="BF42" s="25">
        <f t="shared" si="40"/>
        <v>4582.760958130857</v>
      </c>
      <c r="BG42" s="25">
        <f t="shared" si="41"/>
        <v>0</v>
      </c>
      <c r="BI42" s="25">
        <f t="shared" si="54"/>
        <v>0</v>
      </c>
      <c r="BJ42" s="25">
        <f t="shared" si="55"/>
        <v>0</v>
      </c>
      <c r="BK42" s="25">
        <f t="shared" si="56"/>
        <v>0</v>
      </c>
      <c r="BL42" s="25">
        <f t="shared" si="57"/>
        <v>2186.1410949412548</v>
      </c>
      <c r="BM42" s="25">
        <f t="shared" si="58"/>
        <v>6543.217154276268</v>
      </c>
      <c r="BN42" s="25">
        <f t="shared" si="59"/>
        <v>9277.7846110792416</v>
      </c>
      <c r="BO42" s="25">
        <f t="shared" si="60"/>
        <v>10394.651157039665</v>
      </c>
      <c r="BP42" s="25">
        <f t="shared" si="61"/>
        <v>9922.1726618114444</v>
      </c>
      <c r="BQ42" s="25">
        <f t="shared" si="62"/>
        <v>7942.2542690217761</v>
      </c>
      <c r="BR42" s="25">
        <f t="shared" si="63"/>
        <v>4582.760958130857</v>
      </c>
      <c r="BS42" s="25">
        <f t="shared" si="64"/>
        <v>0</v>
      </c>
    </row>
    <row r="43" spans="1:71" x14ac:dyDescent="0.2">
      <c r="A43" s="29">
        <f t="shared" si="53"/>
        <v>0.35000000000000014</v>
      </c>
      <c r="B43" s="30">
        <v>3.9528515401320956E-2</v>
      </c>
      <c r="C43" s="30">
        <v>4.5020296920079847E-2</v>
      </c>
      <c r="D43" s="30">
        <v>5.117420056198934E-2</v>
      </c>
      <c r="E43" s="30">
        <v>5.5315787985689049E-2</v>
      </c>
      <c r="F43" s="30">
        <v>5.8559033590273105E-2</v>
      </c>
      <c r="G43" s="30">
        <v>6.1798545254291515E-2</v>
      </c>
      <c r="H43" s="30">
        <v>6.5274245862517274E-2</v>
      </c>
      <c r="I43" s="30">
        <v>6.8976650331121436E-2</v>
      </c>
      <c r="J43" s="30">
        <v>7.2826424297729175E-2</v>
      </c>
      <c r="K43" s="30">
        <v>7.674644586945932E-2</v>
      </c>
      <c r="L43" s="30">
        <v>8.0682909148761611E-2</v>
      </c>
      <c r="N43" s="52">
        <f t="shared" si="11"/>
        <v>0.98042977483494276</v>
      </c>
      <c r="O43" s="55">
        <f t="shared" si="12"/>
        <v>0.97774131457432645</v>
      </c>
      <c r="P43" s="54">
        <f t="shared" si="13"/>
        <v>0.95011314587163676</v>
      </c>
      <c r="Q43" s="54">
        <f t="shared" si="14"/>
        <v>0.92037536936011188</v>
      </c>
      <c r="R43" s="56">
        <f t="shared" si="15"/>
        <v>0.88948016854790102</v>
      </c>
      <c r="S43" s="59">
        <f t="shared" si="16"/>
        <v>0.85684660837124593</v>
      </c>
      <c r="T43" s="1">
        <f t="shared" si="17"/>
        <v>0.82215795946534964</v>
      </c>
      <c r="U43" s="1">
        <f t="shared" si="18"/>
        <v>0.78551299630519211</v>
      </c>
      <c r="V43" s="66">
        <f t="shared" si="19"/>
        <v>0.74728719949955469</v>
      </c>
      <c r="W43" s="63">
        <f t="shared" si="20"/>
        <v>0.70796614345363751</v>
      </c>
      <c r="Y43" s="24">
        <f t="shared" si="21"/>
        <v>4.5020296920079847E-2</v>
      </c>
      <c r="Z43" s="24">
        <f t="shared" si="22"/>
        <v>5.117420056198934E-2</v>
      </c>
      <c r="AA43" s="24">
        <f t="shared" si="23"/>
        <v>5.5315787985689056E-2</v>
      </c>
      <c r="AB43" s="24">
        <f t="shared" si="24"/>
        <v>5.8559033590273105E-2</v>
      </c>
      <c r="AC43" s="24">
        <f t="shared" si="25"/>
        <v>6.1798545254291515E-2</v>
      </c>
      <c r="AD43" s="24">
        <f t="shared" si="26"/>
        <v>6.5274245862517274E-2</v>
      </c>
      <c r="AE43" s="24">
        <f t="shared" si="27"/>
        <v>6.8976650331121436E-2</v>
      </c>
      <c r="AF43" s="24">
        <f t="shared" si="28"/>
        <v>7.2826424297729175E-2</v>
      </c>
      <c r="AG43" s="24">
        <f t="shared" si="29"/>
        <v>7.674644586945932E-2</v>
      </c>
      <c r="AH43" s="24">
        <f t="shared" si="30"/>
        <v>8.0682909148761611E-2</v>
      </c>
      <c r="AL43" s="23">
        <f t="shared" si="0"/>
        <v>-11119.08892924598</v>
      </c>
      <c r="AM43" s="23">
        <f t="shared" si="1"/>
        <v>-8080.1360875573437</v>
      </c>
      <c r="AN43" s="23">
        <f t="shared" si="2"/>
        <v>-5884.3262601417118</v>
      </c>
      <c r="AO43" s="23">
        <f t="shared" si="3"/>
        <v>-4207.6499001605389</v>
      </c>
      <c r="AP43" s="23">
        <f t="shared" si="4"/>
        <v>-2625.6666330927437</v>
      </c>
      <c r="AQ43" s="23">
        <f t="shared" si="5"/>
        <v>-1040.2641164546383</v>
      </c>
      <c r="AR43" s="23">
        <f t="shared" si="6"/>
        <v>523.83067351822137</v>
      </c>
      <c r="AS43" s="23">
        <f t="shared" si="7"/>
        <v>2012.5064010965689</v>
      </c>
      <c r="AT43" s="23">
        <f t="shared" si="8"/>
        <v>3379.261805153591</v>
      </c>
      <c r="AU43" s="23">
        <f t="shared" si="9"/>
        <v>4594.8918224437211</v>
      </c>
      <c r="AW43" s="25">
        <f t="shared" si="31"/>
        <v>-22446.64122444086</v>
      </c>
      <c r="AX43" s="25">
        <f t="shared" si="32"/>
        <v>-11327.55229519487</v>
      </c>
      <c r="AY43" s="25">
        <f t="shared" si="33"/>
        <v>-3247.4162076375305</v>
      </c>
      <c r="AZ43" s="25">
        <f t="shared" si="34"/>
        <v>2636.9100525041813</v>
      </c>
      <c r="BA43" s="25">
        <f t="shared" si="35"/>
        <v>6844.5599526647202</v>
      </c>
      <c r="BB43" s="25">
        <f t="shared" si="36"/>
        <v>9470.2265857574639</v>
      </c>
      <c r="BC43" s="25">
        <f t="shared" si="37"/>
        <v>10510.490702212102</v>
      </c>
      <c r="BD43" s="25">
        <f t="shared" si="38"/>
        <v>9986.660028693881</v>
      </c>
      <c r="BE43" s="25">
        <f t="shared" si="39"/>
        <v>7974.1536275973122</v>
      </c>
      <c r="BF43" s="25">
        <f t="shared" si="40"/>
        <v>4594.8918224437211</v>
      </c>
      <c r="BG43" s="25">
        <f t="shared" si="41"/>
        <v>0</v>
      </c>
      <c r="BI43" s="25">
        <f t="shared" si="54"/>
        <v>0</v>
      </c>
      <c r="BJ43" s="25">
        <f t="shared" si="55"/>
        <v>0</v>
      </c>
      <c r="BK43" s="25">
        <f t="shared" si="56"/>
        <v>0</v>
      </c>
      <c r="BL43" s="25">
        <f t="shared" si="57"/>
        <v>2636.9100525041813</v>
      </c>
      <c r="BM43" s="25">
        <f t="shared" si="58"/>
        <v>6844.5599526647202</v>
      </c>
      <c r="BN43" s="25">
        <f t="shared" si="59"/>
        <v>9470.2265857574639</v>
      </c>
      <c r="BO43" s="25">
        <f t="shared" si="60"/>
        <v>10510.490702212102</v>
      </c>
      <c r="BP43" s="25">
        <f t="shared" si="61"/>
        <v>9986.660028693881</v>
      </c>
      <c r="BQ43" s="25">
        <f t="shared" si="62"/>
        <v>7974.1536275973122</v>
      </c>
      <c r="BR43" s="25">
        <f t="shared" si="63"/>
        <v>4594.8918224437211</v>
      </c>
      <c r="BS43" s="25">
        <f t="shared" si="64"/>
        <v>0</v>
      </c>
    </row>
    <row r="44" spans="1:71" x14ac:dyDescent="0.2">
      <c r="A44" s="29">
        <f t="shared" si="53"/>
        <v>0.36000000000000015</v>
      </c>
      <c r="B44" s="30">
        <v>3.8911837759331866E-2</v>
      </c>
      <c r="C44" s="30">
        <v>4.4374494123128147E-2</v>
      </c>
      <c r="D44" s="30">
        <v>5.0454896515847933E-2</v>
      </c>
      <c r="E44" s="30">
        <v>5.4553950118157508E-2</v>
      </c>
      <c r="F44" s="30">
        <v>5.7780814437895081E-2</v>
      </c>
      <c r="G44" s="30">
        <v>6.1016573766701082E-2</v>
      </c>
      <c r="H44" s="30">
        <v>6.4495731068407516E-2</v>
      </c>
      <c r="I44" s="30">
        <v>6.8206971041180009E-2</v>
      </c>
      <c r="J44" s="30">
        <v>7.2070569226652725E-2</v>
      </c>
      <c r="K44" s="30">
        <v>7.6009434907926998E-2</v>
      </c>
      <c r="L44" s="30">
        <v>7.9969668012691078E-2</v>
      </c>
      <c r="N44" s="52">
        <f t="shared" si="11"/>
        <v>0.9807321260066898</v>
      </c>
      <c r="O44" s="55">
        <f t="shared" si="12"/>
        <v>0.97805707958988908</v>
      </c>
      <c r="P44" s="54">
        <f t="shared" si="13"/>
        <v>0.95079681195416677</v>
      </c>
      <c r="Q44" s="54">
        <f t="shared" si="14"/>
        <v>0.92142773575810089</v>
      </c>
      <c r="R44" s="56">
        <f t="shared" si="15"/>
        <v>0.89086566749566898</v>
      </c>
      <c r="S44" s="59">
        <f t="shared" si="16"/>
        <v>0.85852332080635718</v>
      </c>
      <c r="T44" s="1">
        <f t="shared" si="17"/>
        <v>0.824080389955965</v>
      </c>
      <c r="U44" s="1">
        <f t="shared" si="18"/>
        <v>0.78763192488913414</v>
      </c>
      <c r="V44" s="66">
        <f t="shared" si="19"/>
        <v>0.74954998172387433</v>
      </c>
      <c r="W44" s="63">
        <f t="shared" si="20"/>
        <v>0.71031804603482251</v>
      </c>
      <c r="Y44" s="24">
        <f t="shared" si="21"/>
        <v>4.4374494123128147E-2</v>
      </c>
      <c r="Z44" s="24">
        <f t="shared" si="22"/>
        <v>5.0454896515847933E-2</v>
      </c>
      <c r="AA44" s="24">
        <f t="shared" si="23"/>
        <v>5.4553950118157508E-2</v>
      </c>
      <c r="AB44" s="24">
        <f t="shared" si="24"/>
        <v>5.7780814437895081E-2</v>
      </c>
      <c r="AC44" s="24">
        <f t="shared" si="25"/>
        <v>6.1016573766701089E-2</v>
      </c>
      <c r="AD44" s="24">
        <f t="shared" si="26"/>
        <v>6.4495731068407516E-2</v>
      </c>
      <c r="AE44" s="24">
        <f t="shared" si="27"/>
        <v>6.8206971041180009E-2</v>
      </c>
      <c r="AF44" s="24">
        <f t="shared" si="28"/>
        <v>7.2070569226652725E-2</v>
      </c>
      <c r="AG44" s="24">
        <f t="shared" si="29"/>
        <v>7.6009434907926998E-2</v>
      </c>
      <c r="AH44" s="24">
        <f t="shared" si="30"/>
        <v>7.9969668012691078E-2</v>
      </c>
      <c r="AL44" s="23">
        <f t="shared" si="0"/>
        <v>-11439.197679650661</v>
      </c>
      <c r="AM44" s="23">
        <f t="shared" si="1"/>
        <v>-8434.5058034373214</v>
      </c>
      <c r="AN44" s="23">
        <f t="shared" si="2"/>
        <v>-6250.7369103022165</v>
      </c>
      <c r="AO44" s="23">
        <f t="shared" si="3"/>
        <v>-4570.9973248683855</v>
      </c>
      <c r="AP44" s="23">
        <f t="shared" si="4"/>
        <v>-2978.0722788330318</v>
      </c>
      <c r="AQ44" s="23">
        <f t="shared" si="5"/>
        <v>-1376.4863009279536</v>
      </c>
      <c r="AR44" s="23">
        <f t="shared" si="6"/>
        <v>207.91672840725451</v>
      </c>
      <c r="AS44" s="23">
        <f t="shared" si="7"/>
        <v>1720.2673634713121</v>
      </c>
      <c r="AT44" s="23">
        <f t="shared" si="8"/>
        <v>3113.2809180799495</v>
      </c>
      <c r="AU44" s="23">
        <f t="shared" si="9"/>
        <v>4356.8422814773885</v>
      </c>
      <c r="AW44" s="25">
        <f t="shared" si="31"/>
        <v>-25651.689006583667</v>
      </c>
      <c r="AX44" s="25">
        <f t="shared" si="32"/>
        <v>-14212.491326933006</v>
      </c>
      <c r="AY44" s="25">
        <f t="shared" si="33"/>
        <v>-5777.985523495684</v>
      </c>
      <c r="AZ44" s="25">
        <f t="shared" si="34"/>
        <v>472.75138680653254</v>
      </c>
      <c r="BA44" s="25">
        <f t="shared" si="35"/>
        <v>5043.7487116749189</v>
      </c>
      <c r="BB44" s="25">
        <f t="shared" si="36"/>
        <v>8021.8209905079511</v>
      </c>
      <c r="BC44" s="25">
        <f t="shared" si="37"/>
        <v>9398.3072914359036</v>
      </c>
      <c r="BD44" s="25">
        <f t="shared" si="38"/>
        <v>9190.3905630286499</v>
      </c>
      <c r="BE44" s="25">
        <f t="shared" si="39"/>
        <v>7470.123199557338</v>
      </c>
      <c r="BF44" s="25">
        <f t="shared" si="40"/>
        <v>4356.8422814773885</v>
      </c>
      <c r="BG44" s="25">
        <f t="shared" si="41"/>
        <v>0</v>
      </c>
      <c r="BI44" s="25">
        <f t="shared" si="54"/>
        <v>0</v>
      </c>
      <c r="BJ44" s="25">
        <f t="shared" si="55"/>
        <v>0</v>
      </c>
      <c r="BK44" s="25">
        <f t="shared" si="56"/>
        <v>0</v>
      </c>
      <c r="BL44" s="25">
        <f t="shared" si="57"/>
        <v>472.75138680653254</v>
      </c>
      <c r="BM44" s="25">
        <f t="shared" si="58"/>
        <v>5043.7487116749189</v>
      </c>
      <c r="BN44" s="25">
        <f t="shared" si="59"/>
        <v>8021.8209905079511</v>
      </c>
      <c r="BO44" s="25">
        <f t="shared" si="60"/>
        <v>9398.3072914359036</v>
      </c>
      <c r="BP44" s="25">
        <f t="shared" si="61"/>
        <v>9190.3905630286499</v>
      </c>
      <c r="BQ44" s="25">
        <f t="shared" si="62"/>
        <v>7470.123199557338</v>
      </c>
      <c r="BR44" s="25">
        <f t="shared" si="63"/>
        <v>4356.8422814773885</v>
      </c>
      <c r="BS44" s="25">
        <f t="shared" si="64"/>
        <v>0</v>
      </c>
    </row>
    <row r="45" spans="1:71" x14ac:dyDescent="0.2">
      <c r="A45" s="29">
        <f t="shared" si="53"/>
        <v>0.37000000000000016</v>
      </c>
      <c r="B45" s="30">
        <v>3.8698958447892118E-2</v>
      </c>
      <c r="C45" s="30">
        <v>4.4171879092660189E-2</v>
      </c>
      <c r="D45" s="30">
        <v>5.0216669171843337E-2</v>
      </c>
      <c r="E45" s="30">
        <v>5.4308071663859425E-2</v>
      </c>
      <c r="F45" s="30">
        <v>5.7550354455368227E-2</v>
      </c>
      <c r="G45" s="30">
        <v>6.081133776841053E-2</v>
      </c>
      <c r="H45" s="30">
        <v>6.432027388392661E-2</v>
      </c>
      <c r="I45" s="30">
        <v>6.8064143528507523E-2</v>
      </c>
      <c r="J45" s="30">
        <v>7.1962938017226474E-2</v>
      </c>
      <c r="K45" s="30">
        <v>7.5939692746142942E-2</v>
      </c>
      <c r="L45" s="30">
        <v>7.9940508525215406E-2</v>
      </c>
      <c r="N45" s="52">
        <f t="shared" si="11"/>
        <v>0.98083652035228586</v>
      </c>
      <c r="O45" s="55">
        <f t="shared" si="12"/>
        <v>0.97815616914155268</v>
      </c>
      <c r="P45" s="54">
        <f t="shared" si="13"/>
        <v>0.9510233447354467</v>
      </c>
      <c r="Q45" s="54">
        <f t="shared" si="14"/>
        <v>0.92176763727621625</v>
      </c>
      <c r="R45" s="56">
        <f t="shared" si="15"/>
        <v>0.89127637991350406</v>
      </c>
      <c r="S45" s="59">
        <f t="shared" si="16"/>
        <v>0.85896393356069245</v>
      </c>
      <c r="T45" s="1">
        <f t="shared" si="17"/>
        <v>0.82451427661376697</v>
      </c>
      <c r="U45" s="1">
        <f t="shared" si="18"/>
        <v>0.78802575759925564</v>
      </c>
      <c r="V45" s="66">
        <f t="shared" si="19"/>
        <v>0.74987275108323537</v>
      </c>
      <c r="W45" s="63">
        <f t="shared" si="20"/>
        <v>0.71054100704238465</v>
      </c>
      <c r="Y45" s="24">
        <f t="shared" si="21"/>
        <v>4.4171879092660189E-2</v>
      </c>
      <c r="Z45" s="24">
        <f t="shared" si="22"/>
        <v>5.0216669171843337E-2</v>
      </c>
      <c r="AA45" s="24">
        <f t="shared" si="23"/>
        <v>5.4308071663859425E-2</v>
      </c>
      <c r="AB45" s="24">
        <f t="shared" si="24"/>
        <v>5.7550354455368227E-2</v>
      </c>
      <c r="AC45" s="24">
        <f t="shared" si="25"/>
        <v>6.0811337768410537E-2</v>
      </c>
      <c r="AD45" s="24">
        <f t="shared" si="26"/>
        <v>6.432027388392661E-2</v>
      </c>
      <c r="AE45" s="24">
        <f t="shared" si="27"/>
        <v>6.8064143528507523E-2</v>
      </c>
      <c r="AF45" s="24">
        <f t="shared" si="28"/>
        <v>7.1962938017226474E-2</v>
      </c>
      <c r="AG45" s="24">
        <f t="shared" si="29"/>
        <v>7.5939692746142942E-2</v>
      </c>
      <c r="AH45" s="24">
        <f t="shared" si="30"/>
        <v>7.9940508525215406E-2</v>
      </c>
      <c r="AL45" s="23">
        <f t="shared" si="0"/>
        <v>-11539.781439442948</v>
      </c>
      <c r="AM45" s="23">
        <f t="shared" si="1"/>
        <v>-8551.8720986446715</v>
      </c>
      <c r="AN45" s="23">
        <f t="shared" si="2"/>
        <v>-6369.144259142734</v>
      </c>
      <c r="AO45" s="23">
        <f t="shared" si="3"/>
        <v>-4678.89877722046</v>
      </c>
      <c r="AP45" s="23">
        <f t="shared" si="4"/>
        <v>-3070.906246986076</v>
      </c>
      <c r="AQ45" s="23">
        <f t="shared" si="5"/>
        <v>-1452.5484401736253</v>
      </c>
      <c r="AR45" s="23">
        <f t="shared" si="6"/>
        <v>149.14453702121159</v>
      </c>
      <c r="AS45" s="23">
        <f t="shared" si="7"/>
        <v>1678.7194510569361</v>
      </c>
      <c r="AT45" s="23">
        <f t="shared" si="8"/>
        <v>3088.4726780474512</v>
      </c>
      <c r="AU45" s="23">
        <f t="shared" si="9"/>
        <v>4347.8503404630228</v>
      </c>
      <c r="AW45" s="25">
        <f t="shared" si="31"/>
        <v>-26398.964255021885</v>
      </c>
      <c r="AX45" s="25">
        <f t="shared" si="32"/>
        <v>-14859.182815578943</v>
      </c>
      <c r="AY45" s="25">
        <f t="shared" si="33"/>
        <v>-6307.3107169342711</v>
      </c>
      <c r="AZ45" s="25">
        <f t="shared" si="34"/>
        <v>61.83354220846013</v>
      </c>
      <c r="BA45" s="25">
        <f t="shared" si="35"/>
        <v>4740.7323194289202</v>
      </c>
      <c r="BB45" s="25">
        <f t="shared" si="36"/>
        <v>7811.6385664149966</v>
      </c>
      <c r="BC45" s="25">
        <f t="shared" si="37"/>
        <v>9264.1870065886214</v>
      </c>
      <c r="BD45" s="25">
        <f t="shared" si="38"/>
        <v>9115.0424695674101</v>
      </c>
      <c r="BE45" s="25">
        <f t="shared" si="39"/>
        <v>7436.323018510474</v>
      </c>
      <c r="BF45" s="25">
        <f t="shared" si="40"/>
        <v>4347.8503404630228</v>
      </c>
      <c r="BG45" s="25">
        <f t="shared" si="41"/>
        <v>0</v>
      </c>
      <c r="BI45" s="25">
        <f t="shared" si="54"/>
        <v>0</v>
      </c>
      <c r="BJ45" s="25">
        <f t="shared" si="55"/>
        <v>0</v>
      </c>
      <c r="BK45" s="25">
        <f t="shared" si="56"/>
        <v>0</v>
      </c>
      <c r="BL45" s="25">
        <f t="shared" si="57"/>
        <v>61.83354220846013</v>
      </c>
      <c r="BM45" s="25">
        <f t="shared" si="58"/>
        <v>4740.7323194289202</v>
      </c>
      <c r="BN45" s="25">
        <f t="shared" si="59"/>
        <v>7811.6385664149966</v>
      </c>
      <c r="BO45" s="25">
        <f t="shared" si="60"/>
        <v>9264.1870065886214</v>
      </c>
      <c r="BP45" s="25">
        <f t="shared" si="61"/>
        <v>9115.0424695674101</v>
      </c>
      <c r="BQ45" s="25">
        <f t="shared" si="62"/>
        <v>7436.323018510474</v>
      </c>
      <c r="BR45" s="25">
        <f t="shared" si="63"/>
        <v>4347.8503404630228</v>
      </c>
      <c r="BS45" s="25">
        <f t="shared" si="64"/>
        <v>0</v>
      </c>
    </row>
    <row r="46" spans="1:71" x14ac:dyDescent="0.2">
      <c r="A46" s="29">
        <f t="shared" si="53"/>
        <v>0.38000000000000017</v>
      </c>
      <c r="B46" s="30">
        <v>3.9560486557522916E-2</v>
      </c>
      <c r="C46" s="30">
        <v>4.506778208816456E-2</v>
      </c>
      <c r="D46" s="30">
        <v>5.109126147034368E-2</v>
      </c>
      <c r="E46" s="30">
        <v>5.5178515390042059E-2</v>
      </c>
      <c r="F46" s="30">
        <v>5.8429337161963572E-2</v>
      </c>
      <c r="G46" s="30">
        <v>6.1699027704474489E-2</v>
      </c>
      <c r="H46" s="30">
        <v>6.5212244048040657E-2</v>
      </c>
      <c r="I46" s="30">
        <v>6.8954875840769772E-2</v>
      </c>
      <c r="J46" s="30">
        <v>7.2847222876155429E-2</v>
      </c>
      <c r="K46" s="30">
        <v>7.6813028656792473E-2</v>
      </c>
      <c r="L46" s="30">
        <v>8.079897699598973E-2</v>
      </c>
      <c r="N46" s="52">
        <f t="shared" si="11"/>
        <v>0.98041410222347281</v>
      </c>
      <c r="O46" s="55">
        <f t="shared" si="12"/>
        <v>0.97771810074457277</v>
      </c>
      <c r="P46" s="54">
        <f t="shared" si="13"/>
        <v>0.95019195066086959</v>
      </c>
      <c r="Q46" s="54">
        <f t="shared" si="14"/>
        <v>0.92056490234658839</v>
      </c>
      <c r="R46" s="56">
        <f t="shared" si="15"/>
        <v>0.88971092327649692</v>
      </c>
      <c r="S46" s="59">
        <f t="shared" si="16"/>
        <v>0.85705981307974433</v>
      </c>
      <c r="T46" s="1">
        <f t="shared" si="17"/>
        <v>0.82231089954457204</v>
      </c>
      <c r="U46" s="1">
        <f t="shared" si="18"/>
        <v>0.78557286309446561</v>
      </c>
      <c r="V46" s="66">
        <f t="shared" si="19"/>
        <v>0.74722503203987711</v>
      </c>
      <c r="W46" s="63">
        <f t="shared" si="20"/>
        <v>0.70775405261256386</v>
      </c>
      <c r="Y46" s="24">
        <f t="shared" si="21"/>
        <v>4.506778208816456E-2</v>
      </c>
      <c r="Z46" s="24">
        <f t="shared" si="22"/>
        <v>5.109126147034368E-2</v>
      </c>
      <c r="AA46" s="24">
        <f t="shared" si="23"/>
        <v>5.5178515390042059E-2</v>
      </c>
      <c r="AB46" s="24">
        <f t="shared" si="24"/>
        <v>5.8429337161963572E-2</v>
      </c>
      <c r="AC46" s="24">
        <f t="shared" si="25"/>
        <v>6.1699027704474482E-2</v>
      </c>
      <c r="AD46" s="24">
        <f t="shared" si="26"/>
        <v>6.5212244048040657E-2</v>
      </c>
      <c r="AE46" s="24">
        <f t="shared" si="27"/>
        <v>6.8954875840769772E-2</v>
      </c>
      <c r="AF46" s="24">
        <f t="shared" si="28"/>
        <v>7.2847222876155429E-2</v>
      </c>
      <c r="AG46" s="24">
        <f t="shared" si="29"/>
        <v>7.6813028656792473E-2</v>
      </c>
      <c r="AH46" s="24">
        <f t="shared" si="30"/>
        <v>8.079897699598973E-2</v>
      </c>
      <c r="AL46" s="23">
        <f t="shared" si="0"/>
        <v>-11095.633621383811</v>
      </c>
      <c r="AM46" s="23">
        <f t="shared" si="1"/>
        <v>-8120.4897721052603</v>
      </c>
      <c r="AN46" s="23">
        <f t="shared" si="2"/>
        <v>-5950.0319787711096</v>
      </c>
      <c r="AO46" s="23">
        <f t="shared" si="3"/>
        <v>-4268.2133718314117</v>
      </c>
      <c r="AP46" s="23">
        <f t="shared" si="4"/>
        <v>-2670.6187261673681</v>
      </c>
      <c r="AQ46" s="23">
        <f t="shared" si="5"/>
        <v>-1067.0925917556942</v>
      </c>
      <c r="AR46" s="23">
        <f t="shared" si="6"/>
        <v>514.97541756314558</v>
      </c>
      <c r="AS46" s="23">
        <f t="shared" si="7"/>
        <v>2020.8291808966599</v>
      </c>
      <c r="AT46" s="23">
        <f t="shared" si="8"/>
        <v>3403.8568441801485</v>
      </c>
      <c r="AU46" s="23">
        <f t="shared" si="9"/>
        <v>4634.5890401274828</v>
      </c>
      <c r="AW46" s="25">
        <f t="shared" si="31"/>
        <v>-22597.82957924722</v>
      </c>
      <c r="AX46" s="25">
        <f t="shared" si="32"/>
        <v>-11502.195957863409</v>
      </c>
      <c r="AY46" s="25">
        <f t="shared" si="33"/>
        <v>-3381.7061857581448</v>
      </c>
      <c r="AZ46" s="25">
        <f t="shared" si="34"/>
        <v>2568.3257930129625</v>
      </c>
      <c r="BA46" s="25">
        <f t="shared" si="35"/>
        <v>6836.5391648443747</v>
      </c>
      <c r="BB46" s="25">
        <f t="shared" si="36"/>
        <v>9507.1578910117423</v>
      </c>
      <c r="BC46" s="25">
        <f t="shared" si="37"/>
        <v>10574.250482767437</v>
      </c>
      <c r="BD46" s="25">
        <f t="shared" si="38"/>
        <v>10059.275065204292</v>
      </c>
      <c r="BE46" s="25">
        <f t="shared" si="39"/>
        <v>8038.4458843076318</v>
      </c>
      <c r="BF46" s="25">
        <f t="shared" si="40"/>
        <v>4634.5890401274828</v>
      </c>
      <c r="BG46" s="25">
        <f t="shared" si="41"/>
        <v>0</v>
      </c>
      <c r="BI46" s="25">
        <f t="shared" si="54"/>
        <v>0</v>
      </c>
      <c r="BJ46" s="25">
        <f t="shared" si="55"/>
        <v>0</v>
      </c>
      <c r="BK46" s="25">
        <f t="shared" si="56"/>
        <v>0</v>
      </c>
      <c r="BL46" s="25">
        <f t="shared" si="57"/>
        <v>2568.3257930129625</v>
      </c>
      <c r="BM46" s="25">
        <f t="shared" si="58"/>
        <v>6836.5391648443747</v>
      </c>
      <c r="BN46" s="25">
        <f t="shared" si="59"/>
        <v>9507.1578910117423</v>
      </c>
      <c r="BO46" s="25">
        <f t="shared" si="60"/>
        <v>10574.250482767437</v>
      </c>
      <c r="BP46" s="25">
        <f t="shared" si="61"/>
        <v>10059.275065204292</v>
      </c>
      <c r="BQ46" s="25">
        <f t="shared" si="62"/>
        <v>8038.4458843076318</v>
      </c>
      <c r="BR46" s="25">
        <f t="shared" si="63"/>
        <v>4634.5890401274828</v>
      </c>
      <c r="BS46" s="25">
        <f t="shared" si="64"/>
        <v>0</v>
      </c>
    </row>
    <row r="47" spans="1:71" x14ac:dyDescent="0.2">
      <c r="A47" s="29">
        <f t="shared" si="53"/>
        <v>0.39000000000000018</v>
      </c>
      <c r="B47" s="30">
        <v>3.9957890848661665E-2</v>
      </c>
      <c r="C47" s="30">
        <v>4.5467067685452736E-2</v>
      </c>
      <c r="D47" s="30">
        <v>5.1452386866469517E-2</v>
      </c>
      <c r="E47" s="30">
        <v>5.5532005433426609E-2</v>
      </c>
      <c r="F47" s="30">
        <v>5.8800346328196876E-2</v>
      </c>
      <c r="G47" s="30">
        <v>6.209961474029535E-2</v>
      </c>
      <c r="H47" s="30">
        <v>6.5649207626912537E-2</v>
      </c>
      <c r="I47" s="30">
        <v>6.9433216642570128E-2</v>
      </c>
      <c r="J47" s="30">
        <v>7.3371523145503686E-2</v>
      </c>
      <c r="K47" s="30">
        <v>7.7387841336538976E-2</v>
      </c>
      <c r="L47" s="30">
        <v>8.1428700758942055E-2</v>
      </c>
      <c r="N47" s="52">
        <f t="shared" si="11"/>
        <v>0.98021931119115346</v>
      </c>
      <c r="O47" s="55">
        <f t="shared" si="12"/>
        <v>0.9775229258499345</v>
      </c>
      <c r="P47" s="54">
        <f t="shared" si="13"/>
        <v>0.94984887416683739</v>
      </c>
      <c r="Q47" s="54">
        <f t="shared" si="14"/>
        <v>0.92007691594087015</v>
      </c>
      <c r="R47" s="56">
        <f t="shared" si="15"/>
        <v>0.88905098633376445</v>
      </c>
      <c r="S47" s="59">
        <f t="shared" si="16"/>
        <v>0.85620192509984161</v>
      </c>
      <c r="T47" s="1">
        <f t="shared" si="17"/>
        <v>0.82123364603882765</v>
      </c>
      <c r="U47" s="1">
        <f t="shared" si="18"/>
        <v>0.78425876299365849</v>
      </c>
      <c r="V47" s="66">
        <f t="shared" si="19"/>
        <v>0.74565959299162365</v>
      </c>
      <c r="W47" s="63">
        <f t="shared" si="20"/>
        <v>0.70592570127481113</v>
      </c>
      <c r="Y47" s="24">
        <f t="shared" si="21"/>
        <v>4.5467067685452736E-2</v>
      </c>
      <c r="Z47" s="24">
        <f t="shared" si="22"/>
        <v>5.1452386866469517E-2</v>
      </c>
      <c r="AA47" s="24">
        <f t="shared" si="23"/>
        <v>5.5532005433426603E-2</v>
      </c>
      <c r="AB47" s="24">
        <f t="shared" si="24"/>
        <v>5.8800346328196876E-2</v>
      </c>
      <c r="AC47" s="24">
        <f t="shared" si="25"/>
        <v>6.209961474029535E-2</v>
      </c>
      <c r="AD47" s="24">
        <f t="shared" si="26"/>
        <v>6.5649207626912537E-2</v>
      </c>
      <c r="AE47" s="24">
        <f t="shared" si="27"/>
        <v>6.9433216642570128E-2</v>
      </c>
      <c r="AF47" s="24">
        <f t="shared" si="28"/>
        <v>7.3371523145503686E-2</v>
      </c>
      <c r="AG47" s="24">
        <f t="shared" si="29"/>
        <v>7.7387841336538976E-2</v>
      </c>
      <c r="AH47" s="24">
        <f t="shared" si="30"/>
        <v>8.1428700758942055E-2</v>
      </c>
      <c r="AL47" s="23">
        <f t="shared" si="0"/>
        <v>-10897.735387633014</v>
      </c>
      <c r="AM47" s="23">
        <f t="shared" si="1"/>
        <v>-7942.3645597103887</v>
      </c>
      <c r="AN47" s="23">
        <f t="shared" si="2"/>
        <v>-5780.0025991765697</v>
      </c>
      <c r="AO47" s="23">
        <f t="shared" si="3"/>
        <v>-4095.2723306059775</v>
      </c>
      <c r="AP47" s="23">
        <f t="shared" si="4"/>
        <v>-2490.5666634867721</v>
      </c>
      <c r="AQ47" s="23">
        <f t="shared" si="5"/>
        <v>-878.95993933060038</v>
      </c>
      <c r="AR47" s="23">
        <f t="shared" si="6"/>
        <v>710.7155636969843</v>
      </c>
      <c r="AS47" s="23">
        <f t="shared" si="7"/>
        <v>2223.042294090385</v>
      </c>
      <c r="AT47" s="23">
        <f t="shared" si="8"/>
        <v>3611.0330466329096</v>
      </c>
      <c r="AU47" s="23">
        <f t="shared" si="9"/>
        <v>4844.8855333400079</v>
      </c>
      <c r="AW47" s="25">
        <f t="shared" si="31"/>
        <v>-20695.225042183039</v>
      </c>
      <c r="AX47" s="25">
        <f t="shared" si="32"/>
        <v>-9797.4896545500214</v>
      </c>
      <c r="AY47" s="25">
        <f t="shared" si="33"/>
        <v>-1855.1250948396328</v>
      </c>
      <c r="AZ47" s="25">
        <f t="shared" si="34"/>
        <v>3924.877504336936</v>
      </c>
      <c r="BA47" s="25">
        <f t="shared" si="35"/>
        <v>8020.1498349429148</v>
      </c>
      <c r="BB47" s="25">
        <f t="shared" si="36"/>
        <v>10510.716498429687</v>
      </c>
      <c r="BC47" s="25">
        <f t="shared" si="37"/>
        <v>11389.676437760287</v>
      </c>
      <c r="BD47" s="25">
        <f t="shared" si="38"/>
        <v>10678.960874063303</v>
      </c>
      <c r="BE47" s="25">
        <f t="shared" si="39"/>
        <v>8455.9185799729166</v>
      </c>
      <c r="BF47" s="25">
        <f t="shared" si="40"/>
        <v>4844.8855333400079</v>
      </c>
      <c r="BG47" s="25">
        <f t="shared" si="41"/>
        <v>0</v>
      </c>
      <c r="BI47" s="25">
        <f t="shared" si="54"/>
        <v>0</v>
      </c>
      <c r="BJ47" s="25">
        <f t="shared" si="55"/>
        <v>0</v>
      </c>
      <c r="BK47" s="25">
        <f t="shared" si="56"/>
        <v>0</v>
      </c>
      <c r="BL47" s="25">
        <f t="shared" si="57"/>
        <v>3924.877504336936</v>
      </c>
      <c r="BM47" s="25">
        <f t="shared" si="58"/>
        <v>8020.1498349429148</v>
      </c>
      <c r="BN47" s="25">
        <f t="shared" si="59"/>
        <v>10510.716498429687</v>
      </c>
      <c r="BO47" s="25">
        <f t="shared" si="60"/>
        <v>11389.676437760287</v>
      </c>
      <c r="BP47" s="25">
        <f t="shared" si="61"/>
        <v>10678.960874063303</v>
      </c>
      <c r="BQ47" s="25">
        <f t="shared" si="62"/>
        <v>8455.9185799729166</v>
      </c>
      <c r="BR47" s="25">
        <f t="shared" si="63"/>
        <v>4844.8855333400079</v>
      </c>
      <c r="BS47" s="25">
        <f t="shared" si="64"/>
        <v>0</v>
      </c>
    </row>
    <row r="48" spans="1:71" x14ac:dyDescent="0.2">
      <c r="A48" s="29">
        <f t="shared" si="53"/>
        <v>0.40000000000000019</v>
      </c>
      <c r="B48" s="30">
        <v>4.0699056010628183E-2</v>
      </c>
      <c r="C48" s="30">
        <v>4.6161244612470488E-2</v>
      </c>
      <c r="D48" s="30">
        <v>5.2056822246652229E-2</v>
      </c>
      <c r="E48" s="30">
        <v>5.6073306382070587E-2</v>
      </c>
      <c r="F48" s="30">
        <v>5.9299907886668064E-2</v>
      </c>
      <c r="G48" s="30">
        <v>6.2566205740241049E-2</v>
      </c>
      <c r="H48" s="30">
        <v>6.6086718874319522E-2</v>
      </c>
      <c r="I48" s="30">
        <v>6.9844081347026812E-2</v>
      </c>
      <c r="J48" s="30">
        <v>7.3758076670031272E-2</v>
      </c>
      <c r="K48" s="30">
        <v>7.7752700049045179E-2</v>
      </c>
      <c r="L48" s="30">
        <v>8.1774637206225076E-2</v>
      </c>
      <c r="N48" s="52">
        <f t="shared" si="11"/>
        <v>0.97985612628803842</v>
      </c>
      <c r="O48" s="55">
        <f t="shared" si="12"/>
        <v>0.97718369779403447</v>
      </c>
      <c r="P48" s="54">
        <f t="shared" si="13"/>
        <v>0.94927492537641589</v>
      </c>
      <c r="Q48" s="54">
        <f t="shared" si="14"/>
        <v>0.9193301613849717</v>
      </c>
      <c r="R48" s="56">
        <f t="shared" si="15"/>
        <v>0.88816315853967043</v>
      </c>
      <c r="S48" s="59">
        <f t="shared" si="16"/>
        <v>0.85520376709647861</v>
      </c>
      <c r="T48" s="1">
        <f t="shared" si="17"/>
        <v>0.82015645624677247</v>
      </c>
      <c r="U48" s="1">
        <f t="shared" si="18"/>
        <v>0.78313178864027699</v>
      </c>
      <c r="V48" s="66">
        <f t="shared" si="19"/>
        <v>0.74450753451060769</v>
      </c>
      <c r="W48" s="63">
        <f t="shared" si="20"/>
        <v>0.70476761810140698</v>
      </c>
      <c r="Y48" s="24">
        <f t="shared" si="21"/>
        <v>4.6161244612470488E-2</v>
      </c>
      <c r="Z48" s="24">
        <f t="shared" si="22"/>
        <v>5.2056822246652229E-2</v>
      </c>
      <c r="AA48" s="24">
        <f t="shared" si="23"/>
        <v>5.6073306382070587E-2</v>
      </c>
      <c r="AB48" s="24">
        <f t="shared" si="24"/>
        <v>5.9299907886668064E-2</v>
      </c>
      <c r="AC48" s="24">
        <f t="shared" si="25"/>
        <v>6.2566205740241049E-2</v>
      </c>
      <c r="AD48" s="24">
        <f t="shared" si="26"/>
        <v>6.6086718874319522E-2</v>
      </c>
      <c r="AE48" s="24">
        <f t="shared" si="27"/>
        <v>6.9844081347026812E-2</v>
      </c>
      <c r="AF48" s="24">
        <f t="shared" si="28"/>
        <v>7.3758076670031272E-2</v>
      </c>
      <c r="AG48" s="24">
        <f t="shared" si="29"/>
        <v>7.7752700049045179E-2</v>
      </c>
      <c r="AH48" s="24">
        <f t="shared" si="30"/>
        <v>8.1774637206225076E-2</v>
      </c>
      <c r="AL48" s="23">
        <f t="shared" si="0"/>
        <v>-10553.600867601588</v>
      </c>
      <c r="AM48" s="23">
        <f t="shared" si="1"/>
        <v>-7644.2861350110661</v>
      </c>
      <c r="AN48" s="23">
        <f t="shared" si="2"/>
        <v>-5519.5883079195091</v>
      </c>
      <c r="AO48" s="23">
        <f t="shared" si="3"/>
        <v>-3862.3175138939878</v>
      </c>
      <c r="AP48" s="23">
        <f t="shared" si="4"/>
        <v>-2280.8750553164723</v>
      </c>
      <c r="AQ48" s="23">
        <f t="shared" si="5"/>
        <v>-690.85461662798139</v>
      </c>
      <c r="AR48" s="23">
        <f t="shared" si="6"/>
        <v>878.27000746357317</v>
      </c>
      <c r="AS48" s="23">
        <f t="shared" si="7"/>
        <v>2371.2089744071336</v>
      </c>
      <c r="AT48" s="23">
        <f t="shared" si="8"/>
        <v>3741.2739610391359</v>
      </c>
      <c r="AU48" s="23">
        <f t="shared" si="9"/>
        <v>4958.8398188326591</v>
      </c>
      <c r="AW48" s="25">
        <f t="shared" si="31"/>
        <v>-18601.929734628102</v>
      </c>
      <c r="AX48" s="25">
        <f t="shared" si="32"/>
        <v>-8048.3288670265156</v>
      </c>
      <c r="AY48" s="25">
        <f t="shared" si="33"/>
        <v>-404.04273201544675</v>
      </c>
      <c r="AZ48" s="25">
        <f t="shared" si="34"/>
        <v>5115.5455759040615</v>
      </c>
      <c r="BA48" s="25">
        <f t="shared" si="35"/>
        <v>8977.8630897980474</v>
      </c>
      <c r="BB48" s="25">
        <f t="shared" si="36"/>
        <v>11258.738145114521</v>
      </c>
      <c r="BC48" s="25">
        <f t="shared" si="37"/>
        <v>11949.592761742502</v>
      </c>
      <c r="BD48" s="25">
        <f t="shared" si="38"/>
        <v>11071.322754278928</v>
      </c>
      <c r="BE48" s="25">
        <f t="shared" si="39"/>
        <v>8700.1137798717955</v>
      </c>
      <c r="BF48" s="25">
        <f t="shared" si="40"/>
        <v>4958.8398188326591</v>
      </c>
      <c r="BG48" s="25">
        <f t="shared" si="41"/>
        <v>0</v>
      </c>
      <c r="BI48" s="25">
        <f t="shared" si="54"/>
        <v>0</v>
      </c>
      <c r="BJ48" s="25">
        <f t="shared" si="55"/>
        <v>0</v>
      </c>
      <c r="BK48" s="25">
        <f t="shared" si="56"/>
        <v>0</v>
      </c>
      <c r="BL48" s="25">
        <f t="shared" si="57"/>
        <v>5115.5455759040615</v>
      </c>
      <c r="BM48" s="25">
        <f t="shared" si="58"/>
        <v>8977.8630897980474</v>
      </c>
      <c r="BN48" s="25">
        <f t="shared" si="59"/>
        <v>11258.738145114521</v>
      </c>
      <c r="BO48" s="25">
        <f t="shared" si="60"/>
        <v>11949.592761742502</v>
      </c>
      <c r="BP48" s="25">
        <f t="shared" si="61"/>
        <v>11071.322754278928</v>
      </c>
      <c r="BQ48" s="25">
        <f t="shared" si="62"/>
        <v>8700.1137798717955</v>
      </c>
      <c r="BR48" s="25">
        <f t="shared" si="63"/>
        <v>4958.8398188326591</v>
      </c>
      <c r="BS48" s="25">
        <f t="shared" si="64"/>
        <v>0</v>
      </c>
    </row>
    <row r="49" spans="1:71" x14ac:dyDescent="0.2">
      <c r="A49" s="29">
        <f t="shared" si="53"/>
        <v>0.4100000000000002</v>
      </c>
      <c r="B49" s="30">
        <v>4.0439964585978469E-2</v>
      </c>
      <c r="C49" s="30">
        <v>4.5926088217453011E-2</v>
      </c>
      <c r="D49" s="30">
        <v>5.1800799537404178E-2</v>
      </c>
      <c r="E49" s="30">
        <v>5.5819551586021546E-2</v>
      </c>
      <c r="F49" s="30">
        <v>5.9066261468733561E-2</v>
      </c>
      <c r="G49" s="30">
        <v>6.2358103513431191E-2</v>
      </c>
      <c r="H49" s="30">
        <v>6.5904853628701229E-2</v>
      </c>
      <c r="I49" s="30">
        <v>6.9687782065397302E-2</v>
      </c>
      <c r="J49" s="30">
        <v>7.3626648659781732E-2</v>
      </c>
      <c r="K49" s="30">
        <v>7.7645793720065442E-2</v>
      </c>
      <c r="L49" s="30">
        <v>8.1692123394506599E-2</v>
      </c>
      <c r="N49" s="52">
        <f t="shared" si="11"/>
        <v>0.97998307067026691</v>
      </c>
      <c r="O49" s="55">
        <f t="shared" si="12"/>
        <v>0.97729860004672353</v>
      </c>
      <c r="P49" s="54">
        <f t="shared" si="13"/>
        <v>0.94951799242864698</v>
      </c>
      <c r="Q49" s="54">
        <f t="shared" si="14"/>
        <v>0.91968015464650354</v>
      </c>
      <c r="R49" s="56">
        <f t="shared" si="15"/>
        <v>0.88857828780665093</v>
      </c>
      <c r="S49" s="59">
        <f t="shared" si="16"/>
        <v>0.85564880737455407</v>
      </c>
      <c r="T49" s="1">
        <f t="shared" si="17"/>
        <v>0.8206040522049749</v>
      </c>
      <c r="U49" s="1">
        <f t="shared" si="18"/>
        <v>0.78356031611797972</v>
      </c>
      <c r="V49" s="66">
        <f t="shared" si="19"/>
        <v>0.74489903398509105</v>
      </c>
      <c r="W49" s="63">
        <f t="shared" si="20"/>
        <v>0.7051067482037211</v>
      </c>
      <c r="Y49" s="24">
        <f t="shared" si="21"/>
        <v>4.5926088217453011E-2</v>
      </c>
      <c r="Z49" s="24">
        <f t="shared" si="22"/>
        <v>5.1800799537404178E-2</v>
      </c>
      <c r="AA49" s="24">
        <f t="shared" si="23"/>
        <v>5.5819551586021553E-2</v>
      </c>
      <c r="AB49" s="24">
        <f t="shared" si="24"/>
        <v>5.9066261468733561E-2</v>
      </c>
      <c r="AC49" s="24">
        <f t="shared" si="25"/>
        <v>6.2358103513431198E-2</v>
      </c>
      <c r="AD49" s="24">
        <f t="shared" si="26"/>
        <v>6.5904853628701229E-2</v>
      </c>
      <c r="AE49" s="24">
        <f t="shared" si="27"/>
        <v>6.9687782065397302E-2</v>
      </c>
      <c r="AF49" s="24">
        <f t="shared" si="28"/>
        <v>7.3626648659781732E-2</v>
      </c>
      <c r="AG49" s="24">
        <f t="shared" si="29"/>
        <v>7.7645793720065442E-2</v>
      </c>
      <c r="AH49" s="24">
        <f t="shared" si="30"/>
        <v>8.1692123394506599E-2</v>
      </c>
      <c r="AL49" s="23">
        <f t="shared" si="0"/>
        <v>-10670.192772941635</v>
      </c>
      <c r="AM49" s="23">
        <f t="shared" si="1"/>
        <v>-7770.2903069020012</v>
      </c>
      <c r="AN49" s="23">
        <f t="shared" si="2"/>
        <v>-5641.4740010422456</v>
      </c>
      <c r="AO49" s="23">
        <f t="shared" si="3"/>
        <v>-3971.2279029962701</v>
      </c>
      <c r="AP49" s="23">
        <f t="shared" si="4"/>
        <v>-2374.3987011507497</v>
      </c>
      <c r="AQ49" s="23">
        <f t="shared" si="5"/>
        <v>-769.02052135796691</v>
      </c>
      <c r="AR49" s="23">
        <f t="shared" si="6"/>
        <v>814.61940664766223</v>
      </c>
      <c r="AS49" s="23">
        <f t="shared" si="7"/>
        <v>2321.0156065555511</v>
      </c>
      <c r="AT49" s="23">
        <f t="shared" si="8"/>
        <v>3703.4241003016223</v>
      </c>
      <c r="AU49" s="23">
        <f t="shared" si="9"/>
        <v>4932.1354611462457</v>
      </c>
      <c r="AW49" s="25">
        <f t="shared" si="31"/>
        <v>-19425.409631739793</v>
      </c>
      <c r="AX49" s="25">
        <f t="shared" si="32"/>
        <v>-8755.2168587981505</v>
      </c>
      <c r="AY49" s="25">
        <f t="shared" si="33"/>
        <v>-984.92655189615107</v>
      </c>
      <c r="AZ49" s="25">
        <f t="shared" si="34"/>
        <v>4656.5474491460946</v>
      </c>
      <c r="BA49" s="25">
        <f t="shared" si="35"/>
        <v>8627.7753521423656</v>
      </c>
      <c r="BB49" s="25">
        <f t="shared" si="36"/>
        <v>11002.174053293114</v>
      </c>
      <c r="BC49" s="25">
        <f t="shared" si="37"/>
        <v>11771.194574651083</v>
      </c>
      <c r="BD49" s="25">
        <f t="shared" si="38"/>
        <v>10956.575168003419</v>
      </c>
      <c r="BE49" s="25">
        <f t="shared" si="39"/>
        <v>8635.559561447868</v>
      </c>
      <c r="BF49" s="25">
        <f t="shared" si="40"/>
        <v>4932.1354611462457</v>
      </c>
      <c r="BG49" s="25">
        <f t="shared" si="41"/>
        <v>0</v>
      </c>
      <c r="BI49" s="25">
        <f t="shared" si="54"/>
        <v>0</v>
      </c>
      <c r="BJ49" s="25">
        <f t="shared" si="55"/>
        <v>0</v>
      </c>
      <c r="BK49" s="25">
        <f t="shared" si="56"/>
        <v>0</v>
      </c>
      <c r="BL49" s="25">
        <f t="shared" si="57"/>
        <v>4656.5474491460946</v>
      </c>
      <c r="BM49" s="25">
        <f t="shared" si="58"/>
        <v>8627.7753521423656</v>
      </c>
      <c r="BN49" s="25">
        <f t="shared" si="59"/>
        <v>11002.174053293114</v>
      </c>
      <c r="BO49" s="25">
        <f t="shared" si="60"/>
        <v>11771.194574651083</v>
      </c>
      <c r="BP49" s="25">
        <f t="shared" si="61"/>
        <v>10956.575168003419</v>
      </c>
      <c r="BQ49" s="25">
        <f t="shared" si="62"/>
        <v>8635.559561447868</v>
      </c>
      <c r="BR49" s="25">
        <f t="shared" si="63"/>
        <v>4932.1354611462457</v>
      </c>
      <c r="BS49" s="25">
        <f t="shared" si="64"/>
        <v>0</v>
      </c>
    </row>
    <row r="50" spans="1:71" x14ac:dyDescent="0.2">
      <c r="A50" s="29">
        <f t="shared" si="53"/>
        <v>0.42000000000000021</v>
      </c>
      <c r="B50" s="30">
        <v>4.0058441864054606E-2</v>
      </c>
      <c r="C50" s="30">
        <v>4.5588760599001327E-2</v>
      </c>
      <c r="D50" s="30">
        <v>5.1454741166699743E-2</v>
      </c>
      <c r="E50" s="30">
        <v>5.5478798518538798E-2</v>
      </c>
      <c r="F50" s="30">
        <v>5.8739904706228169E-2</v>
      </c>
      <c r="G50" s="30">
        <v>6.2043473564915755E-2</v>
      </c>
      <c r="H50" s="30">
        <v>6.5595096491141758E-2</v>
      </c>
      <c r="I50" s="30">
        <v>6.9375197657710455E-2</v>
      </c>
      <c r="J50" s="30">
        <v>7.3304011527619367E-2</v>
      </c>
      <c r="K50" s="30">
        <v>7.7306711944633205E-2</v>
      </c>
      <c r="L50" s="30">
        <v>8.1330914073039079E-2</v>
      </c>
      <c r="N50" s="52">
        <f t="shared" si="11"/>
        <v>0.98017003140642289</v>
      </c>
      <c r="O50" s="55">
        <f t="shared" si="12"/>
        <v>0.97746344885298142</v>
      </c>
      <c r="P50" s="54">
        <f t="shared" si="13"/>
        <v>0.94984663794004665</v>
      </c>
      <c r="Q50" s="54">
        <f t="shared" si="14"/>
        <v>0.92015035055248806</v>
      </c>
      <c r="R50" s="56">
        <f t="shared" si="15"/>
        <v>0.88915846419702371</v>
      </c>
      <c r="S50" s="59">
        <f t="shared" si="16"/>
        <v>0.85632210398946795</v>
      </c>
      <c r="T50" s="1">
        <f t="shared" si="17"/>
        <v>0.82136697051600416</v>
      </c>
      <c r="U50" s="1">
        <f t="shared" si="18"/>
        <v>0.78441803580512981</v>
      </c>
      <c r="V50" s="66">
        <f t="shared" si="19"/>
        <v>0.74586098292477554</v>
      </c>
      <c r="W50" s="63">
        <f t="shared" si="20"/>
        <v>0.70618346927814901</v>
      </c>
      <c r="Y50" s="24">
        <f t="shared" si="21"/>
        <v>4.5588760599001327E-2</v>
      </c>
      <c r="Z50" s="24">
        <f t="shared" si="22"/>
        <v>5.1454741166699743E-2</v>
      </c>
      <c r="AA50" s="24">
        <f t="shared" si="23"/>
        <v>5.5478798518538798E-2</v>
      </c>
      <c r="AB50" s="24">
        <f t="shared" si="24"/>
        <v>5.8739904706228169E-2</v>
      </c>
      <c r="AC50" s="24">
        <f t="shared" si="25"/>
        <v>6.2043473564915755E-2</v>
      </c>
      <c r="AD50" s="24">
        <f t="shared" si="26"/>
        <v>6.5595096491141758E-2</v>
      </c>
      <c r="AE50" s="24">
        <f t="shared" si="27"/>
        <v>6.9375197657710455E-2</v>
      </c>
      <c r="AF50" s="24">
        <f t="shared" si="28"/>
        <v>7.3304011527619367E-2</v>
      </c>
      <c r="AG50" s="24">
        <f t="shared" si="29"/>
        <v>7.7306711944633205E-2</v>
      </c>
      <c r="AH50" s="24">
        <f t="shared" si="30"/>
        <v>8.1330914073039079E-2</v>
      </c>
      <c r="AL50" s="23">
        <f t="shared" si="0"/>
        <v>-10837.5476387787</v>
      </c>
      <c r="AM50" s="23">
        <f t="shared" si="1"/>
        <v>-7940.730688459359</v>
      </c>
      <c r="AN50" s="23">
        <f t="shared" si="2"/>
        <v>-5805.2581959418094</v>
      </c>
      <c r="AO50" s="23">
        <f t="shared" si="3"/>
        <v>-4123.4068786798816</v>
      </c>
      <c r="AP50" s="23">
        <f t="shared" si="4"/>
        <v>-2515.8269501014229</v>
      </c>
      <c r="AQ50" s="23">
        <f t="shared" si="5"/>
        <v>-902.25159341480889</v>
      </c>
      <c r="AR50" s="23">
        <f t="shared" si="6"/>
        <v>687.00350702771038</v>
      </c>
      <c r="AS50" s="23">
        <f t="shared" si="7"/>
        <v>2197.0150998809431</v>
      </c>
      <c r="AT50" s="23">
        <f t="shared" si="8"/>
        <v>3581.7527010496133</v>
      </c>
      <c r="AU50" s="23">
        <f t="shared" si="9"/>
        <v>4812.1269674819205</v>
      </c>
      <c r="AW50" s="25">
        <f t="shared" si="31"/>
        <v>-20847.123669935794</v>
      </c>
      <c r="AX50" s="25">
        <f t="shared" si="32"/>
        <v>-10009.576031157096</v>
      </c>
      <c r="AY50" s="25">
        <f t="shared" si="33"/>
        <v>-2068.8453426977339</v>
      </c>
      <c r="AZ50" s="25">
        <f t="shared" si="34"/>
        <v>3736.4128532440745</v>
      </c>
      <c r="BA50" s="25">
        <f t="shared" si="35"/>
        <v>7859.8197319239553</v>
      </c>
      <c r="BB50" s="25">
        <f t="shared" si="36"/>
        <v>10375.646682025377</v>
      </c>
      <c r="BC50" s="25">
        <f t="shared" si="37"/>
        <v>11277.898275440188</v>
      </c>
      <c r="BD50" s="25">
        <f t="shared" si="38"/>
        <v>10590.894768412476</v>
      </c>
      <c r="BE50" s="25">
        <f t="shared" si="39"/>
        <v>8393.8796685315338</v>
      </c>
      <c r="BF50" s="25">
        <f t="shared" si="40"/>
        <v>4812.1269674819205</v>
      </c>
      <c r="BG50" s="25">
        <f t="shared" si="41"/>
        <v>0</v>
      </c>
      <c r="BI50" s="25">
        <f t="shared" si="54"/>
        <v>0</v>
      </c>
      <c r="BJ50" s="25">
        <f t="shared" si="55"/>
        <v>0</v>
      </c>
      <c r="BK50" s="25">
        <f t="shared" si="56"/>
        <v>0</v>
      </c>
      <c r="BL50" s="25">
        <f t="shared" si="57"/>
        <v>3736.4128532440745</v>
      </c>
      <c r="BM50" s="25">
        <f t="shared" si="58"/>
        <v>7859.8197319239553</v>
      </c>
      <c r="BN50" s="25">
        <f t="shared" si="59"/>
        <v>10375.646682025377</v>
      </c>
      <c r="BO50" s="25">
        <f t="shared" si="60"/>
        <v>11277.898275440188</v>
      </c>
      <c r="BP50" s="25">
        <f t="shared" si="61"/>
        <v>10590.894768412476</v>
      </c>
      <c r="BQ50" s="25">
        <f t="shared" si="62"/>
        <v>8393.8796685315338</v>
      </c>
      <c r="BR50" s="25">
        <f t="shared" si="63"/>
        <v>4812.1269674819205</v>
      </c>
      <c r="BS50" s="25">
        <f t="shared" si="64"/>
        <v>0</v>
      </c>
    </row>
    <row r="51" spans="1:71" x14ac:dyDescent="0.2">
      <c r="A51" s="29">
        <f t="shared" si="53"/>
        <v>0.43000000000000022</v>
      </c>
      <c r="B51" s="30">
        <v>4.0202510316552635E-2</v>
      </c>
      <c r="C51" s="30">
        <v>4.5738981002037792E-2</v>
      </c>
      <c r="D51" s="30">
        <v>5.1564423513452438E-2</v>
      </c>
      <c r="E51" s="30">
        <v>5.5566568303170923E-2</v>
      </c>
      <c r="F51" s="30">
        <v>5.8819097789488031E-2</v>
      </c>
      <c r="G51" s="30">
        <v>6.2115608563506917E-2</v>
      </c>
      <c r="H51" s="30">
        <v>6.5657366007485493E-2</v>
      </c>
      <c r="I51" s="30">
        <v>6.9423766359358818E-2</v>
      </c>
      <c r="J51" s="30">
        <v>7.3335317616120291E-2</v>
      </c>
      <c r="K51" s="30">
        <v>7.7317816395782335E-2</v>
      </c>
      <c r="L51" s="30">
        <v>8.1319376281449071E-2</v>
      </c>
      <c r="N51" s="52">
        <f t="shared" si="11"/>
        <v>0.98009942815957374</v>
      </c>
      <c r="O51" s="55">
        <f t="shared" si="12"/>
        <v>0.97739003413349312</v>
      </c>
      <c r="P51" s="54">
        <f t="shared" si="13"/>
        <v>0.94974246224496406</v>
      </c>
      <c r="Q51" s="54">
        <f t="shared" si="14"/>
        <v>0.92002921642945423</v>
      </c>
      <c r="R51" s="56">
        <f t="shared" si="15"/>
        <v>0.88901764494865587</v>
      </c>
      <c r="S51" s="59">
        <f t="shared" si="16"/>
        <v>0.8561676909287067</v>
      </c>
      <c r="T51" s="1">
        <f t="shared" si="17"/>
        <v>0.82121354647492739</v>
      </c>
      <c r="U51" s="1">
        <f t="shared" si="18"/>
        <v>0.78428470355863533</v>
      </c>
      <c r="V51" s="66">
        <f t="shared" si="19"/>
        <v>0.74576758881274297</v>
      </c>
      <c r="W51" s="63">
        <f t="shared" si="20"/>
        <v>0.70614818215053965</v>
      </c>
      <c r="Y51" s="24">
        <f t="shared" si="21"/>
        <v>4.5738981002037792E-2</v>
      </c>
      <c r="Z51" s="24">
        <f t="shared" si="22"/>
        <v>5.1564423513452438E-2</v>
      </c>
      <c r="AA51" s="24">
        <f t="shared" si="23"/>
        <v>5.5566568303170923E-2</v>
      </c>
      <c r="AB51" s="24">
        <f t="shared" si="24"/>
        <v>5.8819097789488031E-2</v>
      </c>
      <c r="AC51" s="24">
        <f t="shared" si="25"/>
        <v>6.2115608563506917E-2</v>
      </c>
      <c r="AD51" s="24">
        <f t="shared" si="26"/>
        <v>6.5657366007485493E-2</v>
      </c>
      <c r="AE51" s="24">
        <f t="shared" si="27"/>
        <v>6.9423766359358818E-2</v>
      </c>
      <c r="AF51" s="24">
        <f t="shared" si="28"/>
        <v>7.3335317616120291E-2</v>
      </c>
      <c r="AG51" s="24">
        <f t="shared" si="29"/>
        <v>7.7317816395782335E-2</v>
      </c>
      <c r="AH51" s="24">
        <f t="shared" si="30"/>
        <v>8.1319376281449071E-2</v>
      </c>
      <c r="AL51" s="23">
        <f t="shared" si="0"/>
        <v>-10763.151526980095</v>
      </c>
      <c r="AM51" s="23">
        <f t="shared" si="1"/>
        <v>-7886.5330646573411</v>
      </c>
      <c r="AN51" s="23">
        <f t="shared" si="2"/>
        <v>-5762.9421508337437</v>
      </c>
      <c r="AO51" s="23">
        <f t="shared" si="3"/>
        <v>-4086.4340734440839</v>
      </c>
      <c r="AP51" s="23">
        <f t="shared" si="4"/>
        <v>-2483.3638661867999</v>
      </c>
      <c r="AQ51" s="23">
        <f t="shared" si="5"/>
        <v>-875.43232428008412</v>
      </c>
      <c r="AR51" s="23">
        <f t="shared" si="6"/>
        <v>706.81781875013417</v>
      </c>
      <c r="AS51" s="23">
        <f t="shared" si="7"/>
        <v>2208.9181031940507</v>
      </c>
      <c r="AT51" s="23">
        <f t="shared" si="8"/>
        <v>3585.4448763425203</v>
      </c>
      <c r="AU51" s="23">
        <f t="shared" si="9"/>
        <v>4807.8128160813603</v>
      </c>
      <c r="AW51" s="25">
        <f t="shared" si="31"/>
        <v>-20548.863392014086</v>
      </c>
      <c r="AX51" s="25">
        <f t="shared" si="32"/>
        <v>-9785.7118650339908</v>
      </c>
      <c r="AY51" s="25">
        <f t="shared" si="33"/>
        <v>-1899.178800376646</v>
      </c>
      <c r="AZ51" s="25">
        <f t="shared" si="34"/>
        <v>3863.7633504570981</v>
      </c>
      <c r="BA51" s="25">
        <f t="shared" si="35"/>
        <v>7950.1974239011815</v>
      </c>
      <c r="BB51" s="25">
        <f t="shared" si="36"/>
        <v>10433.561290087982</v>
      </c>
      <c r="BC51" s="25">
        <f t="shared" si="37"/>
        <v>11308.993614368064</v>
      </c>
      <c r="BD51" s="25">
        <f t="shared" si="38"/>
        <v>10602.175795617932</v>
      </c>
      <c r="BE51" s="25">
        <f t="shared" si="39"/>
        <v>8393.2576924238801</v>
      </c>
      <c r="BF51" s="25">
        <f t="shared" si="40"/>
        <v>4807.8128160813603</v>
      </c>
      <c r="BG51" s="25">
        <f t="shared" si="41"/>
        <v>0</v>
      </c>
      <c r="BI51" s="25">
        <f t="shared" si="54"/>
        <v>0</v>
      </c>
      <c r="BJ51" s="25">
        <f t="shared" si="55"/>
        <v>0</v>
      </c>
      <c r="BK51" s="25">
        <f t="shared" si="56"/>
        <v>0</v>
      </c>
      <c r="BL51" s="25">
        <f t="shared" si="57"/>
        <v>3863.7633504570981</v>
      </c>
      <c r="BM51" s="25">
        <f t="shared" si="58"/>
        <v>7950.1974239011815</v>
      </c>
      <c r="BN51" s="25">
        <f t="shared" si="59"/>
        <v>10433.561290087982</v>
      </c>
      <c r="BO51" s="25">
        <f t="shared" si="60"/>
        <v>11308.993614368064</v>
      </c>
      <c r="BP51" s="25">
        <f t="shared" si="61"/>
        <v>10602.175795617932</v>
      </c>
      <c r="BQ51" s="25">
        <f t="shared" si="62"/>
        <v>8393.2576924238801</v>
      </c>
      <c r="BR51" s="25">
        <f t="shared" si="63"/>
        <v>4807.8128160813603</v>
      </c>
      <c r="BS51" s="25">
        <f t="shared" si="64"/>
        <v>0</v>
      </c>
    </row>
    <row r="52" spans="1:71" x14ac:dyDescent="0.2">
      <c r="A52" s="29">
        <f t="shared" si="53"/>
        <v>0.44000000000000022</v>
      </c>
      <c r="B52" s="30">
        <v>3.7784814023466E-2</v>
      </c>
      <c r="C52" s="30">
        <v>4.3313519286989996E-2</v>
      </c>
      <c r="D52" s="30">
        <v>4.9094097467944312E-2</v>
      </c>
      <c r="E52" s="30">
        <v>5.3077743990035633E-2</v>
      </c>
      <c r="F52" s="30">
        <v>5.633228265896624E-2</v>
      </c>
      <c r="G52" s="30">
        <v>5.9639204219424737E-2</v>
      </c>
      <c r="H52" s="30">
        <v>6.3195075574009954E-2</v>
      </c>
      <c r="I52" s="30">
        <v>6.6977852628199969E-2</v>
      </c>
      <c r="J52" s="30">
        <v>7.0907885470824092E-2</v>
      </c>
      <c r="K52" s="30">
        <v>7.4911152580068779E-2</v>
      </c>
      <c r="L52" s="30">
        <v>7.8935825215043928E-2</v>
      </c>
      <c r="N52" s="52">
        <f t="shared" si="11"/>
        <v>0.98128493594180866</v>
      </c>
      <c r="O52" s="55">
        <f t="shared" si="12"/>
        <v>0.97857606420999954</v>
      </c>
      <c r="P52" s="54">
        <f t="shared" si="13"/>
        <v>0.95209153608050823</v>
      </c>
      <c r="Q52" s="54">
        <f t="shared" si="14"/>
        <v>0.92347032228779169</v>
      </c>
      <c r="R52" s="56">
        <f t="shared" si="15"/>
        <v>0.89345030407640869</v>
      </c>
      <c r="S52" s="59">
        <f t="shared" si="16"/>
        <v>0.86148467617539348</v>
      </c>
      <c r="T52" s="1">
        <f t="shared" si="17"/>
        <v>0.82730220563766255</v>
      </c>
      <c r="U52" s="1">
        <f t="shared" si="18"/>
        <v>0.79102754864920044</v>
      </c>
      <c r="V52" s="66">
        <f t="shared" si="19"/>
        <v>0.7530440587910191</v>
      </c>
      <c r="W52" s="63">
        <f t="shared" si="20"/>
        <v>0.71383731937873951</v>
      </c>
      <c r="Y52" s="24">
        <f t="shared" si="21"/>
        <v>4.3313519286989996E-2</v>
      </c>
      <c r="Z52" s="24">
        <f t="shared" si="22"/>
        <v>4.9094097467944312E-2</v>
      </c>
      <c r="AA52" s="24">
        <f t="shared" si="23"/>
        <v>5.307774399003564E-2</v>
      </c>
      <c r="AB52" s="24">
        <f t="shared" si="24"/>
        <v>5.633228265896624E-2</v>
      </c>
      <c r="AC52" s="24">
        <f t="shared" si="25"/>
        <v>5.9639204219424737E-2</v>
      </c>
      <c r="AD52" s="24">
        <f t="shared" si="26"/>
        <v>6.3195075574009954E-2</v>
      </c>
      <c r="AE52" s="24">
        <f t="shared" si="27"/>
        <v>6.6977852628199969E-2</v>
      </c>
      <c r="AF52" s="24">
        <f t="shared" si="28"/>
        <v>7.0907885470824092E-2</v>
      </c>
      <c r="AG52" s="24">
        <f t="shared" si="29"/>
        <v>7.4911152580068779E-2</v>
      </c>
      <c r="AH52" s="24">
        <f t="shared" si="30"/>
        <v>7.8935825215043928E-2</v>
      </c>
      <c r="AL52" s="23">
        <f t="shared" si="0"/>
        <v>-11966.204931935416</v>
      </c>
      <c r="AM52" s="23">
        <f t="shared" si="1"/>
        <v>-9104.8040778989271</v>
      </c>
      <c r="AN52" s="23">
        <f t="shared" si="2"/>
        <v>-6961.9903772882453</v>
      </c>
      <c r="AO52" s="23">
        <f t="shared" si="3"/>
        <v>-5249.9681950814456</v>
      </c>
      <c r="AP52" s="23">
        <f t="shared" si="4"/>
        <v>-3602.0180734483597</v>
      </c>
      <c r="AQ52" s="23">
        <f t="shared" si="5"/>
        <v>-1941.4816854037256</v>
      </c>
      <c r="AR52" s="23">
        <f t="shared" si="6"/>
        <v>-299.69658964894711</v>
      </c>
      <c r="AS52" s="23">
        <f t="shared" si="7"/>
        <v>1267.8263067654941</v>
      </c>
      <c r="AT52" s="23">
        <f t="shared" si="8"/>
        <v>2714.2661931046973</v>
      </c>
      <c r="AU52" s="23">
        <f t="shared" si="9"/>
        <v>4009.4304867497281</v>
      </c>
      <c r="AW52" s="25">
        <f t="shared" si="31"/>
        <v>-31134.640944085157</v>
      </c>
      <c r="AX52" s="25">
        <f t="shared" si="32"/>
        <v>-19168.43601214973</v>
      </c>
      <c r="AY52" s="25">
        <f t="shared" si="33"/>
        <v>-10063.631934250801</v>
      </c>
      <c r="AZ52" s="25">
        <f t="shared" si="34"/>
        <v>-3101.6415569625592</v>
      </c>
      <c r="BA52" s="25">
        <f t="shared" si="35"/>
        <v>2148.3266381188869</v>
      </c>
      <c r="BB52" s="25">
        <f t="shared" si="36"/>
        <v>5750.344711567247</v>
      </c>
      <c r="BC52" s="25">
        <f t="shared" si="37"/>
        <v>7691.8263969709724</v>
      </c>
      <c r="BD52" s="25">
        <f t="shared" si="38"/>
        <v>7991.5229866199188</v>
      </c>
      <c r="BE52" s="25">
        <f t="shared" si="39"/>
        <v>6723.6966798544254</v>
      </c>
      <c r="BF52" s="25">
        <f t="shared" si="40"/>
        <v>4009.4304867497281</v>
      </c>
      <c r="BG52" s="25">
        <f t="shared" si="41"/>
        <v>0</v>
      </c>
      <c r="BI52" s="25">
        <f t="shared" si="54"/>
        <v>0</v>
      </c>
      <c r="BJ52" s="25">
        <f t="shared" si="55"/>
        <v>0</v>
      </c>
      <c r="BK52" s="25">
        <f t="shared" si="56"/>
        <v>0</v>
      </c>
      <c r="BL52" s="25">
        <f t="shared" si="57"/>
        <v>0</v>
      </c>
      <c r="BM52" s="25">
        <f t="shared" si="58"/>
        <v>2148.3266381188869</v>
      </c>
      <c r="BN52" s="25">
        <f t="shared" si="59"/>
        <v>5750.344711567247</v>
      </c>
      <c r="BO52" s="25">
        <f t="shared" si="60"/>
        <v>7691.8263969709724</v>
      </c>
      <c r="BP52" s="25">
        <f t="shared" si="61"/>
        <v>7991.5229866199188</v>
      </c>
      <c r="BQ52" s="25">
        <f t="shared" si="62"/>
        <v>6723.6966798544254</v>
      </c>
      <c r="BR52" s="25">
        <f t="shared" si="63"/>
        <v>4009.4304867497281</v>
      </c>
      <c r="BS52" s="25">
        <f t="shared" si="64"/>
        <v>0</v>
      </c>
    </row>
    <row r="53" spans="1:71" x14ac:dyDescent="0.2">
      <c r="A53" s="29">
        <f t="shared" si="53"/>
        <v>0.45000000000000023</v>
      </c>
      <c r="B53" s="30">
        <v>3.9325910380014428E-2</v>
      </c>
      <c r="C53" s="30">
        <v>4.4794142565847954E-2</v>
      </c>
      <c r="D53" s="30">
        <v>5.0470983337719579E-2</v>
      </c>
      <c r="E53" s="30">
        <v>5.4370210438592623E-2</v>
      </c>
      <c r="F53" s="30">
        <v>5.7554167936503177E-2</v>
      </c>
      <c r="G53" s="30">
        <v>6.0792892696663173E-2</v>
      </c>
      <c r="H53" s="30">
        <v>6.4278822124559196E-2</v>
      </c>
      <c r="I53" s="30">
        <v>6.7989001261301002E-2</v>
      </c>
      <c r="J53" s="30">
        <v>7.1844132902523297E-2</v>
      </c>
      <c r="K53" s="30">
        <v>7.5770878722506027E-2</v>
      </c>
      <c r="L53" s="30">
        <v>7.9717969170658501E-2</v>
      </c>
      <c r="N53" s="52">
        <f t="shared" si="11"/>
        <v>0.98052909986350512</v>
      </c>
      <c r="O53" s="55">
        <f t="shared" si="12"/>
        <v>0.97785188105328302</v>
      </c>
      <c r="P53" s="54">
        <f t="shared" si="13"/>
        <v>0.95078151677824241</v>
      </c>
      <c r="Q53" s="54">
        <f t="shared" si="14"/>
        <v>0.92168172501278689</v>
      </c>
      <c r="R53" s="56">
        <f t="shared" si="15"/>
        <v>0.89126958220810537</v>
      </c>
      <c r="S53" s="59">
        <f t="shared" si="16"/>
        <v>0.85900354360240538</v>
      </c>
      <c r="T53" s="1">
        <f t="shared" si="17"/>
        <v>0.82461681569144019</v>
      </c>
      <c r="U53" s="1">
        <f t="shared" si="18"/>
        <v>0.78823303400184486</v>
      </c>
      <c r="V53" s="66">
        <f t="shared" si="19"/>
        <v>0.75022919064303373</v>
      </c>
      <c r="W53" s="63">
        <f t="shared" si="20"/>
        <v>0.71108098390527763</v>
      </c>
      <c r="Y53" s="24">
        <f t="shared" si="21"/>
        <v>4.4794142565847954E-2</v>
      </c>
      <c r="Z53" s="24">
        <f t="shared" si="22"/>
        <v>5.0470983337719579E-2</v>
      </c>
      <c r="AA53" s="24">
        <f t="shared" si="23"/>
        <v>5.4370210438592616E-2</v>
      </c>
      <c r="AB53" s="24">
        <f t="shared" si="24"/>
        <v>5.7554167936503177E-2</v>
      </c>
      <c r="AC53" s="24">
        <f t="shared" si="25"/>
        <v>6.0792892696663173E-2</v>
      </c>
      <c r="AD53" s="24">
        <f t="shared" si="26"/>
        <v>6.4278822124559196E-2</v>
      </c>
      <c r="AE53" s="24">
        <f t="shared" si="27"/>
        <v>6.7989001261301002E-2</v>
      </c>
      <c r="AF53" s="24">
        <f t="shared" si="28"/>
        <v>7.1844132902523297E-2</v>
      </c>
      <c r="AG53" s="24">
        <f t="shared" si="29"/>
        <v>7.5770878722506027E-2</v>
      </c>
      <c r="AH53" s="24">
        <f t="shared" si="30"/>
        <v>7.9717969170658501E-2</v>
      </c>
      <c r="AL53" s="23">
        <f t="shared" si="0"/>
        <v>-11231.090840618372</v>
      </c>
      <c r="AM53" s="23">
        <f t="shared" si="1"/>
        <v>-8424.8709609675334</v>
      </c>
      <c r="AN53" s="23">
        <f t="shared" si="2"/>
        <v>-6337.9845022342997</v>
      </c>
      <c r="AO53" s="23">
        <f t="shared" si="3"/>
        <v>-4676.7052780533486</v>
      </c>
      <c r="AP53" s="23">
        <f t="shared" si="4"/>
        <v>-3079.1025910843496</v>
      </c>
      <c r="AQ53" s="23">
        <f t="shared" si="5"/>
        <v>-1470.4190267110539</v>
      </c>
      <c r="AR53" s="23">
        <f t="shared" si="6"/>
        <v>118.18129653100284</v>
      </c>
      <c r="AS53" s="23">
        <f t="shared" si="7"/>
        <v>1632.3379508595224</v>
      </c>
      <c r="AT53" s="23">
        <f t="shared" si="8"/>
        <v>3026.6161280864521</v>
      </c>
      <c r="AU53" s="23">
        <f t="shared" si="9"/>
        <v>4272.032745224632</v>
      </c>
      <c r="AW53" s="25">
        <f t="shared" si="31"/>
        <v>-26171.005078967348</v>
      </c>
      <c r="AX53" s="25">
        <f t="shared" si="32"/>
        <v>-14939.914238348982</v>
      </c>
      <c r="AY53" s="25">
        <f t="shared" si="33"/>
        <v>-6515.04327738144</v>
      </c>
      <c r="AZ53" s="25">
        <f t="shared" si="34"/>
        <v>-177.0587751471403</v>
      </c>
      <c r="BA53" s="25">
        <f t="shared" si="35"/>
        <v>4499.6465029062056</v>
      </c>
      <c r="BB53" s="25">
        <f t="shared" si="36"/>
        <v>7578.7490939905556</v>
      </c>
      <c r="BC53" s="25">
        <f t="shared" si="37"/>
        <v>9049.1681207016081</v>
      </c>
      <c r="BD53" s="25">
        <f t="shared" si="38"/>
        <v>8930.9868241706063</v>
      </c>
      <c r="BE53" s="25">
        <f t="shared" si="39"/>
        <v>7298.6488733110837</v>
      </c>
      <c r="BF53" s="25">
        <f t="shared" si="40"/>
        <v>4272.032745224632</v>
      </c>
      <c r="BG53" s="25">
        <f t="shared" si="41"/>
        <v>0</v>
      </c>
      <c r="BI53" s="25">
        <f t="shared" si="54"/>
        <v>0</v>
      </c>
      <c r="BJ53" s="25">
        <f t="shared" si="55"/>
        <v>0</v>
      </c>
      <c r="BK53" s="25">
        <f t="shared" si="56"/>
        <v>0</v>
      </c>
      <c r="BL53" s="25">
        <f t="shared" si="57"/>
        <v>0</v>
      </c>
      <c r="BM53" s="25">
        <f t="shared" si="58"/>
        <v>4499.6465029062056</v>
      </c>
      <c r="BN53" s="25">
        <f t="shared" si="59"/>
        <v>7578.7490939905556</v>
      </c>
      <c r="BO53" s="25">
        <f t="shared" si="60"/>
        <v>9049.1681207016081</v>
      </c>
      <c r="BP53" s="25">
        <f t="shared" si="61"/>
        <v>8930.9868241706063</v>
      </c>
      <c r="BQ53" s="25">
        <f t="shared" si="62"/>
        <v>7298.6488733110837</v>
      </c>
      <c r="BR53" s="25">
        <f t="shared" si="63"/>
        <v>4272.032745224632</v>
      </c>
      <c r="BS53" s="25">
        <f t="shared" si="64"/>
        <v>0</v>
      </c>
    </row>
    <row r="54" spans="1:71" x14ac:dyDescent="0.2">
      <c r="A54" s="29">
        <f t="shared" si="53"/>
        <v>0.46000000000000024</v>
      </c>
      <c r="B54" s="30">
        <v>3.9843875328683033E-2</v>
      </c>
      <c r="C54" s="30">
        <v>4.530781996586776E-2</v>
      </c>
      <c r="D54" s="30">
        <v>5.0943799794291651E-2</v>
      </c>
      <c r="E54" s="30">
        <v>5.48264120155681E-2</v>
      </c>
      <c r="F54" s="30">
        <v>5.8011999857762744E-2</v>
      </c>
      <c r="G54" s="30">
        <v>6.1258891174790032E-2</v>
      </c>
      <c r="H54" s="30">
        <v>6.4755056628211113E-2</v>
      </c>
      <c r="I54" s="30">
        <v>6.8476254046722779E-2</v>
      </c>
      <c r="J54" s="30">
        <v>7.2343143923082859E-2</v>
      </c>
      <c r="K54" s="30">
        <v>7.6282667028080786E-2</v>
      </c>
      <c r="L54" s="30">
        <v>8.0243709087268467E-2</v>
      </c>
      <c r="N54" s="52">
        <f t="shared" si="11"/>
        <v>0.9802751928912129</v>
      </c>
      <c r="O54" s="55">
        <f t="shared" si="12"/>
        <v>0.97760076309713617</v>
      </c>
      <c r="P54" s="54">
        <f t="shared" si="13"/>
        <v>0.95033207788992935</v>
      </c>
      <c r="Q54" s="54">
        <f t="shared" si="14"/>
        <v>0.92105123177676629</v>
      </c>
      <c r="R54" s="56">
        <f t="shared" si="15"/>
        <v>0.89045385240187969</v>
      </c>
      <c r="S54" s="59">
        <f t="shared" si="16"/>
        <v>0.85800339044277607</v>
      </c>
      <c r="T54" s="1">
        <f t="shared" si="17"/>
        <v>0.82343952395234588</v>
      </c>
      <c r="U54" s="1">
        <f t="shared" si="18"/>
        <v>0.78688993897941706</v>
      </c>
      <c r="V54" s="66">
        <f t="shared" si="19"/>
        <v>0.74873319364140434</v>
      </c>
      <c r="W54" s="63">
        <f t="shared" si="20"/>
        <v>0.70944521506140523</v>
      </c>
      <c r="Y54" s="24">
        <f t="shared" si="21"/>
        <v>4.530781996586776E-2</v>
      </c>
      <c r="Z54" s="24">
        <f t="shared" si="22"/>
        <v>5.0943799794291651E-2</v>
      </c>
      <c r="AA54" s="24">
        <f t="shared" si="23"/>
        <v>5.48264120155681E-2</v>
      </c>
      <c r="AB54" s="24">
        <f t="shared" si="24"/>
        <v>5.8011999857762744E-2</v>
      </c>
      <c r="AC54" s="24">
        <f t="shared" si="25"/>
        <v>6.1258891174790032E-2</v>
      </c>
      <c r="AD54" s="24">
        <f t="shared" si="26"/>
        <v>6.4755056628211113E-2</v>
      </c>
      <c r="AE54" s="24">
        <f t="shared" si="27"/>
        <v>6.8476254046722779E-2</v>
      </c>
      <c r="AF54" s="24">
        <f t="shared" si="28"/>
        <v>7.2343143923082859E-2</v>
      </c>
      <c r="AG54" s="24">
        <f t="shared" si="29"/>
        <v>7.6282667028080786E-2</v>
      </c>
      <c r="AH54" s="24">
        <f t="shared" si="30"/>
        <v>8.0243709087268467E-2</v>
      </c>
      <c r="AL54" s="23">
        <f t="shared" si="0"/>
        <v>-10976.409955341771</v>
      </c>
      <c r="AM54" s="23">
        <f t="shared" si="1"/>
        <v>-8191.5945415415226</v>
      </c>
      <c r="AN54" s="23">
        <f t="shared" si="2"/>
        <v>-6118.2170109019507</v>
      </c>
      <c r="AO54" s="23">
        <f t="shared" si="3"/>
        <v>-4462.6627647876085</v>
      </c>
      <c r="AP54" s="23">
        <f t="shared" si="4"/>
        <v>-2868.8093885714602</v>
      </c>
      <c r="AQ54" s="23">
        <f t="shared" si="5"/>
        <v>-1264.4015822006586</v>
      </c>
      <c r="AR54" s="23">
        <f t="shared" si="6"/>
        <v>318.62417189184043</v>
      </c>
      <c r="AS54" s="23">
        <f t="shared" si="7"/>
        <v>1825.8899347178028</v>
      </c>
      <c r="AT54" s="23">
        <f t="shared" si="8"/>
        <v>3212.1773404256955</v>
      </c>
      <c r="AU54" s="23">
        <f t="shared" si="9"/>
        <v>4448.6972063238418</v>
      </c>
      <c r="AW54" s="25">
        <f t="shared" si="31"/>
        <v>-24076.706589985792</v>
      </c>
      <c r="AX54" s="25">
        <f t="shared" si="32"/>
        <v>-13100.296634644019</v>
      </c>
      <c r="AY54" s="25">
        <f t="shared" si="33"/>
        <v>-4908.7020931024972</v>
      </c>
      <c r="AZ54" s="25">
        <f t="shared" si="34"/>
        <v>1209.5149177994535</v>
      </c>
      <c r="BA54" s="25">
        <f t="shared" si="35"/>
        <v>5672.1776825870611</v>
      </c>
      <c r="BB54" s="25">
        <f t="shared" si="36"/>
        <v>8540.9870711585208</v>
      </c>
      <c r="BC54" s="25">
        <f t="shared" si="37"/>
        <v>9805.3886533591794</v>
      </c>
      <c r="BD54" s="25">
        <f t="shared" si="38"/>
        <v>9486.7644814673404</v>
      </c>
      <c r="BE54" s="25">
        <f t="shared" si="39"/>
        <v>7660.8745467495373</v>
      </c>
      <c r="BF54" s="25">
        <f t="shared" si="40"/>
        <v>4448.6972063238418</v>
      </c>
      <c r="BG54" s="25">
        <f t="shared" si="41"/>
        <v>0</v>
      </c>
      <c r="BI54" s="25">
        <f t="shared" si="54"/>
        <v>0</v>
      </c>
      <c r="BJ54" s="25">
        <f t="shared" si="55"/>
        <v>0</v>
      </c>
      <c r="BK54" s="25">
        <f t="shared" si="56"/>
        <v>0</v>
      </c>
      <c r="BL54" s="25">
        <f t="shared" si="57"/>
        <v>1209.5149177994535</v>
      </c>
      <c r="BM54" s="25">
        <f t="shared" si="58"/>
        <v>5672.1776825870611</v>
      </c>
      <c r="BN54" s="25">
        <f t="shared" si="59"/>
        <v>8540.9870711585208</v>
      </c>
      <c r="BO54" s="25">
        <f t="shared" si="60"/>
        <v>9805.3886533591794</v>
      </c>
      <c r="BP54" s="25">
        <f t="shared" si="61"/>
        <v>9486.7644814673404</v>
      </c>
      <c r="BQ54" s="25">
        <f t="shared" si="62"/>
        <v>7660.8745467495373</v>
      </c>
      <c r="BR54" s="25">
        <f t="shared" si="63"/>
        <v>4448.6972063238418</v>
      </c>
      <c r="BS54" s="25">
        <f t="shared" si="64"/>
        <v>0</v>
      </c>
    </row>
    <row r="55" spans="1:71" x14ac:dyDescent="0.2">
      <c r="A55" s="29">
        <f t="shared" si="53"/>
        <v>0.47000000000000025</v>
      </c>
      <c r="B55" s="30">
        <v>3.9900883044266797E-2</v>
      </c>
      <c r="C55" s="30">
        <v>4.541183010842758E-2</v>
      </c>
      <c r="D55" s="30">
        <v>5.1049662746933469E-2</v>
      </c>
      <c r="E55" s="30">
        <v>5.4948915802173016E-2</v>
      </c>
      <c r="F55" s="30">
        <v>5.8160272086912317E-2</v>
      </c>
      <c r="G55" s="30">
        <v>6.1430949877213294E-2</v>
      </c>
      <c r="H55" s="30">
        <v>6.494497126943935E-2</v>
      </c>
      <c r="I55" s="30">
        <v>6.8677286366162563E-2</v>
      </c>
      <c r="J55" s="30">
        <v>7.2548974373349062E-2</v>
      </c>
      <c r="K55" s="30">
        <v>7.6487707269987895E-2</v>
      </c>
      <c r="L55" s="30">
        <v>8.0442978361882383E-2</v>
      </c>
      <c r="N55" s="52">
        <f t="shared" si="11"/>
        <v>0.98024725166473603</v>
      </c>
      <c r="O55" s="55">
        <f t="shared" si="12"/>
        <v>0.97754992422171916</v>
      </c>
      <c r="P55" s="54">
        <f t="shared" si="13"/>
        <v>0.95023147825515475</v>
      </c>
      <c r="Q55" s="54">
        <f t="shared" si="14"/>
        <v>0.92088199893066613</v>
      </c>
      <c r="R55" s="56">
        <f t="shared" si="15"/>
        <v>0.89018983239534855</v>
      </c>
      <c r="S55" s="59">
        <f t="shared" si="16"/>
        <v>0.85763440243287736</v>
      </c>
      <c r="T55" s="1">
        <f t="shared" si="17"/>
        <v>0.82297050790925974</v>
      </c>
      <c r="U55" s="1">
        <f t="shared" si="18"/>
        <v>0.78633646763358178</v>
      </c>
      <c r="V55" s="66">
        <f t="shared" si="19"/>
        <v>0.74811699897795625</v>
      </c>
      <c r="W55" s="63">
        <f t="shared" si="20"/>
        <v>0.70879092527490795</v>
      </c>
      <c r="Y55" s="24">
        <f t="shared" si="21"/>
        <v>4.541183010842758E-2</v>
      </c>
      <c r="Z55" s="24">
        <f t="shared" si="22"/>
        <v>5.1049662746933469E-2</v>
      </c>
      <c r="AA55" s="24">
        <f t="shared" si="23"/>
        <v>5.4948915802173016E-2</v>
      </c>
      <c r="AB55" s="24">
        <f t="shared" si="24"/>
        <v>5.8160272086912317E-2</v>
      </c>
      <c r="AC55" s="24">
        <f t="shared" si="25"/>
        <v>6.1430949877213294E-2</v>
      </c>
      <c r="AD55" s="24">
        <f t="shared" si="26"/>
        <v>6.494497126943935E-2</v>
      </c>
      <c r="AE55" s="24">
        <f t="shared" si="27"/>
        <v>6.8677286366162563E-2</v>
      </c>
      <c r="AF55" s="24">
        <f t="shared" si="28"/>
        <v>7.2548974373349062E-2</v>
      </c>
      <c r="AG55" s="24">
        <f t="shared" si="29"/>
        <v>7.6487707269987895E-2</v>
      </c>
      <c r="AH55" s="24">
        <f t="shared" si="30"/>
        <v>8.0442978361882383E-2</v>
      </c>
      <c r="AL55" s="23">
        <f t="shared" si="0"/>
        <v>-10925.119261577538</v>
      </c>
      <c r="AM55" s="23">
        <f t="shared" si="1"/>
        <v>-8139.4253874940496</v>
      </c>
      <c r="AN55" s="23">
        <f t="shared" si="2"/>
        <v>-6059.3658755476627</v>
      </c>
      <c r="AO55" s="23">
        <f t="shared" si="3"/>
        <v>-4393.572187113341</v>
      </c>
      <c r="AP55" s="23">
        <f t="shared" si="4"/>
        <v>-2791.3763314362968</v>
      </c>
      <c r="AQ55" s="23">
        <f t="shared" si="5"/>
        <v>-1182.4191559971639</v>
      </c>
      <c r="AR55" s="23">
        <f t="shared" si="6"/>
        <v>401.16452442791359</v>
      </c>
      <c r="AS55" s="23">
        <f t="shared" si="7"/>
        <v>1905.5316610714929</v>
      </c>
      <c r="AT55" s="23">
        <f t="shared" si="8"/>
        <v>3286.2308184176641</v>
      </c>
      <c r="AU55" s="23">
        <f t="shared" si="9"/>
        <v>4515.2144974044922</v>
      </c>
      <c r="AW55" s="25">
        <f t="shared" si="31"/>
        <v>-23383.136697844486</v>
      </c>
      <c r="AX55" s="25">
        <f t="shared" si="32"/>
        <v>-12458.017436266946</v>
      </c>
      <c r="AY55" s="25">
        <f t="shared" si="33"/>
        <v>-4318.5920487729027</v>
      </c>
      <c r="AZ55" s="25">
        <f t="shared" si="34"/>
        <v>1740.7738267747604</v>
      </c>
      <c r="BA55" s="25">
        <f t="shared" si="35"/>
        <v>6134.3460138881019</v>
      </c>
      <c r="BB55" s="25">
        <f t="shared" si="36"/>
        <v>8925.7223453243987</v>
      </c>
      <c r="BC55" s="25">
        <f t="shared" si="37"/>
        <v>10108.141501321563</v>
      </c>
      <c r="BD55" s="25">
        <f t="shared" si="38"/>
        <v>9706.9769768936494</v>
      </c>
      <c r="BE55" s="25">
        <f t="shared" si="39"/>
        <v>7801.4453158221568</v>
      </c>
      <c r="BF55" s="25">
        <f t="shared" si="40"/>
        <v>4515.2144974044922</v>
      </c>
      <c r="BG55" s="25">
        <f t="shared" si="41"/>
        <v>0</v>
      </c>
      <c r="BI55" s="25">
        <f t="shared" si="54"/>
        <v>0</v>
      </c>
      <c r="BJ55" s="25">
        <f t="shared" si="55"/>
        <v>0</v>
      </c>
      <c r="BK55" s="25">
        <f t="shared" si="56"/>
        <v>0</v>
      </c>
      <c r="BL55" s="25">
        <f t="shared" si="57"/>
        <v>1740.7738267747604</v>
      </c>
      <c r="BM55" s="25">
        <f t="shared" si="58"/>
        <v>6134.3460138881019</v>
      </c>
      <c r="BN55" s="25">
        <f t="shared" si="59"/>
        <v>8925.7223453243987</v>
      </c>
      <c r="BO55" s="25">
        <f t="shared" si="60"/>
        <v>10108.141501321563</v>
      </c>
      <c r="BP55" s="25">
        <f t="shared" si="61"/>
        <v>9706.9769768936494</v>
      </c>
      <c r="BQ55" s="25">
        <f t="shared" si="62"/>
        <v>7801.4453158221568</v>
      </c>
      <c r="BR55" s="25">
        <f t="shared" si="63"/>
        <v>4515.2144974044922</v>
      </c>
      <c r="BS55" s="25">
        <f t="shared" si="64"/>
        <v>0</v>
      </c>
    </row>
    <row r="56" spans="1:71" x14ac:dyDescent="0.2">
      <c r="A56" s="29">
        <f t="shared" si="53"/>
        <v>0.48000000000000026</v>
      </c>
      <c r="B56" s="30">
        <v>3.9234437156155516E-2</v>
      </c>
      <c r="C56" s="30">
        <v>4.4775531269885233E-2</v>
      </c>
      <c r="D56" s="30">
        <v>5.0407891724779004E-2</v>
      </c>
      <c r="E56" s="30">
        <v>5.4324243160647018E-2</v>
      </c>
      <c r="F56" s="30">
        <v>5.7569063109472726E-2</v>
      </c>
      <c r="G56" s="30">
        <v>6.0878167607486593E-2</v>
      </c>
      <c r="H56" s="30">
        <v>6.4431257120403707E-2</v>
      </c>
      <c r="I56" s="30">
        <v>6.8202062671226055E-2</v>
      </c>
      <c r="J56" s="30">
        <v>7.2111652546795871E-2</v>
      </c>
      <c r="K56" s="30">
        <v>7.6087991579510822E-2</v>
      </c>
      <c r="L56" s="30">
        <v>8.008074249998122E-2</v>
      </c>
      <c r="N56" s="52">
        <f t="shared" si="11"/>
        <v>0.9805739469680006</v>
      </c>
      <c r="O56" s="55">
        <f t="shared" si="12"/>
        <v>0.97786098064100468</v>
      </c>
      <c r="P56" s="54">
        <f t="shared" si="13"/>
        <v>0.95084150501004727</v>
      </c>
      <c r="Q56" s="54">
        <f t="shared" si="14"/>
        <v>0.92174527800382677</v>
      </c>
      <c r="R56" s="56">
        <f t="shared" si="15"/>
        <v>0.89124303137440752</v>
      </c>
      <c r="S56" s="59">
        <f t="shared" si="16"/>
        <v>0.85882043449492063</v>
      </c>
      <c r="T56" s="1">
        <f t="shared" si="17"/>
        <v>0.82423980052084966</v>
      </c>
      <c r="U56" s="1">
        <f t="shared" si="18"/>
        <v>0.7876454559664231</v>
      </c>
      <c r="V56" s="66">
        <f t="shared" si="19"/>
        <v>0.7494268158368288</v>
      </c>
      <c r="W56" s="63">
        <f t="shared" si="20"/>
        <v>0.71006698941574398</v>
      </c>
      <c r="Y56" s="24">
        <f t="shared" si="21"/>
        <v>4.4775531269885233E-2</v>
      </c>
      <c r="Z56" s="24">
        <f t="shared" si="22"/>
        <v>5.0407891724779004E-2</v>
      </c>
      <c r="AA56" s="24">
        <f t="shared" si="23"/>
        <v>5.4324243160647018E-2</v>
      </c>
      <c r="AB56" s="24">
        <f t="shared" si="24"/>
        <v>5.7569063109472726E-2</v>
      </c>
      <c r="AC56" s="24">
        <f t="shared" si="25"/>
        <v>6.0878167607486586E-2</v>
      </c>
      <c r="AD56" s="24">
        <f t="shared" si="26"/>
        <v>6.4431257120403707E-2</v>
      </c>
      <c r="AE56" s="24">
        <f t="shared" si="27"/>
        <v>6.8202062671226055E-2</v>
      </c>
      <c r="AF56" s="24">
        <f t="shared" si="28"/>
        <v>7.2111652546795871E-2</v>
      </c>
      <c r="AG56" s="24">
        <f t="shared" si="29"/>
        <v>7.6087991579510822E-2</v>
      </c>
      <c r="AH56" s="24">
        <f t="shared" si="30"/>
        <v>8.008074249998122E-2</v>
      </c>
      <c r="AL56" s="23">
        <f t="shared" si="0"/>
        <v>-11240.729400378859</v>
      </c>
      <c r="AM56" s="23">
        <f t="shared" si="1"/>
        <v>-8455.7967734659069</v>
      </c>
      <c r="AN56" s="23">
        <f t="shared" si="2"/>
        <v>-6360.2381863854434</v>
      </c>
      <c r="AO56" s="23">
        <f t="shared" si="3"/>
        <v>-4670.1629746128801</v>
      </c>
      <c r="AP56" s="23">
        <f t="shared" si="4"/>
        <v>-3041.0105299080424</v>
      </c>
      <c r="AQ56" s="23">
        <f t="shared" si="5"/>
        <v>-1404.6484408129338</v>
      </c>
      <c r="AR56" s="23">
        <f t="shared" si="6"/>
        <v>205.93411099794105</v>
      </c>
      <c r="AS56" s="23">
        <f t="shared" si="7"/>
        <v>1736.4764619187829</v>
      </c>
      <c r="AT56" s="23">
        <f t="shared" si="8"/>
        <v>3142.2055825726779</v>
      </c>
      <c r="AU56" s="23">
        <f t="shared" si="9"/>
        <v>4394.7375514418409</v>
      </c>
      <c r="AW56" s="25">
        <f t="shared" si="31"/>
        <v>-25693.232598632818</v>
      </c>
      <c r="AX56" s="25">
        <f t="shared" si="32"/>
        <v>-14452.503198253962</v>
      </c>
      <c r="AY56" s="25">
        <f t="shared" si="33"/>
        <v>-5996.706424788058</v>
      </c>
      <c r="AZ56" s="25">
        <f t="shared" si="34"/>
        <v>363.53176159738587</v>
      </c>
      <c r="BA56" s="25">
        <f t="shared" si="35"/>
        <v>5033.6947362102674</v>
      </c>
      <c r="BB56" s="25">
        <f t="shared" si="36"/>
        <v>8074.7052661183088</v>
      </c>
      <c r="BC56" s="25">
        <f t="shared" si="37"/>
        <v>9479.3537069312442</v>
      </c>
      <c r="BD56" s="25">
        <f t="shared" si="38"/>
        <v>9273.419595933301</v>
      </c>
      <c r="BE56" s="25">
        <f t="shared" si="39"/>
        <v>7536.9431340145184</v>
      </c>
      <c r="BF56" s="25">
        <f t="shared" si="40"/>
        <v>4394.7375514418409</v>
      </c>
      <c r="BG56" s="25">
        <f t="shared" si="41"/>
        <v>0</v>
      </c>
      <c r="BI56" s="25">
        <f t="shared" si="54"/>
        <v>0</v>
      </c>
      <c r="BJ56" s="25">
        <f t="shared" si="55"/>
        <v>0</v>
      </c>
      <c r="BK56" s="25">
        <f t="shared" si="56"/>
        <v>0</v>
      </c>
      <c r="BL56" s="25">
        <f t="shared" si="57"/>
        <v>363.53176159738587</v>
      </c>
      <c r="BM56" s="25">
        <f t="shared" si="58"/>
        <v>5033.6947362102674</v>
      </c>
      <c r="BN56" s="25">
        <f t="shared" si="59"/>
        <v>8074.7052661183088</v>
      </c>
      <c r="BO56" s="25">
        <f t="shared" si="60"/>
        <v>9479.3537069312442</v>
      </c>
      <c r="BP56" s="25">
        <f t="shared" si="61"/>
        <v>9273.419595933301</v>
      </c>
      <c r="BQ56" s="25">
        <f t="shared" si="62"/>
        <v>7536.9431340145184</v>
      </c>
      <c r="BR56" s="25">
        <f t="shared" si="63"/>
        <v>4394.7375514418409</v>
      </c>
      <c r="BS56" s="25">
        <f t="shared" si="64"/>
        <v>0</v>
      </c>
    </row>
    <row r="57" spans="1:71" x14ac:dyDescent="0.2">
      <c r="A57" s="29">
        <f t="shared" si="53"/>
        <v>0.49000000000000027</v>
      </c>
      <c r="B57" s="30">
        <v>3.7817036970502094E-2</v>
      </c>
      <c r="C57" s="30">
        <v>4.3324698132116146E-2</v>
      </c>
      <c r="D57" s="30">
        <v>4.8899381953958959E-2</v>
      </c>
      <c r="E57" s="30">
        <v>5.2790255881435919E-2</v>
      </c>
      <c r="F57" s="30">
        <v>5.6035029136304523E-2</v>
      </c>
      <c r="G57" s="30">
        <v>5.9357798036885054E-2</v>
      </c>
      <c r="H57" s="30">
        <v>6.2933544379003531E-2</v>
      </c>
      <c r="I57" s="30">
        <v>6.6734345179038382E-2</v>
      </c>
      <c r="J57" s="30">
        <v>7.0680804789896259E-2</v>
      </c>
      <c r="K57" s="30">
        <v>7.4700719338549063E-2</v>
      </c>
      <c r="L57" s="30">
        <v>7.8743459627788587E-2</v>
      </c>
      <c r="N57" s="52">
        <f t="shared" si="11"/>
        <v>0.98126912612290962</v>
      </c>
      <c r="O57" s="55">
        <f t="shared" si="12"/>
        <v>0.97857059455015272</v>
      </c>
      <c r="P57" s="54">
        <f t="shared" si="13"/>
        <v>0.9522769411233506</v>
      </c>
      <c r="Q57" s="54">
        <f t="shared" si="14"/>
        <v>0.92386863826940391</v>
      </c>
      <c r="R57" s="56">
        <f t="shared" si="15"/>
        <v>0.8939816244980463</v>
      </c>
      <c r="S57" s="59">
        <f t="shared" si="16"/>
        <v>0.86209095719952078</v>
      </c>
      <c r="T57" s="1">
        <f t="shared" si="17"/>
        <v>0.82795155634596729</v>
      </c>
      <c r="U57" s="1">
        <f t="shared" si="18"/>
        <v>0.79170200987401451</v>
      </c>
      <c r="V57" s="66">
        <f t="shared" si="19"/>
        <v>0.7537283765652173</v>
      </c>
      <c r="W57" s="63">
        <f t="shared" si="20"/>
        <v>0.71451360748823178</v>
      </c>
      <c r="Y57" s="24">
        <f t="shared" si="21"/>
        <v>4.3324698132116146E-2</v>
      </c>
      <c r="Z57" s="24">
        <f t="shared" si="22"/>
        <v>4.8899381953958959E-2</v>
      </c>
      <c r="AA57" s="24">
        <f t="shared" si="23"/>
        <v>5.2790255881435912E-2</v>
      </c>
      <c r="AB57" s="24">
        <f t="shared" si="24"/>
        <v>5.6035029136304523E-2</v>
      </c>
      <c r="AC57" s="24">
        <f t="shared" si="25"/>
        <v>5.9357798036885054E-2</v>
      </c>
      <c r="AD57" s="24">
        <f t="shared" si="26"/>
        <v>6.2933544379003531E-2</v>
      </c>
      <c r="AE57" s="24">
        <f t="shared" si="27"/>
        <v>6.6734345179038382E-2</v>
      </c>
      <c r="AF57" s="24">
        <f t="shared" si="28"/>
        <v>7.0680804789896259E-2</v>
      </c>
      <c r="AG57" s="24">
        <f t="shared" si="29"/>
        <v>7.4700719338549063E-2</v>
      </c>
      <c r="AH57" s="24">
        <f t="shared" si="30"/>
        <v>7.8743459627788587E-2</v>
      </c>
      <c r="AL57" s="23">
        <f t="shared" si="0"/>
        <v>-11960.527412500625</v>
      </c>
      <c r="AM57" s="23">
        <f t="shared" si="1"/>
        <v>-9200.0246255881993</v>
      </c>
      <c r="AN57" s="23">
        <f t="shared" si="2"/>
        <v>-7100.2302651437385</v>
      </c>
      <c r="AO57" s="23">
        <f t="shared" si="3"/>
        <v>-5389.5442420378076</v>
      </c>
      <c r="AP57" s="23">
        <f t="shared" si="4"/>
        <v>-3729.9461133480395</v>
      </c>
      <c r="AQ57" s="23">
        <f t="shared" si="5"/>
        <v>-2055.5798674632706</v>
      </c>
      <c r="AR57" s="23">
        <f t="shared" si="6"/>
        <v>-400.7380076970299</v>
      </c>
      <c r="AS57" s="23">
        <f t="shared" si="7"/>
        <v>1179.017189632415</v>
      </c>
      <c r="AT57" s="23">
        <f t="shared" si="8"/>
        <v>2637.4279900550764</v>
      </c>
      <c r="AU57" s="23">
        <f t="shared" si="9"/>
        <v>3944.5050986622368</v>
      </c>
      <c r="AW57" s="25">
        <f t="shared" si="31"/>
        <v>-32075.640255428974</v>
      </c>
      <c r="AX57" s="25">
        <f t="shared" si="32"/>
        <v>-20115.11284292836</v>
      </c>
      <c r="AY57" s="25">
        <f t="shared" si="33"/>
        <v>-10915.088217340159</v>
      </c>
      <c r="AZ57" s="25">
        <f t="shared" si="34"/>
        <v>-3814.857952196418</v>
      </c>
      <c r="BA57" s="25">
        <f t="shared" si="35"/>
        <v>1574.6862898413879</v>
      </c>
      <c r="BB57" s="25">
        <f t="shared" si="36"/>
        <v>5304.6324031894274</v>
      </c>
      <c r="BC57" s="25">
        <f t="shared" si="37"/>
        <v>7360.2122706526989</v>
      </c>
      <c r="BD57" s="25">
        <f t="shared" si="38"/>
        <v>7760.9502783497283</v>
      </c>
      <c r="BE57" s="25">
        <f t="shared" si="39"/>
        <v>6581.9330887173128</v>
      </c>
      <c r="BF57" s="25">
        <f t="shared" si="40"/>
        <v>3944.5050986622368</v>
      </c>
      <c r="BG57" s="25">
        <f t="shared" si="41"/>
        <v>0</v>
      </c>
      <c r="BI57" s="25">
        <f t="shared" si="54"/>
        <v>0</v>
      </c>
      <c r="BJ57" s="25">
        <f t="shared" si="55"/>
        <v>0</v>
      </c>
      <c r="BK57" s="25">
        <f t="shared" si="56"/>
        <v>0</v>
      </c>
      <c r="BL57" s="25">
        <f t="shared" si="57"/>
        <v>0</v>
      </c>
      <c r="BM57" s="25">
        <f t="shared" si="58"/>
        <v>1574.6862898413879</v>
      </c>
      <c r="BN57" s="25">
        <f t="shared" si="59"/>
        <v>5304.6324031894274</v>
      </c>
      <c r="BO57" s="25">
        <f t="shared" si="60"/>
        <v>7360.2122706526989</v>
      </c>
      <c r="BP57" s="25">
        <f t="shared" si="61"/>
        <v>7760.9502783497283</v>
      </c>
      <c r="BQ57" s="25">
        <f t="shared" si="62"/>
        <v>6581.9330887173128</v>
      </c>
      <c r="BR57" s="25">
        <f t="shared" si="63"/>
        <v>3944.5050986622368</v>
      </c>
      <c r="BS57" s="25">
        <f t="shared" si="64"/>
        <v>0</v>
      </c>
    </row>
    <row r="58" spans="1:71" x14ac:dyDescent="0.2">
      <c r="A58" s="29">
        <f t="shared" si="53"/>
        <v>0.50000000000000022</v>
      </c>
      <c r="B58" s="30">
        <v>3.7220434307485777E-2</v>
      </c>
      <c r="C58" s="31">
        <v>4.2604856003510737E-2</v>
      </c>
      <c r="D58" s="30">
        <v>4.8035233250513822E-2</v>
      </c>
      <c r="E58" s="30">
        <v>5.1815953121195045E-2</v>
      </c>
      <c r="F58" s="30">
        <v>5.4977898542948121E-2</v>
      </c>
      <c r="G58" s="30">
        <v>5.8233627181159445E-2</v>
      </c>
      <c r="H58" s="30">
        <v>6.1753504499047124E-2</v>
      </c>
      <c r="I58" s="30">
        <v>6.5508018351835659E-2</v>
      </c>
      <c r="J58" s="30">
        <v>6.9417356107082148E-2</v>
      </c>
      <c r="K58" s="30">
        <v>7.3409183765900748E-2</v>
      </c>
      <c r="L58" s="30">
        <v>7.7432618995836075E-2</v>
      </c>
      <c r="N58" s="52">
        <f t="shared" si="11"/>
        <v>0.98156188367261255</v>
      </c>
      <c r="O58" s="55">
        <f t="shared" si="12"/>
        <v>0.97892286611121326</v>
      </c>
      <c r="P58" s="54">
        <f t="shared" si="13"/>
        <v>0.953100205667606</v>
      </c>
      <c r="Q58" s="54">
        <f t="shared" si="14"/>
        <v>0.92521981701834854</v>
      </c>
      <c r="R58" s="56">
        <f t="shared" si="15"/>
        <v>0.89587373465105902</v>
      </c>
      <c r="S58" s="59">
        <f t="shared" si="16"/>
        <v>0.86451720882692284</v>
      </c>
      <c r="T58" s="1">
        <f t="shared" si="17"/>
        <v>0.83088779816859581</v>
      </c>
      <c r="U58" s="1">
        <f t="shared" si="18"/>
        <v>0.7951074118321334</v>
      </c>
      <c r="V58" s="66">
        <f t="shared" si="19"/>
        <v>0.75754720672736986</v>
      </c>
      <c r="W58" s="63">
        <f t="shared" si="20"/>
        <v>0.71867838726320044</v>
      </c>
      <c r="Y58" s="24">
        <f t="shared" si="21"/>
        <v>4.2604856003510737E-2</v>
      </c>
      <c r="Z58" s="24">
        <f t="shared" si="22"/>
        <v>4.8035233250513822E-2</v>
      </c>
      <c r="AA58" s="24">
        <f t="shared" si="23"/>
        <v>5.1815953121195045E-2</v>
      </c>
      <c r="AB58" s="24">
        <f t="shared" si="24"/>
        <v>5.4977898542948121E-2</v>
      </c>
      <c r="AC58" s="24">
        <f t="shared" si="25"/>
        <v>5.8233627181159445E-2</v>
      </c>
      <c r="AD58" s="24">
        <f t="shared" si="26"/>
        <v>6.1753504499047124E-2</v>
      </c>
      <c r="AE58" s="24">
        <f t="shared" si="27"/>
        <v>6.5508018351835659E-2</v>
      </c>
      <c r="AF58" s="24">
        <f t="shared" si="28"/>
        <v>6.9417356107082148E-2</v>
      </c>
      <c r="AG58" s="24">
        <f t="shared" si="29"/>
        <v>7.3409183765900748E-2</v>
      </c>
      <c r="AH58" s="24">
        <f t="shared" si="30"/>
        <v>7.7432618995836075E-2</v>
      </c>
      <c r="AL58" s="23">
        <f t="shared" si="0"/>
        <v>-12317.380583802544</v>
      </c>
      <c r="AM58" s="23">
        <f t="shared" si="1"/>
        <v>-9626.303966976142</v>
      </c>
      <c r="AN58" s="23">
        <f t="shared" si="2"/>
        <v>-7570.6726523284296</v>
      </c>
      <c r="AO58" s="23">
        <f t="shared" si="3"/>
        <v>-5886.4656592889296</v>
      </c>
      <c r="AP58" s="23">
        <f t="shared" si="4"/>
        <v>-4241.3981075915226</v>
      </c>
      <c r="AQ58" s="23">
        <f t="shared" si="5"/>
        <v>-2571.4474421818804</v>
      </c>
      <c r="AR58" s="23">
        <f t="shared" si="6"/>
        <v>-911.62918091306847</v>
      </c>
      <c r="AS58" s="23">
        <f t="shared" si="7"/>
        <v>681.79987075391159</v>
      </c>
      <c r="AT58" s="23">
        <f t="shared" si="8"/>
        <v>2161.5911648864412</v>
      </c>
      <c r="AU58" s="23">
        <f t="shared" si="9"/>
        <v>3496.4605405136635</v>
      </c>
      <c r="AW58" s="25">
        <f t="shared" si="31"/>
        <v>-36785.446016928508</v>
      </c>
      <c r="AX58" s="25">
        <f t="shared" si="32"/>
        <v>-24468.065433125954</v>
      </c>
      <c r="AY58" s="25">
        <f t="shared" si="33"/>
        <v>-14841.761466149812</v>
      </c>
      <c r="AZ58" s="25">
        <f t="shared" si="34"/>
        <v>-7271.0888138213859</v>
      </c>
      <c r="BA58" s="25">
        <f t="shared" si="35"/>
        <v>-1384.6231545324554</v>
      </c>
      <c r="BB58" s="25">
        <f t="shared" si="36"/>
        <v>2856.7749530590672</v>
      </c>
      <c r="BC58" s="25">
        <f t="shared" si="37"/>
        <v>5428.2223952409477</v>
      </c>
      <c r="BD58" s="25">
        <f t="shared" si="38"/>
        <v>6339.8515761540166</v>
      </c>
      <c r="BE58" s="25">
        <f t="shared" si="39"/>
        <v>5658.0517054001048</v>
      </c>
      <c r="BF58" s="25">
        <f t="shared" si="40"/>
        <v>3496.4605405136635</v>
      </c>
      <c r="BG58" s="25">
        <f t="shared" si="41"/>
        <v>0</v>
      </c>
      <c r="BI58" s="25">
        <f t="shared" si="54"/>
        <v>0</v>
      </c>
      <c r="BJ58" s="25">
        <f t="shared" si="55"/>
        <v>0</v>
      </c>
      <c r="BK58" s="25">
        <f t="shared" si="56"/>
        <v>0</v>
      </c>
      <c r="BL58" s="25">
        <f t="shared" si="57"/>
        <v>0</v>
      </c>
      <c r="BM58" s="25">
        <f t="shared" si="58"/>
        <v>0</v>
      </c>
      <c r="BN58" s="25">
        <f t="shared" si="59"/>
        <v>2856.7749530590672</v>
      </c>
      <c r="BO58" s="25">
        <f t="shared" si="60"/>
        <v>5428.2223952409477</v>
      </c>
      <c r="BP58" s="25">
        <f t="shared" si="61"/>
        <v>6339.8515761540166</v>
      </c>
      <c r="BQ58" s="25">
        <f t="shared" si="62"/>
        <v>5658.0517054001048</v>
      </c>
      <c r="BR58" s="25">
        <f t="shared" si="63"/>
        <v>3496.4605405136635</v>
      </c>
      <c r="BS58" s="25">
        <f t="shared" si="64"/>
        <v>0</v>
      </c>
    </row>
    <row r="59" spans="1:71" x14ac:dyDescent="0.2">
      <c r="A59" s="29">
        <f t="shared" si="53"/>
        <v>0.51000000000000023</v>
      </c>
      <c r="B59" s="30">
        <v>3.8222387067062165E-2</v>
      </c>
      <c r="C59" s="30">
        <v>4.34994863989644E-2</v>
      </c>
      <c r="D59" s="30">
        <v>4.8797224486368966E-2</v>
      </c>
      <c r="E59" s="30">
        <v>5.2474236656459221E-2</v>
      </c>
      <c r="F59" s="30">
        <v>5.5554754840715592E-2</v>
      </c>
      <c r="G59" s="30">
        <v>5.8740206043618987E-2</v>
      </c>
      <c r="H59" s="30">
        <v>6.2196669484830581E-2</v>
      </c>
      <c r="I59" s="30">
        <v>6.5893336847558909E-2</v>
      </c>
      <c r="J59" s="30">
        <v>6.9750253796823244E-2</v>
      </c>
      <c r="K59" s="30">
        <v>7.3695223293314141E-2</v>
      </c>
      <c r="L59" s="30">
        <v>7.7677377174491288E-2</v>
      </c>
      <c r="N59" s="1"/>
      <c r="O59" s="55">
        <f t="shared" si="12"/>
        <v>0.97848507695797005</v>
      </c>
      <c r="P59" s="54">
        <f t="shared" si="13"/>
        <v>0.95237422829332097</v>
      </c>
      <c r="Q59" s="1">
        <f>EXP(-E59*($Q$7-$O$7))</f>
        <v>0.94887876703054841</v>
      </c>
      <c r="R59" s="57">
        <f>EXP(-F59*($R$7-$O$7))</f>
        <v>0.92004551966981118</v>
      </c>
      <c r="S59" s="1">
        <f>EXP(-G59*($S$7-$O$7))</f>
        <v>0.88915792832380203</v>
      </c>
      <c r="T59" s="60">
        <f>EXP(-H59*($T$7-$O$7))</f>
        <v>0.85599420415346217</v>
      </c>
      <c r="U59" s="58">
        <f>EXP(-I59*($U$7-$O$7))</f>
        <v>0.82063240484659006</v>
      </c>
      <c r="V59" s="53">
        <f>EXP(-J59*($V$7-$O$7))</f>
        <v>0.78338900855326665</v>
      </c>
      <c r="W59" s="58">
        <f>EXP(-K59*($W$7-$O$7))</f>
        <v>0.74469473729241698</v>
      </c>
      <c r="Y59" s="24"/>
      <c r="Z59" s="24">
        <f t="shared" si="22"/>
        <v>4.8797224486368966E-2</v>
      </c>
      <c r="AA59" s="24">
        <f t="shared" si="23"/>
        <v>5.2474236656459221E-2</v>
      </c>
      <c r="AB59" s="24">
        <f t="shared" si="24"/>
        <v>5.5554754840715592E-2</v>
      </c>
      <c r="AC59" s="24">
        <f t="shared" si="25"/>
        <v>5.874020604361898E-2</v>
      </c>
      <c r="AD59" s="24">
        <f t="shared" si="26"/>
        <v>6.2196669484830581E-2</v>
      </c>
      <c r="AE59" s="24">
        <f t="shared" si="27"/>
        <v>6.5893336847558909E-2</v>
      </c>
      <c r="AF59" s="24">
        <f t="shared" si="28"/>
        <v>6.9750253796823244E-2</v>
      </c>
      <c r="AG59" s="24">
        <f t="shared" si="29"/>
        <v>7.3695223293314141E-2</v>
      </c>
      <c r="AH59" s="24">
        <f t="shared" si="30"/>
        <v>7.7677377174491288E-2</v>
      </c>
      <c r="AL59" s="23">
        <f t="shared" si="0"/>
        <v>0</v>
      </c>
      <c r="AM59" s="23">
        <f t="shared" si="1"/>
        <v>-9249.2004113095281</v>
      </c>
      <c r="AN59" s="23">
        <f t="shared" si="2"/>
        <v>-7251.4399264942358</v>
      </c>
      <c r="AO59" s="23">
        <f t="shared" si="3"/>
        <v>-5763.3061066101955</v>
      </c>
      <c r="AP59" s="23">
        <f t="shared" si="4"/>
        <v>-4122.7984851517976</v>
      </c>
      <c r="AQ59" s="23">
        <f t="shared" si="5"/>
        <v>-2447.7177504868591</v>
      </c>
      <c r="AR59" s="23">
        <f t="shared" si="6"/>
        <v>-774.26009815203781</v>
      </c>
      <c r="AS59" s="23">
        <f t="shared" si="7"/>
        <v>840.2807161116466</v>
      </c>
      <c r="AT59" s="23">
        <f t="shared" si="8"/>
        <v>2347.368476598197</v>
      </c>
      <c r="AU59" s="23">
        <f t="shared" si="9"/>
        <v>3714.1684119573652</v>
      </c>
      <c r="AW59" s="25"/>
      <c r="AX59" s="25">
        <f t="shared" si="32"/>
        <v>-22706.905173537445</v>
      </c>
      <c r="AY59" s="25">
        <f t="shared" si="33"/>
        <v>-13457.704762227917</v>
      </c>
      <c r="AZ59" s="25">
        <f t="shared" si="34"/>
        <v>-6206.2648357336802</v>
      </c>
      <c r="BA59" s="25">
        <f t="shared" si="35"/>
        <v>-442.95872912348705</v>
      </c>
      <c r="BB59" s="25">
        <f t="shared" si="36"/>
        <v>3679.839756028312</v>
      </c>
      <c r="BC59" s="25">
        <f t="shared" si="37"/>
        <v>6127.5575065151716</v>
      </c>
      <c r="BD59" s="25">
        <f t="shared" si="38"/>
        <v>6901.8176046672088</v>
      </c>
      <c r="BE59" s="25">
        <f t="shared" si="39"/>
        <v>6061.5368885555617</v>
      </c>
      <c r="BF59" s="25">
        <f t="shared" si="40"/>
        <v>3714.1684119573652</v>
      </c>
      <c r="BG59" s="25">
        <f t="shared" si="41"/>
        <v>0</v>
      </c>
      <c r="BI59" s="25"/>
      <c r="BJ59" s="25">
        <f t="shared" si="55"/>
        <v>0</v>
      </c>
      <c r="BK59" s="25">
        <f t="shared" si="56"/>
        <v>0</v>
      </c>
      <c r="BL59" s="25">
        <f t="shared" si="57"/>
        <v>0</v>
      </c>
      <c r="BM59" s="25">
        <f t="shared" si="58"/>
        <v>0</v>
      </c>
      <c r="BN59" s="25">
        <f t="shared" si="59"/>
        <v>3679.839756028312</v>
      </c>
      <c r="BO59" s="25">
        <f t="shared" si="60"/>
        <v>6127.5575065151716</v>
      </c>
      <c r="BP59" s="25">
        <f t="shared" si="61"/>
        <v>6901.8176046672088</v>
      </c>
      <c r="BQ59" s="25">
        <f t="shared" si="62"/>
        <v>6061.5368885555617</v>
      </c>
      <c r="BR59" s="25">
        <f t="shared" si="63"/>
        <v>3714.1684119573652</v>
      </c>
      <c r="BS59" s="25">
        <f t="shared" si="64"/>
        <v>0</v>
      </c>
    </row>
    <row r="60" spans="1:71" x14ac:dyDescent="0.2">
      <c r="A60" s="29">
        <f t="shared" si="53"/>
        <v>0.52000000000000024</v>
      </c>
      <c r="B60" s="30">
        <v>3.9352627719268826E-2</v>
      </c>
      <c r="C60" s="30">
        <v>4.4523122937840366E-2</v>
      </c>
      <c r="D60" s="30">
        <v>4.9692856452670318E-2</v>
      </c>
      <c r="E60" s="30">
        <v>5.327333420223624E-2</v>
      </c>
      <c r="F60" s="30">
        <v>5.6281887870624193E-2</v>
      </c>
      <c r="G60" s="30">
        <v>5.9408791031575328E-2</v>
      </c>
      <c r="H60" s="30">
        <v>6.2815736804443467E-2</v>
      </c>
      <c r="I60" s="30">
        <v>6.6470484131629523E-2</v>
      </c>
      <c r="J60" s="30">
        <v>7.0292782890676017E-2</v>
      </c>
      <c r="K60" s="30">
        <v>7.4210410887875375E-2</v>
      </c>
      <c r="L60" s="30">
        <v>7.8172352243009585E-2</v>
      </c>
      <c r="N60" s="1"/>
      <c r="O60" s="55">
        <f t="shared" si="12"/>
        <v>0.9779843985583162</v>
      </c>
      <c r="P60" s="54">
        <f t="shared" si="13"/>
        <v>0.95152163335321416</v>
      </c>
      <c r="Q60" s="1">
        <f t="shared" ref="Q60:Q108" si="65">EXP(-E60*($Q$7-$O$7))</f>
        <v>0.94812082321242941</v>
      </c>
      <c r="R60" s="57">
        <f t="shared" ref="R60:R108" si="66">EXP(-F60*($R$7-$O$7))</f>
        <v>0.91904257349614926</v>
      </c>
      <c r="S60" s="1">
        <f t="shared" ref="S60:S108" si="67">EXP(-G60*($S$7-$O$7))</f>
        <v>0.88796976760166302</v>
      </c>
      <c r="T60" s="60">
        <f t="shared" ref="T60:T108" si="68">EXP(-H60*($T$7-$O$7))</f>
        <v>0.85467043370255258</v>
      </c>
      <c r="U60" s="58">
        <f t="shared" ref="U60:U108" si="69">EXP(-I60*($U$7-$O$7))</f>
        <v>0.81921275692912976</v>
      </c>
      <c r="V60" s="53">
        <f t="shared" ref="V60:V108" si="70">EXP(-J60*($V$7-$O$7))</f>
        <v>0.78190288031715638</v>
      </c>
      <c r="W60" s="58">
        <f t="shared" ref="W60:W108" si="71">EXP(-K60*($W$7-$O$7))</f>
        <v>0.74316168748987732</v>
      </c>
      <c r="Y60" s="24"/>
      <c r="Z60" s="24">
        <f t="shared" si="22"/>
        <v>4.9692856452670318E-2</v>
      </c>
      <c r="AA60" s="24">
        <f t="shared" si="23"/>
        <v>5.327333420223624E-2</v>
      </c>
      <c r="AB60" s="24">
        <f t="shared" si="24"/>
        <v>5.6281887870624193E-2</v>
      </c>
      <c r="AC60" s="24">
        <f t="shared" si="25"/>
        <v>5.9408791031575328E-2</v>
      </c>
      <c r="AD60" s="24">
        <f t="shared" si="26"/>
        <v>6.2815736804443467E-2</v>
      </c>
      <c r="AE60" s="24">
        <f t="shared" si="27"/>
        <v>6.6470484131629523E-2</v>
      </c>
      <c r="AF60" s="24">
        <f t="shared" si="28"/>
        <v>7.0292782890676017E-2</v>
      </c>
      <c r="AG60" s="24">
        <f t="shared" si="29"/>
        <v>7.4210410887875375E-2</v>
      </c>
      <c r="AH60" s="24">
        <f t="shared" si="30"/>
        <v>7.8172352243009585E-2</v>
      </c>
      <c r="AL60" s="23">
        <f t="shared" si="0"/>
        <v>0</v>
      </c>
      <c r="AM60" s="23">
        <f t="shared" si="1"/>
        <v>-8806.5106678590037</v>
      </c>
      <c r="AN60" s="23">
        <f t="shared" si="2"/>
        <v>-6864.7689116383845</v>
      </c>
      <c r="AO60" s="23">
        <f t="shared" si="3"/>
        <v>-5413.9975190032601</v>
      </c>
      <c r="AP60" s="23">
        <f t="shared" si="4"/>
        <v>-3811.0751681561046</v>
      </c>
      <c r="AQ60" s="23">
        <f t="shared" si="5"/>
        <v>-2169.5903911516189</v>
      </c>
      <c r="AR60" s="23">
        <f t="shared" si="6"/>
        <v>-526.42736735505616</v>
      </c>
      <c r="AS60" s="23">
        <f t="shared" si="7"/>
        <v>1061.050455065189</v>
      </c>
      <c r="AT60" s="23">
        <f t="shared" si="8"/>
        <v>2544.3287329233308</v>
      </c>
      <c r="AU60" s="23">
        <f t="shared" si="9"/>
        <v>3890.4455726406072</v>
      </c>
      <c r="AW60" s="25"/>
      <c r="AX60" s="25">
        <f t="shared" si="32"/>
        <v>-20096.545264534299</v>
      </c>
      <c r="AY60" s="25">
        <f t="shared" si="33"/>
        <v>-11290.034596675296</v>
      </c>
      <c r="AZ60" s="25">
        <f t="shared" si="34"/>
        <v>-4425.2656850369112</v>
      </c>
      <c r="BA60" s="25">
        <f t="shared" si="35"/>
        <v>988.7318339663484</v>
      </c>
      <c r="BB60" s="25">
        <f t="shared" si="36"/>
        <v>4799.8070021224521</v>
      </c>
      <c r="BC60" s="25">
        <f t="shared" si="37"/>
        <v>6969.397393274071</v>
      </c>
      <c r="BD60" s="25">
        <f t="shared" si="38"/>
        <v>7495.824760629127</v>
      </c>
      <c r="BE60" s="25">
        <f t="shared" si="39"/>
        <v>6434.7743055639385</v>
      </c>
      <c r="BF60" s="25">
        <f t="shared" si="40"/>
        <v>3890.4455726406072</v>
      </c>
      <c r="BG60" s="25">
        <f t="shared" si="41"/>
        <v>0</v>
      </c>
      <c r="BI60" s="25"/>
      <c r="BJ60" s="25">
        <f t="shared" si="55"/>
        <v>0</v>
      </c>
      <c r="BK60" s="25">
        <f t="shared" si="56"/>
        <v>0</v>
      </c>
      <c r="BL60" s="25">
        <f t="shared" si="57"/>
        <v>0</v>
      </c>
      <c r="BM60" s="25">
        <f t="shared" si="58"/>
        <v>988.7318339663484</v>
      </c>
      <c r="BN60" s="25">
        <f t="shared" si="59"/>
        <v>4799.8070021224521</v>
      </c>
      <c r="BO60" s="25">
        <f t="shared" si="60"/>
        <v>6969.397393274071</v>
      </c>
      <c r="BP60" s="25">
        <f t="shared" si="61"/>
        <v>7495.824760629127</v>
      </c>
      <c r="BQ60" s="25">
        <f t="shared" si="62"/>
        <v>6434.7743055639385</v>
      </c>
      <c r="BR60" s="25">
        <f t="shared" si="63"/>
        <v>3890.4455726406072</v>
      </c>
      <c r="BS60" s="25">
        <f t="shared" si="64"/>
        <v>0</v>
      </c>
    </row>
    <row r="61" spans="1:71" x14ac:dyDescent="0.2">
      <c r="A61" s="29">
        <f t="shared" si="53"/>
        <v>0.53000000000000025</v>
      </c>
      <c r="B61" s="30">
        <v>3.9689369621960346E-2</v>
      </c>
      <c r="C61" s="30">
        <v>4.4869332013116728E-2</v>
      </c>
      <c r="D61" s="30">
        <v>5.0016529382292986E-2</v>
      </c>
      <c r="E61" s="30">
        <v>5.3594589492926656E-2</v>
      </c>
      <c r="F61" s="30">
        <v>5.6614305348882107E-2</v>
      </c>
      <c r="G61" s="30">
        <v>5.9755379070608974E-2</v>
      </c>
      <c r="H61" s="30">
        <v>6.3175623375183287E-2</v>
      </c>
      <c r="I61" s="30">
        <v>6.6841833834104553E-2</v>
      </c>
      <c r="J61" s="30">
        <v>7.0673916580939647E-2</v>
      </c>
      <c r="K61" s="30">
        <v>7.4600068447156928E-2</v>
      </c>
      <c r="L61" s="30">
        <v>7.8569570247396497E-2</v>
      </c>
      <c r="N61" s="1"/>
      <c r="O61" s="55">
        <f t="shared" si="12"/>
        <v>0.97781511967308077</v>
      </c>
      <c r="P61" s="54">
        <f t="shared" si="13"/>
        <v>0.95121370139585504</v>
      </c>
      <c r="Q61" s="1">
        <f t="shared" si="65"/>
        <v>0.94781628330190659</v>
      </c>
      <c r="R61" s="57">
        <f t="shared" si="66"/>
        <v>0.91858442900502901</v>
      </c>
      <c r="S61" s="1">
        <f t="shared" si="67"/>
        <v>0.88735446148309316</v>
      </c>
      <c r="T61" s="60">
        <f t="shared" si="68"/>
        <v>0.85390181849352143</v>
      </c>
      <c r="U61" s="58">
        <f t="shared" si="69"/>
        <v>0.81830062186444685</v>
      </c>
      <c r="V61" s="53">
        <f t="shared" si="70"/>
        <v>0.7808605423387236</v>
      </c>
      <c r="W61" s="58">
        <f t="shared" si="71"/>
        <v>0.74200427543570524</v>
      </c>
      <c r="Y61" s="24"/>
      <c r="Z61" s="24">
        <f t="shared" si="22"/>
        <v>5.0016529382292986E-2</v>
      </c>
      <c r="AA61" s="24">
        <f t="shared" si="23"/>
        <v>5.3594589492926649E-2</v>
      </c>
      <c r="AB61" s="24">
        <f t="shared" si="24"/>
        <v>5.6614305348882107E-2</v>
      </c>
      <c r="AC61" s="24">
        <f t="shared" si="25"/>
        <v>5.9755379070608974E-2</v>
      </c>
      <c r="AD61" s="24">
        <f t="shared" si="26"/>
        <v>6.3175623375183287E-2</v>
      </c>
      <c r="AE61" s="24">
        <f t="shared" si="27"/>
        <v>6.6841833834104553E-2</v>
      </c>
      <c r="AF61" s="24">
        <f t="shared" si="28"/>
        <v>7.0673916580939647E-2</v>
      </c>
      <c r="AG61" s="24">
        <f t="shared" si="29"/>
        <v>7.4600068447156928E-2</v>
      </c>
      <c r="AH61" s="24">
        <f t="shared" si="30"/>
        <v>7.8569570247396497E-2</v>
      </c>
      <c r="AL61" s="23">
        <f t="shared" si="0"/>
        <v>0</v>
      </c>
      <c r="AM61" s="23">
        <f t="shared" si="1"/>
        <v>-8646.7402106314057</v>
      </c>
      <c r="AN61" s="23">
        <f t="shared" si="2"/>
        <v>-6709.7561142503582</v>
      </c>
      <c r="AO61" s="23">
        <f t="shared" si="3"/>
        <v>-5254.7231736287804</v>
      </c>
      <c r="AP61" s="23">
        <f t="shared" si="4"/>
        <v>-3649.9901518844454</v>
      </c>
      <c r="AQ61" s="23">
        <f t="shared" si="5"/>
        <v>-2008.413527022517</v>
      </c>
      <c r="AR61" s="23">
        <f t="shared" si="6"/>
        <v>-367.40585188974211</v>
      </c>
      <c r="AS61" s="23">
        <f t="shared" si="7"/>
        <v>1215.8100188241899</v>
      </c>
      <c r="AT61" s="23">
        <f t="shared" si="8"/>
        <v>2693.0710493321071</v>
      </c>
      <c r="AU61" s="23">
        <f t="shared" si="9"/>
        <v>4031.7552584331706</v>
      </c>
      <c r="AW61" s="25"/>
      <c r="AX61" s="25">
        <f t="shared" si="32"/>
        <v>-18696.392702717782</v>
      </c>
      <c r="AY61" s="25">
        <f t="shared" si="33"/>
        <v>-10049.652492086374</v>
      </c>
      <c r="AZ61" s="25">
        <f t="shared" si="34"/>
        <v>-3339.8963778360148</v>
      </c>
      <c r="BA61" s="25">
        <f t="shared" si="35"/>
        <v>1914.8267957927633</v>
      </c>
      <c r="BB61" s="25">
        <f t="shared" si="36"/>
        <v>5564.8169476772082</v>
      </c>
      <c r="BC61" s="25">
        <f t="shared" si="37"/>
        <v>7573.2304746997252</v>
      </c>
      <c r="BD61" s="25">
        <f t="shared" si="38"/>
        <v>7940.6363265894679</v>
      </c>
      <c r="BE61" s="25">
        <f t="shared" si="39"/>
        <v>6724.8263077652773</v>
      </c>
      <c r="BF61" s="25">
        <f t="shared" si="40"/>
        <v>4031.7552584331706</v>
      </c>
      <c r="BG61" s="25">
        <f t="shared" si="41"/>
        <v>0</v>
      </c>
      <c r="BI61" s="25"/>
      <c r="BJ61" s="25">
        <f t="shared" si="55"/>
        <v>0</v>
      </c>
      <c r="BK61" s="25">
        <f t="shared" si="56"/>
        <v>0</v>
      </c>
      <c r="BL61" s="25">
        <f t="shared" si="57"/>
        <v>0</v>
      </c>
      <c r="BM61" s="25">
        <f t="shared" si="58"/>
        <v>1914.8267957927633</v>
      </c>
      <c r="BN61" s="25">
        <f t="shared" si="59"/>
        <v>5564.8169476772082</v>
      </c>
      <c r="BO61" s="25">
        <f t="shared" si="60"/>
        <v>7573.2304746997252</v>
      </c>
      <c r="BP61" s="25">
        <f t="shared" si="61"/>
        <v>7940.6363265894679</v>
      </c>
      <c r="BQ61" s="25">
        <f t="shared" si="62"/>
        <v>6724.8263077652773</v>
      </c>
      <c r="BR61" s="25">
        <f t="shared" si="63"/>
        <v>4031.7552584331706</v>
      </c>
      <c r="BS61" s="25">
        <f t="shared" si="64"/>
        <v>0</v>
      </c>
    </row>
    <row r="62" spans="1:71" x14ac:dyDescent="0.2">
      <c r="A62" s="29">
        <f t="shared" si="53"/>
        <v>0.54000000000000026</v>
      </c>
      <c r="B62" s="30">
        <v>3.8892310493537183E-2</v>
      </c>
      <c r="C62" s="30">
        <v>4.420408407571913E-2</v>
      </c>
      <c r="D62" s="30">
        <v>4.9442854739544191E-2</v>
      </c>
      <c r="E62" s="30">
        <v>5.3123501641797452E-2</v>
      </c>
      <c r="F62" s="30">
        <v>5.6250501229151408E-2</v>
      </c>
      <c r="G62" s="30">
        <v>5.9493420768275643E-2</v>
      </c>
      <c r="H62" s="30">
        <v>6.3006553693087122E-2</v>
      </c>
      <c r="I62" s="30">
        <v>6.6756057375213659E-2</v>
      </c>
      <c r="J62" s="30">
        <v>7.0662302238120756E-2</v>
      </c>
      <c r="K62" s="30">
        <v>7.4654204470337465E-2</v>
      </c>
      <c r="L62" s="30">
        <v>7.8681642152714337E-2</v>
      </c>
      <c r="N62" s="1"/>
      <c r="O62" s="55">
        <f t="shared" si="12"/>
        <v>0.97814041851693712</v>
      </c>
      <c r="P62" s="54">
        <f t="shared" si="13"/>
        <v>0.95175954512956562</v>
      </c>
      <c r="Q62" s="1">
        <f t="shared" si="65"/>
        <v>0.94826289322606783</v>
      </c>
      <c r="R62" s="57">
        <f t="shared" si="66"/>
        <v>0.91908584300433349</v>
      </c>
      <c r="S62" s="1">
        <f t="shared" si="67"/>
        <v>0.887819483025306</v>
      </c>
      <c r="T62" s="60">
        <f t="shared" si="68"/>
        <v>0.85426281705302165</v>
      </c>
      <c r="U62" s="58">
        <f t="shared" si="69"/>
        <v>0.81851122174900859</v>
      </c>
      <c r="V62" s="53">
        <f t="shared" si="70"/>
        <v>0.78089228512100806</v>
      </c>
      <c r="W62" s="58">
        <f t="shared" si="71"/>
        <v>0.74184361618861827</v>
      </c>
      <c r="Y62" s="24"/>
      <c r="Z62" s="24">
        <f t="shared" si="22"/>
        <v>4.9442854739544191E-2</v>
      </c>
      <c r="AA62" s="24">
        <f t="shared" si="23"/>
        <v>5.3123501641797445E-2</v>
      </c>
      <c r="AB62" s="24">
        <f t="shared" si="24"/>
        <v>5.6250501229151408E-2</v>
      </c>
      <c r="AC62" s="24">
        <f t="shared" si="25"/>
        <v>5.9493420768275643E-2</v>
      </c>
      <c r="AD62" s="24">
        <f t="shared" si="26"/>
        <v>6.3006553693087122E-2</v>
      </c>
      <c r="AE62" s="24">
        <f t="shared" si="27"/>
        <v>6.6756057375213659E-2</v>
      </c>
      <c r="AF62" s="24">
        <f t="shared" si="28"/>
        <v>7.0662302238120756E-2</v>
      </c>
      <c r="AG62" s="24">
        <f t="shared" si="29"/>
        <v>7.4654204470337465E-2</v>
      </c>
      <c r="AH62" s="24">
        <f t="shared" si="30"/>
        <v>7.8681642152714337E-2</v>
      </c>
      <c r="AL62" s="23">
        <f t="shared" si="0"/>
        <v>0</v>
      </c>
      <c r="AM62" s="23">
        <f t="shared" si="1"/>
        <v>-8930.1839796371114</v>
      </c>
      <c r="AN62" s="23">
        <f t="shared" si="2"/>
        <v>-6937.7876149557687</v>
      </c>
      <c r="AO62" s="23">
        <f t="shared" si="3"/>
        <v>-5429.690166614163</v>
      </c>
      <c r="AP62" s="23">
        <f t="shared" si="4"/>
        <v>-3772.3636012055103</v>
      </c>
      <c r="AQ62" s="23">
        <f t="shared" si="5"/>
        <v>-2084.5177227867575</v>
      </c>
      <c r="AR62" s="23">
        <f t="shared" si="6"/>
        <v>-404.19899739446595</v>
      </c>
      <c r="AS62" s="23">
        <f t="shared" si="7"/>
        <v>1211.3696877511902</v>
      </c>
      <c r="AT62" s="23">
        <f t="shared" si="8"/>
        <v>2714.3177268580207</v>
      </c>
      <c r="AU62" s="23">
        <f t="shared" si="9"/>
        <v>4072.4522139261117</v>
      </c>
      <c r="AW62" s="25"/>
      <c r="AX62" s="25">
        <f t="shared" si="32"/>
        <v>-19560.602454058455</v>
      </c>
      <c r="AY62" s="25">
        <f t="shared" si="33"/>
        <v>-10630.418474421342</v>
      </c>
      <c r="AZ62" s="25">
        <f t="shared" si="34"/>
        <v>-3692.6308594655748</v>
      </c>
      <c r="BA62" s="25">
        <f t="shared" si="35"/>
        <v>1737.0593071485896</v>
      </c>
      <c r="BB62" s="25">
        <f t="shared" si="36"/>
        <v>5509.4229083540995</v>
      </c>
      <c r="BC62" s="25">
        <f t="shared" si="37"/>
        <v>7593.9406311408566</v>
      </c>
      <c r="BD62" s="25">
        <f t="shared" si="38"/>
        <v>7998.1396285353221</v>
      </c>
      <c r="BE62" s="25">
        <f t="shared" si="39"/>
        <v>6786.7699407841319</v>
      </c>
      <c r="BF62" s="25">
        <f t="shared" si="40"/>
        <v>4072.4522139261117</v>
      </c>
      <c r="BG62" s="25">
        <f t="shared" si="41"/>
        <v>0</v>
      </c>
      <c r="BI62" s="25"/>
      <c r="BJ62" s="25">
        <f t="shared" si="55"/>
        <v>0</v>
      </c>
      <c r="BK62" s="25">
        <f t="shared" si="56"/>
        <v>0</v>
      </c>
      <c r="BL62" s="25">
        <f t="shared" si="57"/>
        <v>0</v>
      </c>
      <c r="BM62" s="25">
        <f t="shared" si="58"/>
        <v>1737.0593071485896</v>
      </c>
      <c r="BN62" s="25">
        <f t="shared" si="59"/>
        <v>5509.4229083540995</v>
      </c>
      <c r="BO62" s="25">
        <f t="shared" si="60"/>
        <v>7593.9406311408566</v>
      </c>
      <c r="BP62" s="25">
        <f t="shared" si="61"/>
        <v>7998.1396285353221</v>
      </c>
      <c r="BQ62" s="25">
        <f t="shared" si="62"/>
        <v>6786.7699407841319</v>
      </c>
      <c r="BR62" s="25">
        <f t="shared" si="63"/>
        <v>4072.4522139261117</v>
      </c>
      <c r="BS62" s="25">
        <f t="shared" si="64"/>
        <v>0</v>
      </c>
    </row>
    <row r="63" spans="1:71" x14ac:dyDescent="0.2">
      <c r="A63" s="29">
        <f t="shared" si="53"/>
        <v>0.55000000000000027</v>
      </c>
      <c r="B63" s="30">
        <v>3.7771346353839851E-2</v>
      </c>
      <c r="C63" s="30">
        <v>4.3080272089178626E-2</v>
      </c>
      <c r="D63" s="30">
        <v>4.8292951694322198E-2</v>
      </c>
      <c r="E63" s="30">
        <v>5.1973708072921287E-2</v>
      </c>
      <c r="F63" s="30">
        <v>5.5119968461053583E-2</v>
      </c>
      <c r="G63" s="30">
        <v>5.8390641295549918E-2</v>
      </c>
      <c r="H63" s="30">
        <v>6.1935902061362784E-2</v>
      </c>
      <c r="I63" s="30">
        <v>6.5720635692572554E-2</v>
      </c>
      <c r="J63" s="30">
        <v>6.9665025716415446E-2</v>
      </c>
      <c r="K63" s="30">
        <v>7.3698048949193101E-2</v>
      </c>
      <c r="L63" s="30">
        <v>7.7769522254575035E-2</v>
      </c>
      <c r="N63" s="1"/>
      <c r="O63" s="55">
        <f t="shared" si="12"/>
        <v>0.97869019592750717</v>
      </c>
      <c r="P63" s="54">
        <f t="shared" si="13"/>
        <v>0.95285460581497328</v>
      </c>
      <c r="Q63" s="1">
        <f t="shared" si="65"/>
        <v>0.94935382685635228</v>
      </c>
      <c r="R63" s="57">
        <f t="shared" si="66"/>
        <v>0.92064575026853512</v>
      </c>
      <c r="S63" s="1">
        <f t="shared" si="67"/>
        <v>0.88977978221108645</v>
      </c>
      <c r="T63" s="60">
        <f t="shared" si="68"/>
        <v>0.85655242459862713</v>
      </c>
      <c r="U63" s="58">
        <f t="shared" si="69"/>
        <v>0.82105768749969366</v>
      </c>
      <c r="V63" s="53">
        <f t="shared" si="70"/>
        <v>0.78362272700538038</v>
      </c>
      <c r="W63" s="58">
        <f t="shared" si="71"/>
        <v>0.74468632033573401</v>
      </c>
      <c r="Y63" s="24"/>
      <c r="Z63" s="24">
        <f t="shared" si="22"/>
        <v>4.8292951694322198E-2</v>
      </c>
      <c r="AA63" s="24">
        <f t="shared" si="23"/>
        <v>5.1973708072921287E-2</v>
      </c>
      <c r="AB63" s="24">
        <f t="shared" si="24"/>
        <v>5.5119968461053583E-2</v>
      </c>
      <c r="AC63" s="24">
        <f t="shared" si="25"/>
        <v>5.8390641295549918E-2</v>
      </c>
      <c r="AD63" s="24">
        <f t="shared" si="26"/>
        <v>6.1935902061362784E-2</v>
      </c>
      <c r="AE63" s="24">
        <f t="shared" si="27"/>
        <v>6.5720635692572554E-2</v>
      </c>
      <c r="AF63" s="24">
        <f t="shared" si="28"/>
        <v>6.9665025716415446E-2</v>
      </c>
      <c r="AG63" s="24">
        <f t="shared" si="29"/>
        <v>7.3698048949193101E-2</v>
      </c>
      <c r="AH63" s="24">
        <f t="shared" si="30"/>
        <v>7.7769522254575035E-2</v>
      </c>
      <c r="AL63" s="23">
        <f t="shared" si="0"/>
        <v>0</v>
      </c>
      <c r="AM63" s="23">
        <f t="shared" si="1"/>
        <v>-9497.9027319141023</v>
      </c>
      <c r="AN63" s="23">
        <f t="shared" si="2"/>
        <v>-7493.5630355785406</v>
      </c>
      <c r="AO63" s="23">
        <f t="shared" si="3"/>
        <v>-5972.5745848085353</v>
      </c>
      <c r="AP63" s="23">
        <f t="shared" si="4"/>
        <v>-4286.4008169521521</v>
      </c>
      <c r="AQ63" s="23">
        <f t="shared" si="5"/>
        <v>-2565.4424111345907</v>
      </c>
      <c r="AR63" s="23">
        <f t="shared" si="6"/>
        <v>-848.72881376171392</v>
      </c>
      <c r="AS63" s="23">
        <f t="shared" si="7"/>
        <v>805.72759595563025</v>
      </c>
      <c r="AT63" s="23">
        <f t="shared" si="8"/>
        <v>2349.1759211103649</v>
      </c>
      <c r="AU63" s="23">
        <f t="shared" si="9"/>
        <v>3748.4360226596737</v>
      </c>
      <c r="AW63" s="25"/>
      <c r="AX63" s="25">
        <f t="shared" si="32"/>
        <v>-23761.272854423965</v>
      </c>
      <c r="AY63" s="25">
        <f t="shared" si="33"/>
        <v>-14263.370122509863</v>
      </c>
      <c r="AZ63" s="25">
        <f t="shared" si="34"/>
        <v>-6769.8070869313224</v>
      </c>
      <c r="BA63" s="25">
        <f t="shared" si="35"/>
        <v>-797.2325021227889</v>
      </c>
      <c r="BB63" s="25">
        <f t="shared" si="36"/>
        <v>3489.1683148293646</v>
      </c>
      <c r="BC63" s="25">
        <f t="shared" si="37"/>
        <v>6054.6107259639548</v>
      </c>
      <c r="BD63" s="25">
        <f t="shared" si="38"/>
        <v>6903.3395397256691</v>
      </c>
      <c r="BE63" s="25">
        <f t="shared" si="39"/>
        <v>6097.6119437700381</v>
      </c>
      <c r="BF63" s="25">
        <f t="shared" si="40"/>
        <v>3748.4360226596737</v>
      </c>
      <c r="BG63" s="25">
        <f t="shared" si="41"/>
        <v>0</v>
      </c>
      <c r="BI63" s="25"/>
      <c r="BJ63" s="25">
        <f t="shared" si="55"/>
        <v>0</v>
      </c>
      <c r="BK63" s="25">
        <f t="shared" si="56"/>
        <v>0</v>
      </c>
      <c r="BL63" s="25">
        <f t="shared" si="57"/>
        <v>0</v>
      </c>
      <c r="BM63" s="25">
        <f t="shared" si="58"/>
        <v>0</v>
      </c>
      <c r="BN63" s="25">
        <f t="shared" si="59"/>
        <v>3489.1683148293646</v>
      </c>
      <c r="BO63" s="25">
        <f t="shared" si="60"/>
        <v>6054.6107259639548</v>
      </c>
      <c r="BP63" s="25">
        <f t="shared" si="61"/>
        <v>6903.3395397256691</v>
      </c>
      <c r="BQ63" s="25">
        <f t="shared" si="62"/>
        <v>6097.6119437700381</v>
      </c>
      <c r="BR63" s="25">
        <f t="shared" si="63"/>
        <v>3748.4360226596737</v>
      </c>
      <c r="BS63" s="25">
        <f t="shared" si="64"/>
        <v>0</v>
      </c>
    </row>
    <row r="64" spans="1:71" x14ac:dyDescent="0.2">
      <c r="A64" s="29">
        <f t="shared" si="53"/>
        <v>0.56000000000000028</v>
      </c>
      <c r="B64" s="30">
        <v>3.7741002416732367E-2</v>
      </c>
      <c r="C64" s="30">
        <v>4.297377996166192E-2</v>
      </c>
      <c r="D64" s="30">
        <v>4.8092125156801342E-2</v>
      </c>
      <c r="E64" s="30">
        <v>5.1708574821204931E-2</v>
      </c>
      <c r="F64" s="30">
        <v>5.4813334815657845E-2</v>
      </c>
      <c r="G64" s="30">
        <v>5.8054685592456787E-2</v>
      </c>
      <c r="H64" s="30">
        <v>6.1578641625505311E-2</v>
      </c>
      <c r="I64" s="30">
        <v>6.5348737149849859E-2</v>
      </c>
      <c r="J64" s="30">
        <v>6.9284873774664552E-2</v>
      </c>
      <c r="K64" s="30">
        <v>7.3315986534811708E-2</v>
      </c>
      <c r="L64" s="30">
        <v>7.739172891981623E-2</v>
      </c>
      <c r="N64" s="1"/>
      <c r="O64" s="55">
        <f t="shared" si="12"/>
        <v>0.9787423087154673</v>
      </c>
      <c r="P64" s="54">
        <f t="shared" si="13"/>
        <v>0.95304598352243786</v>
      </c>
      <c r="Q64" s="1">
        <f t="shared" si="65"/>
        <v>0.9496055654941632</v>
      </c>
      <c r="R64" s="57">
        <f t="shared" si="66"/>
        <v>0.92106929911059654</v>
      </c>
      <c r="S64" s="1">
        <f t="shared" si="67"/>
        <v>0.89037783629292755</v>
      </c>
      <c r="T64" s="60">
        <f t="shared" si="68"/>
        <v>0.85731779707574596</v>
      </c>
      <c r="U64" s="58">
        <f t="shared" si="69"/>
        <v>0.82197424917896389</v>
      </c>
      <c r="V64" s="53">
        <f t="shared" si="70"/>
        <v>0.7846660558970433</v>
      </c>
      <c r="W64" s="58">
        <f t="shared" si="71"/>
        <v>0.74582525701787827</v>
      </c>
      <c r="Y64" s="24"/>
      <c r="Z64" s="24">
        <f t="shared" si="22"/>
        <v>4.8092125156801342E-2</v>
      </c>
      <c r="AA64" s="24">
        <f t="shared" si="23"/>
        <v>5.1708574821204924E-2</v>
      </c>
      <c r="AB64" s="24">
        <f t="shared" si="24"/>
        <v>5.4813334815657845E-2</v>
      </c>
      <c r="AC64" s="24">
        <f t="shared" si="25"/>
        <v>5.8054685592456787E-2</v>
      </c>
      <c r="AD64" s="24">
        <f t="shared" si="26"/>
        <v>6.1578641625505311E-2</v>
      </c>
      <c r="AE64" s="24">
        <f t="shared" si="27"/>
        <v>6.5348737149849859E-2</v>
      </c>
      <c r="AF64" s="24">
        <f t="shared" si="28"/>
        <v>6.9284873774664552E-2</v>
      </c>
      <c r="AG64" s="24">
        <f t="shared" si="29"/>
        <v>7.3315986534811708E-2</v>
      </c>
      <c r="AH64" s="24">
        <f t="shared" si="30"/>
        <v>7.739172891981623E-2</v>
      </c>
      <c r="AL64" s="23">
        <f t="shared" si="0"/>
        <v>0</v>
      </c>
      <c r="AM64" s="23">
        <f t="shared" si="1"/>
        <v>-9596.6871858049817</v>
      </c>
      <c r="AN64" s="23">
        <f t="shared" si="2"/>
        <v>-7621.4101833426112</v>
      </c>
      <c r="AO64" s="23">
        <f t="shared" si="3"/>
        <v>-6119.7488309886348</v>
      </c>
      <c r="AP64" s="23">
        <f t="shared" si="4"/>
        <v>-4443.0920444775147</v>
      </c>
      <c r="AQ64" s="23">
        <f t="shared" si="5"/>
        <v>-2726.2151273218419</v>
      </c>
      <c r="AR64" s="23">
        <f t="shared" si="6"/>
        <v>-1008.9048151421894</v>
      </c>
      <c r="AS64" s="23">
        <f t="shared" si="7"/>
        <v>650.389490926657</v>
      </c>
      <c r="AT64" s="23">
        <f t="shared" si="8"/>
        <v>2202.4079507815864</v>
      </c>
      <c r="AU64" s="23">
        <f t="shared" si="9"/>
        <v>3613.2850427845133</v>
      </c>
      <c r="AW64" s="25"/>
      <c r="AX64" s="25">
        <f t="shared" si="32"/>
        <v>-25049.975702585012</v>
      </c>
      <c r="AY64" s="25">
        <f t="shared" si="33"/>
        <v>-15453.288516780032</v>
      </c>
      <c r="AZ64" s="25">
        <f t="shared" si="34"/>
        <v>-7831.8783334374275</v>
      </c>
      <c r="BA64" s="25">
        <f t="shared" si="35"/>
        <v>-1712.1295024487899</v>
      </c>
      <c r="BB64" s="25">
        <f t="shared" si="36"/>
        <v>2730.9625420287252</v>
      </c>
      <c r="BC64" s="25">
        <f t="shared" si="37"/>
        <v>5457.1776693505672</v>
      </c>
      <c r="BD64" s="25">
        <f t="shared" si="38"/>
        <v>6466.0824844927565</v>
      </c>
      <c r="BE64" s="25">
        <f t="shared" si="39"/>
        <v>5815.6929935660992</v>
      </c>
      <c r="BF64" s="25">
        <f t="shared" si="40"/>
        <v>3613.2850427845133</v>
      </c>
      <c r="BG64" s="25">
        <f t="shared" si="41"/>
        <v>0</v>
      </c>
      <c r="BI64" s="25"/>
      <c r="BJ64" s="25">
        <f t="shared" si="55"/>
        <v>0</v>
      </c>
      <c r="BK64" s="25">
        <f t="shared" si="56"/>
        <v>0</v>
      </c>
      <c r="BL64" s="25">
        <f t="shared" si="57"/>
        <v>0</v>
      </c>
      <c r="BM64" s="25">
        <f t="shared" si="58"/>
        <v>0</v>
      </c>
      <c r="BN64" s="25">
        <f t="shared" si="59"/>
        <v>2730.9625420287252</v>
      </c>
      <c r="BO64" s="25">
        <f t="shared" si="60"/>
        <v>5457.1776693505672</v>
      </c>
      <c r="BP64" s="25">
        <f t="shared" si="61"/>
        <v>6466.0824844927565</v>
      </c>
      <c r="BQ64" s="25">
        <f t="shared" si="62"/>
        <v>5815.6929935660992</v>
      </c>
      <c r="BR64" s="25">
        <f t="shared" si="63"/>
        <v>3613.2850427845133</v>
      </c>
      <c r="BS64" s="25">
        <f t="shared" si="64"/>
        <v>0</v>
      </c>
    </row>
    <row r="65" spans="1:71" x14ac:dyDescent="0.2">
      <c r="A65" s="29">
        <f t="shared" si="53"/>
        <v>0.57000000000000028</v>
      </c>
      <c r="B65" s="30">
        <v>3.8368910699613325E-2</v>
      </c>
      <c r="C65" s="30">
        <v>4.3521049338157571E-2</v>
      </c>
      <c r="D65" s="30">
        <v>4.853514173286725E-2</v>
      </c>
      <c r="E65" s="30">
        <v>5.2071192712057582E-2</v>
      </c>
      <c r="F65" s="30">
        <v>5.5112481428707664E-2</v>
      </c>
      <c r="G65" s="30">
        <v>5.8297152489721067E-2</v>
      </c>
      <c r="H65" s="30">
        <v>6.176747836386396E-2</v>
      </c>
      <c r="I65" s="30">
        <v>6.5486026762439614E-2</v>
      </c>
      <c r="J65" s="30">
        <v>6.9372784978963778E-2</v>
      </c>
      <c r="K65" s="30">
        <v>7.3357006634676619E-2</v>
      </c>
      <c r="L65" s="30">
        <v>7.7388542471296645E-2</v>
      </c>
      <c r="N65" s="1"/>
      <c r="O65" s="55">
        <f t="shared" si="12"/>
        <v>0.97847452750773145</v>
      </c>
      <c r="P65" s="54">
        <f t="shared" si="13"/>
        <v>0.95262386186433412</v>
      </c>
      <c r="Q65" s="1">
        <f t="shared" si="65"/>
        <v>0.94926128395195764</v>
      </c>
      <c r="R65" s="57">
        <f t="shared" si="66"/>
        <v>0.92065608968336077</v>
      </c>
      <c r="S65" s="1">
        <f t="shared" si="67"/>
        <v>0.88994616666426463</v>
      </c>
      <c r="T65" s="60">
        <f t="shared" si="68"/>
        <v>0.85691315985488581</v>
      </c>
      <c r="U65" s="58">
        <f t="shared" si="69"/>
        <v>0.8216357733088947</v>
      </c>
      <c r="V65" s="53">
        <f t="shared" si="70"/>
        <v>0.78442465975362952</v>
      </c>
      <c r="W65" s="58">
        <f t="shared" si="71"/>
        <v>0.74570289175092519</v>
      </c>
      <c r="Y65" s="24"/>
      <c r="Z65" s="24">
        <f t="shared" si="22"/>
        <v>4.853514173286725E-2</v>
      </c>
      <c r="AA65" s="24">
        <f t="shared" si="23"/>
        <v>5.2071192712057589E-2</v>
      </c>
      <c r="AB65" s="24">
        <f t="shared" si="24"/>
        <v>5.5112481428707664E-2</v>
      </c>
      <c r="AC65" s="24">
        <f t="shared" si="25"/>
        <v>5.8297152489721074E-2</v>
      </c>
      <c r="AD65" s="24">
        <f t="shared" si="26"/>
        <v>6.176747836386396E-2</v>
      </c>
      <c r="AE65" s="24">
        <f t="shared" si="27"/>
        <v>6.5486026762439614E-2</v>
      </c>
      <c r="AF65" s="24">
        <f t="shared" si="28"/>
        <v>6.9372784978963778E-2</v>
      </c>
      <c r="AG65" s="24">
        <f t="shared" si="29"/>
        <v>7.3357006634676619E-2</v>
      </c>
      <c r="AH65" s="24">
        <f t="shared" si="30"/>
        <v>7.7388542471296645E-2</v>
      </c>
      <c r="AL65" s="23">
        <f t="shared" si="0"/>
        <v>0</v>
      </c>
      <c r="AM65" s="23">
        <f t="shared" si="1"/>
        <v>-9377.321341074321</v>
      </c>
      <c r="AN65" s="23">
        <f t="shared" si="2"/>
        <v>-7445.3152923084081</v>
      </c>
      <c r="AO65" s="23">
        <f t="shared" si="3"/>
        <v>-5975.545953877785</v>
      </c>
      <c r="AP65" s="23">
        <f t="shared" si="4"/>
        <v>-4329.4844750565853</v>
      </c>
      <c r="AQ65" s="23">
        <f t="shared" si="5"/>
        <v>-2640.8661482592524</v>
      </c>
      <c r="AR65" s="23">
        <f t="shared" si="6"/>
        <v>-949.60599394588132</v>
      </c>
      <c r="AS65" s="23">
        <f t="shared" si="7"/>
        <v>686.23716608353061</v>
      </c>
      <c r="AT65" s="23">
        <f t="shared" si="8"/>
        <v>2217.8189867910028</v>
      </c>
      <c r="AU65" s="23">
        <f t="shared" si="9"/>
        <v>3611.5041502300483</v>
      </c>
      <c r="AW65" s="25"/>
      <c r="AX65" s="25">
        <f t="shared" si="32"/>
        <v>-24202.578901417652</v>
      </c>
      <c r="AY65" s="25">
        <f t="shared" si="33"/>
        <v>-14825.257560343332</v>
      </c>
      <c r="AZ65" s="25">
        <f t="shared" si="34"/>
        <v>-7379.9422680349217</v>
      </c>
      <c r="BA65" s="25">
        <f t="shared" si="35"/>
        <v>-1404.3963141571367</v>
      </c>
      <c r="BB65" s="25">
        <f t="shared" si="36"/>
        <v>2925.0881608994478</v>
      </c>
      <c r="BC65" s="25">
        <f t="shared" si="37"/>
        <v>5565.9543091587002</v>
      </c>
      <c r="BD65" s="25">
        <f t="shared" si="38"/>
        <v>6515.5603031045812</v>
      </c>
      <c r="BE65" s="25">
        <f t="shared" si="39"/>
        <v>5829.3231370210506</v>
      </c>
      <c r="BF65" s="25">
        <f t="shared" si="40"/>
        <v>3611.5041502300483</v>
      </c>
      <c r="BG65" s="25">
        <f t="shared" si="41"/>
        <v>0</v>
      </c>
      <c r="BI65" s="25"/>
      <c r="BJ65" s="25">
        <f t="shared" si="55"/>
        <v>0</v>
      </c>
      <c r="BK65" s="25">
        <f t="shared" si="56"/>
        <v>0</v>
      </c>
      <c r="BL65" s="25">
        <f t="shared" si="57"/>
        <v>0</v>
      </c>
      <c r="BM65" s="25">
        <f t="shared" si="58"/>
        <v>0</v>
      </c>
      <c r="BN65" s="25">
        <f t="shared" si="59"/>
        <v>2925.0881608994478</v>
      </c>
      <c r="BO65" s="25">
        <f t="shared" si="60"/>
        <v>5565.9543091587002</v>
      </c>
      <c r="BP65" s="25">
        <f t="shared" si="61"/>
        <v>6515.5603031045812</v>
      </c>
      <c r="BQ65" s="25">
        <f t="shared" si="62"/>
        <v>5829.3231370210506</v>
      </c>
      <c r="BR65" s="25">
        <f t="shared" si="63"/>
        <v>3611.5041502300483</v>
      </c>
      <c r="BS65" s="25">
        <f t="shared" si="64"/>
        <v>0</v>
      </c>
    </row>
    <row r="66" spans="1:71" x14ac:dyDescent="0.2">
      <c r="A66" s="29">
        <f t="shared" si="53"/>
        <v>0.58000000000000029</v>
      </c>
      <c r="B66" s="30">
        <v>3.9284895516404815E-2</v>
      </c>
      <c r="C66" s="30">
        <v>4.4387011468011169E-2</v>
      </c>
      <c r="D66" s="30">
        <v>4.9331056469352819E-2</v>
      </c>
      <c r="E66" s="30">
        <v>5.2823214647827597E-2</v>
      </c>
      <c r="F66" s="30">
        <v>5.583957345001981E-2</v>
      </c>
      <c r="G66" s="30">
        <v>5.9008068698408009E-2</v>
      </c>
      <c r="H66" s="30">
        <v>6.2467085550411909E-2</v>
      </c>
      <c r="I66" s="30">
        <v>6.6178045421916298E-2</v>
      </c>
      <c r="J66" s="30">
        <v>7.0060825132982285E-2</v>
      </c>
      <c r="K66" s="30">
        <v>7.4044793648707224E-2</v>
      </c>
      <c r="L66" s="30">
        <v>7.8079795985196113E-2</v>
      </c>
      <c r="N66" s="1"/>
      <c r="O66" s="55">
        <f t="shared" si="12"/>
        <v>0.97805095827015454</v>
      </c>
      <c r="P66" s="54">
        <f t="shared" si="13"/>
        <v>0.95186595614852243</v>
      </c>
      <c r="Q66" s="1">
        <f t="shared" si="65"/>
        <v>0.94854768699756054</v>
      </c>
      <c r="R66" s="57">
        <f t="shared" si="66"/>
        <v>0.91965253449479345</v>
      </c>
      <c r="S66" s="1">
        <f t="shared" si="67"/>
        <v>0.88868171148948205</v>
      </c>
      <c r="T66" s="60">
        <f t="shared" si="68"/>
        <v>0.85541571325491639</v>
      </c>
      <c r="U66" s="58">
        <f t="shared" si="69"/>
        <v>0.81993178085350527</v>
      </c>
      <c r="V66" s="53">
        <f t="shared" si="70"/>
        <v>0.78253792760051222</v>
      </c>
      <c r="W66" s="58">
        <f t="shared" si="71"/>
        <v>0.74365417214751528</v>
      </c>
      <c r="Y66" s="24"/>
      <c r="Z66" s="24">
        <f t="shared" si="22"/>
        <v>4.9331056469352819E-2</v>
      </c>
      <c r="AA66" s="24">
        <f t="shared" si="23"/>
        <v>5.2823214647827597E-2</v>
      </c>
      <c r="AB66" s="24">
        <f t="shared" si="24"/>
        <v>5.583957345001981E-2</v>
      </c>
      <c r="AC66" s="24">
        <f t="shared" si="25"/>
        <v>5.9008068698408009E-2</v>
      </c>
      <c r="AD66" s="24">
        <f t="shared" si="26"/>
        <v>6.2467085550411909E-2</v>
      </c>
      <c r="AE66" s="24">
        <f t="shared" si="27"/>
        <v>6.6178045421916298E-2</v>
      </c>
      <c r="AF66" s="24">
        <f t="shared" si="28"/>
        <v>7.0060825132982285E-2</v>
      </c>
      <c r="AG66" s="24">
        <f t="shared" si="29"/>
        <v>7.4044793648707224E-2</v>
      </c>
      <c r="AH66" s="24">
        <f t="shared" si="30"/>
        <v>7.8079795985196113E-2</v>
      </c>
      <c r="AL66" s="23">
        <f t="shared" si="0"/>
        <v>0</v>
      </c>
      <c r="AM66" s="23">
        <f t="shared" si="1"/>
        <v>-8984.0394320019477</v>
      </c>
      <c r="AN66" s="23">
        <f t="shared" si="2"/>
        <v>-7081.4797742859246</v>
      </c>
      <c r="AO66" s="23">
        <f t="shared" si="3"/>
        <v>-5626.2131739899178</v>
      </c>
      <c r="AP66" s="23">
        <f t="shared" si="4"/>
        <v>-3997.867202069328</v>
      </c>
      <c r="AQ66" s="23">
        <f t="shared" si="5"/>
        <v>-2326.2498913364352</v>
      </c>
      <c r="AR66" s="23">
        <f t="shared" si="6"/>
        <v>-651.96475001678198</v>
      </c>
      <c r="AS66" s="23">
        <f t="shared" si="7"/>
        <v>966.88697152494649</v>
      </c>
      <c r="AT66" s="23">
        <f t="shared" si="8"/>
        <v>2481.5943048390577</v>
      </c>
      <c r="AU66" s="23">
        <f t="shared" si="9"/>
        <v>3858.6088022984054</v>
      </c>
      <c r="AW66" s="25"/>
      <c r="AX66" s="25">
        <f t="shared" si="32"/>
        <v>-21360.724145037926</v>
      </c>
      <c r="AY66" s="25">
        <f t="shared" si="33"/>
        <v>-12376.684713035977</v>
      </c>
      <c r="AZ66" s="25">
        <f t="shared" si="34"/>
        <v>-5295.2049387500538</v>
      </c>
      <c r="BA66" s="25">
        <f t="shared" si="35"/>
        <v>331.00823523986492</v>
      </c>
      <c r="BB66" s="25">
        <f t="shared" si="36"/>
        <v>4328.8754373091924</v>
      </c>
      <c r="BC66" s="25">
        <f t="shared" si="37"/>
        <v>6655.1253286456276</v>
      </c>
      <c r="BD66" s="25">
        <f t="shared" si="38"/>
        <v>7307.0900786624097</v>
      </c>
      <c r="BE66" s="25">
        <f t="shared" si="39"/>
        <v>6340.2031071374631</v>
      </c>
      <c r="BF66" s="25">
        <f t="shared" si="40"/>
        <v>3858.6088022984054</v>
      </c>
      <c r="BG66" s="25">
        <f t="shared" si="41"/>
        <v>0</v>
      </c>
      <c r="BI66" s="25"/>
      <c r="BJ66" s="25">
        <f t="shared" si="55"/>
        <v>0</v>
      </c>
      <c r="BK66" s="25">
        <f t="shared" si="56"/>
        <v>0</v>
      </c>
      <c r="BL66" s="25">
        <f t="shared" si="57"/>
        <v>0</v>
      </c>
      <c r="BM66" s="25">
        <f t="shared" si="58"/>
        <v>331.00823523986492</v>
      </c>
      <c r="BN66" s="25">
        <f t="shared" si="59"/>
        <v>4328.8754373091924</v>
      </c>
      <c r="BO66" s="25">
        <f t="shared" si="60"/>
        <v>6655.1253286456276</v>
      </c>
      <c r="BP66" s="25">
        <f t="shared" si="61"/>
        <v>7307.0900786624097</v>
      </c>
      <c r="BQ66" s="25">
        <f t="shared" si="62"/>
        <v>6340.2031071374631</v>
      </c>
      <c r="BR66" s="25">
        <f t="shared" si="63"/>
        <v>3858.6088022984054</v>
      </c>
      <c r="BS66" s="25">
        <f t="shared" si="64"/>
        <v>0</v>
      </c>
    </row>
    <row r="67" spans="1:71" x14ac:dyDescent="0.2">
      <c r="A67" s="29">
        <f t="shared" si="53"/>
        <v>0.5900000000000003</v>
      </c>
      <c r="B67" s="30">
        <v>3.9605197004958861E-2</v>
      </c>
      <c r="C67" s="30">
        <v>4.4686822023493201E-2</v>
      </c>
      <c r="D67" s="30">
        <v>4.9586316275776705E-2</v>
      </c>
      <c r="E67" s="30">
        <v>5.3055199729536665E-2</v>
      </c>
      <c r="F67" s="30">
        <v>5.6062531744758386E-2</v>
      </c>
      <c r="G67" s="30">
        <v>5.9226389750313413E-2</v>
      </c>
      <c r="H67" s="30">
        <v>6.2681550373949915E-2</v>
      </c>
      <c r="I67" s="30">
        <v>6.6388533413929904E-2</v>
      </c>
      <c r="J67" s="30">
        <v>7.0267333694562478E-2</v>
      </c>
      <c r="K67" s="30">
        <v>7.4247657064769185E-2</v>
      </c>
      <c r="L67" s="30">
        <v>7.8279564625833228E-2</v>
      </c>
      <c r="N67" s="1"/>
      <c r="O67" s="55">
        <f t="shared" si="12"/>
        <v>0.97790435425824229</v>
      </c>
      <c r="P67" s="54">
        <f t="shared" si="13"/>
        <v>0.95162301403681171</v>
      </c>
      <c r="Q67" s="1">
        <f t="shared" si="65"/>
        <v>0.94832766360694631</v>
      </c>
      <c r="R67" s="57">
        <f t="shared" si="66"/>
        <v>0.91934501967862958</v>
      </c>
      <c r="S67" s="1">
        <f t="shared" si="67"/>
        <v>0.8882937603414256</v>
      </c>
      <c r="T67" s="60">
        <f t="shared" si="68"/>
        <v>0.85495719473603005</v>
      </c>
      <c r="U67" s="58">
        <f t="shared" si="69"/>
        <v>0.81941418690924939</v>
      </c>
      <c r="V67" s="53">
        <f t="shared" si="70"/>
        <v>0.78197252921810056</v>
      </c>
      <c r="W67" s="58">
        <f t="shared" si="71"/>
        <v>0.74305097601054904</v>
      </c>
      <c r="Y67" s="24"/>
      <c r="Z67" s="24">
        <f t="shared" si="22"/>
        <v>4.9586316275776705E-2</v>
      </c>
      <c r="AA67" s="24">
        <f t="shared" si="23"/>
        <v>5.3055199729536671E-2</v>
      </c>
      <c r="AB67" s="24">
        <f t="shared" si="24"/>
        <v>5.6062531744758386E-2</v>
      </c>
      <c r="AC67" s="24">
        <f t="shared" si="25"/>
        <v>5.9226389750313413E-2</v>
      </c>
      <c r="AD67" s="24">
        <f t="shared" si="26"/>
        <v>6.2681550373949915E-2</v>
      </c>
      <c r="AE67" s="24">
        <f t="shared" si="27"/>
        <v>6.6388533413929904E-2</v>
      </c>
      <c r="AF67" s="24">
        <f t="shared" si="28"/>
        <v>7.0267333694562478E-2</v>
      </c>
      <c r="AG67" s="24">
        <f t="shared" si="29"/>
        <v>7.4247657064769185E-2</v>
      </c>
      <c r="AH67" s="24">
        <f t="shared" si="30"/>
        <v>7.8279564625833228E-2</v>
      </c>
      <c r="AL67" s="23">
        <f t="shared" si="0"/>
        <v>0</v>
      </c>
      <c r="AM67" s="23">
        <f t="shared" si="1"/>
        <v>-8857.8829399289316</v>
      </c>
      <c r="AN67" s="23">
        <f t="shared" si="2"/>
        <v>-6969.2912164821364</v>
      </c>
      <c r="AO67" s="23">
        <f t="shared" si="3"/>
        <v>-5519.1893684828965</v>
      </c>
      <c r="AP67" s="23">
        <f t="shared" si="4"/>
        <v>-3896.1742032608727</v>
      </c>
      <c r="AQ67" s="23">
        <f t="shared" si="5"/>
        <v>-2229.9804921339814</v>
      </c>
      <c r="AR67" s="23">
        <f t="shared" si="6"/>
        <v>-561.6361733586599</v>
      </c>
      <c r="AS67" s="23">
        <f t="shared" si="7"/>
        <v>1050.8846325029922</v>
      </c>
      <c r="AT67" s="23">
        <f t="shared" si="8"/>
        <v>2559.1181155146314</v>
      </c>
      <c r="AU67" s="23">
        <f t="shared" si="9"/>
        <v>3929.6981317682753</v>
      </c>
      <c r="AW67" s="25"/>
      <c r="AX67" s="25">
        <f t="shared" si="32"/>
        <v>-20494.453513861579</v>
      </c>
      <c r="AY67" s="25">
        <f t="shared" si="33"/>
        <v>-11636.570573932648</v>
      </c>
      <c r="AZ67" s="25">
        <f t="shared" si="34"/>
        <v>-4667.2793574505122</v>
      </c>
      <c r="BA67" s="25">
        <f t="shared" si="35"/>
        <v>851.91001103238386</v>
      </c>
      <c r="BB67" s="25">
        <f t="shared" si="36"/>
        <v>4748.0842142932579</v>
      </c>
      <c r="BC67" s="25">
        <f t="shared" si="37"/>
        <v>6978.0647064272389</v>
      </c>
      <c r="BD67" s="25">
        <f t="shared" si="38"/>
        <v>7539.7008797858989</v>
      </c>
      <c r="BE67" s="25">
        <f t="shared" si="39"/>
        <v>6488.8162472829063</v>
      </c>
      <c r="BF67" s="25">
        <f t="shared" si="40"/>
        <v>3929.6981317682753</v>
      </c>
      <c r="BG67" s="25">
        <f t="shared" si="41"/>
        <v>0</v>
      </c>
      <c r="BI67" s="25"/>
      <c r="BJ67" s="25">
        <f t="shared" si="55"/>
        <v>0</v>
      </c>
      <c r="BK67" s="25">
        <f t="shared" si="56"/>
        <v>0</v>
      </c>
      <c r="BL67" s="25">
        <f t="shared" si="57"/>
        <v>0</v>
      </c>
      <c r="BM67" s="25">
        <f t="shared" si="58"/>
        <v>851.91001103238386</v>
      </c>
      <c r="BN67" s="25">
        <f t="shared" si="59"/>
        <v>4748.0842142932579</v>
      </c>
      <c r="BO67" s="25">
        <f t="shared" si="60"/>
        <v>6978.0647064272389</v>
      </c>
      <c r="BP67" s="25">
        <f t="shared" si="61"/>
        <v>7539.7008797858989</v>
      </c>
      <c r="BQ67" s="25">
        <f t="shared" si="62"/>
        <v>6488.8162472829063</v>
      </c>
      <c r="BR67" s="25">
        <f t="shared" si="63"/>
        <v>3929.6981317682753</v>
      </c>
      <c r="BS67" s="25">
        <f t="shared" si="64"/>
        <v>0</v>
      </c>
    </row>
    <row r="68" spans="1:71" x14ac:dyDescent="0.2">
      <c r="A68" s="29">
        <f t="shared" si="53"/>
        <v>0.60000000000000031</v>
      </c>
      <c r="B68" s="30">
        <v>4.0094036604649726E-2</v>
      </c>
      <c r="C68" s="30">
        <v>4.5051523771667421E-2</v>
      </c>
      <c r="D68" s="30">
        <v>4.9813845634424016E-2</v>
      </c>
      <c r="E68" s="30">
        <v>5.3176426735971144E-2</v>
      </c>
      <c r="F68" s="30">
        <v>5.6100857757088424E-2</v>
      </c>
      <c r="G68" s="30">
        <v>5.919509874385253E-2</v>
      </c>
      <c r="H68" s="30">
        <v>6.2589987946114548E-2</v>
      </c>
      <c r="I68" s="30">
        <v>6.6244779950484556E-2</v>
      </c>
      <c r="J68" s="30">
        <v>7.0079207976644686E-2</v>
      </c>
      <c r="K68" s="30">
        <v>7.4022928354901138E-2</v>
      </c>
      <c r="L68" s="30">
        <v>7.8025832146129542E-2</v>
      </c>
      <c r="N68" s="1"/>
      <c r="O68" s="55">
        <f t="shared" si="12"/>
        <v>0.97772604880204161</v>
      </c>
      <c r="P68" s="54">
        <f t="shared" si="13"/>
        <v>0.95140651649346153</v>
      </c>
      <c r="Q68" s="1">
        <f t="shared" si="65"/>
        <v>0.94821270765119225</v>
      </c>
      <c r="R68" s="57">
        <f t="shared" si="66"/>
        <v>0.91929216895497257</v>
      </c>
      <c r="S68" s="1">
        <f t="shared" si="67"/>
        <v>0.88834935329255482</v>
      </c>
      <c r="T68" s="60">
        <f t="shared" si="68"/>
        <v>0.8551529220278713</v>
      </c>
      <c r="U68" s="58">
        <f t="shared" si="69"/>
        <v>0.81976764400188651</v>
      </c>
      <c r="V68" s="53">
        <f t="shared" si="70"/>
        <v>0.78248758076684566</v>
      </c>
      <c r="W68" s="58">
        <f t="shared" si="71"/>
        <v>0.74371921585973</v>
      </c>
      <c r="Y68" s="24"/>
      <c r="Z68" s="24">
        <f t="shared" si="22"/>
        <v>4.9813845634424016E-2</v>
      </c>
      <c r="AA68" s="24">
        <f t="shared" si="23"/>
        <v>5.3176426735971144E-2</v>
      </c>
      <c r="AB68" s="24">
        <f t="shared" si="24"/>
        <v>5.6100857757088424E-2</v>
      </c>
      <c r="AC68" s="24">
        <f t="shared" si="25"/>
        <v>5.9195098743852523E-2</v>
      </c>
      <c r="AD68" s="24">
        <f t="shared" si="26"/>
        <v>6.2589987946114548E-2</v>
      </c>
      <c r="AE68" s="24">
        <f t="shared" si="27"/>
        <v>6.6244779950484556E-2</v>
      </c>
      <c r="AF68" s="24">
        <f t="shared" si="28"/>
        <v>7.0079207976644686E-2</v>
      </c>
      <c r="AG68" s="24">
        <f t="shared" si="29"/>
        <v>7.4022928354901138E-2</v>
      </c>
      <c r="AH68" s="24">
        <f t="shared" si="30"/>
        <v>7.8025832146129542E-2</v>
      </c>
      <c r="AL68" s="23">
        <f t="shared" si="0"/>
        <v>0</v>
      </c>
      <c r="AM68" s="23">
        <f t="shared" si="1"/>
        <v>-8745.0371540854321</v>
      </c>
      <c r="AN68" s="23">
        <f t="shared" si="2"/>
        <v>-6910.037596558107</v>
      </c>
      <c r="AO68" s="23">
        <f t="shared" si="3"/>
        <v>-5500.3497282686703</v>
      </c>
      <c r="AP68" s="23">
        <f t="shared" si="4"/>
        <v>-3910.3330110674292</v>
      </c>
      <c r="AQ68" s="23">
        <f t="shared" si="5"/>
        <v>-2270.7897649456377</v>
      </c>
      <c r="AR68" s="23">
        <f t="shared" si="6"/>
        <v>-623.23034716152586</v>
      </c>
      <c r="AS68" s="23">
        <f t="shared" si="7"/>
        <v>974.22824688170215</v>
      </c>
      <c r="AT68" s="23">
        <f t="shared" si="8"/>
        <v>2472.8799838883601</v>
      </c>
      <c r="AU68" s="23">
        <f t="shared" si="9"/>
        <v>3838.8793234798613</v>
      </c>
      <c r="AW68" s="25"/>
      <c r="AX68" s="25">
        <f t="shared" si="32"/>
        <v>-20673.790047836879</v>
      </c>
      <c r="AY68" s="25">
        <f t="shared" si="33"/>
        <v>-11928.752893751447</v>
      </c>
      <c r="AZ68" s="25">
        <f t="shared" si="34"/>
        <v>-5018.7152971933374</v>
      </c>
      <c r="BA68" s="25">
        <f t="shared" si="35"/>
        <v>481.63443107533067</v>
      </c>
      <c r="BB68" s="25">
        <f t="shared" si="36"/>
        <v>4391.9674421427599</v>
      </c>
      <c r="BC68" s="25">
        <f t="shared" si="37"/>
        <v>6662.757207088398</v>
      </c>
      <c r="BD68" s="25">
        <f t="shared" si="38"/>
        <v>7285.9875542499231</v>
      </c>
      <c r="BE68" s="25">
        <f t="shared" si="39"/>
        <v>6311.7593073682219</v>
      </c>
      <c r="BF68" s="25">
        <f t="shared" si="40"/>
        <v>3838.8793234798613</v>
      </c>
      <c r="BG68" s="25">
        <f t="shared" si="41"/>
        <v>0</v>
      </c>
      <c r="BI68" s="25"/>
      <c r="BJ68" s="25">
        <f t="shared" si="55"/>
        <v>0</v>
      </c>
      <c r="BK68" s="25">
        <f t="shared" si="56"/>
        <v>0</v>
      </c>
      <c r="BL68" s="25">
        <f t="shared" si="57"/>
        <v>0</v>
      </c>
      <c r="BM68" s="25">
        <f t="shared" si="58"/>
        <v>481.63443107533067</v>
      </c>
      <c r="BN68" s="25">
        <f t="shared" si="59"/>
        <v>4391.9674421427599</v>
      </c>
      <c r="BO68" s="25">
        <f t="shared" si="60"/>
        <v>6662.757207088398</v>
      </c>
      <c r="BP68" s="25">
        <f t="shared" si="61"/>
        <v>7285.9875542499231</v>
      </c>
      <c r="BQ68" s="25">
        <f t="shared" si="62"/>
        <v>6311.7593073682219</v>
      </c>
      <c r="BR68" s="25">
        <f t="shared" si="63"/>
        <v>3838.8793234798613</v>
      </c>
      <c r="BS68" s="25">
        <f t="shared" si="64"/>
        <v>0</v>
      </c>
    </row>
    <row r="69" spans="1:71" x14ac:dyDescent="0.2">
      <c r="A69" s="29">
        <f t="shared" si="53"/>
        <v>0.61000000000000032</v>
      </c>
      <c r="B69" s="30">
        <v>4.0449336359208929E-2</v>
      </c>
      <c r="C69" s="30">
        <v>4.5401075418156217E-2</v>
      </c>
      <c r="D69" s="30">
        <v>5.0138257499311382E-2</v>
      </c>
      <c r="E69" s="30">
        <v>5.3499380951306179E-2</v>
      </c>
      <c r="F69" s="30">
        <v>5.643871149698914E-2</v>
      </c>
      <c r="G69" s="30">
        <v>5.9554412075086417E-2</v>
      </c>
      <c r="H69" s="30">
        <v>6.2973632716223304E-2</v>
      </c>
      <c r="I69" s="30">
        <v>6.6654579562844832E-2</v>
      </c>
      <c r="J69" s="30">
        <v>7.0516925167072739E-2</v>
      </c>
      <c r="K69" s="30">
        <v>7.4490470625508495E-2</v>
      </c>
      <c r="L69" s="30">
        <v>7.8525131526329811E-2</v>
      </c>
      <c r="N69" s="1"/>
      <c r="O69" s="55">
        <f t="shared" si="12"/>
        <v>0.97755518085918247</v>
      </c>
      <c r="P69" s="54">
        <f t="shared" si="13"/>
        <v>0.95109791899023211</v>
      </c>
      <c r="Q69" s="1">
        <f t="shared" si="65"/>
        <v>0.94790652780391937</v>
      </c>
      <c r="R69" s="57">
        <f t="shared" si="66"/>
        <v>0.91882640753835398</v>
      </c>
      <c r="S69" s="1">
        <f t="shared" si="67"/>
        <v>0.88771119108934349</v>
      </c>
      <c r="T69" s="60">
        <f t="shared" si="68"/>
        <v>0.85433312786244719</v>
      </c>
      <c r="U69" s="58">
        <f t="shared" si="69"/>
        <v>0.81876044186709951</v>
      </c>
      <c r="V69" s="53">
        <f t="shared" si="70"/>
        <v>0.78128971963995164</v>
      </c>
      <c r="W69" s="58">
        <f t="shared" si="71"/>
        <v>0.74232963495685023</v>
      </c>
      <c r="Y69" s="24"/>
      <c r="Z69" s="24">
        <f t="shared" si="22"/>
        <v>5.0138257499311382E-2</v>
      </c>
      <c r="AA69" s="24">
        <f t="shared" si="23"/>
        <v>5.3499380951306179E-2</v>
      </c>
      <c r="AB69" s="24">
        <f t="shared" si="24"/>
        <v>5.643871149698914E-2</v>
      </c>
      <c r="AC69" s="24">
        <f t="shared" si="25"/>
        <v>5.9554412075086417E-2</v>
      </c>
      <c r="AD69" s="24">
        <f t="shared" si="26"/>
        <v>6.2973632716223304E-2</v>
      </c>
      <c r="AE69" s="24">
        <f t="shared" si="27"/>
        <v>6.6654579562844832E-2</v>
      </c>
      <c r="AF69" s="24">
        <f t="shared" si="28"/>
        <v>7.0516925167072739E-2</v>
      </c>
      <c r="AG69" s="24">
        <f t="shared" si="29"/>
        <v>7.4490470625508495E-2</v>
      </c>
      <c r="AH69" s="24">
        <f t="shared" si="30"/>
        <v>7.8525131526329811E-2</v>
      </c>
      <c r="AL69" s="23">
        <f t="shared" si="0"/>
        <v>0</v>
      </c>
      <c r="AM69" s="23">
        <f t="shared" si="1"/>
        <v>-8584.9436169488508</v>
      </c>
      <c r="AN69" s="23">
        <f t="shared" si="2"/>
        <v>-6754.2157208852559</v>
      </c>
      <c r="AO69" s="23">
        <f t="shared" si="3"/>
        <v>-5338.4467712014612</v>
      </c>
      <c r="AP69" s="23">
        <f t="shared" si="4"/>
        <v>-3743.2785435141463</v>
      </c>
      <c r="AQ69" s="23">
        <f t="shared" si="5"/>
        <v>-2098.8756231665234</v>
      </c>
      <c r="AR69" s="23">
        <f t="shared" si="6"/>
        <v>-447.58019375291684</v>
      </c>
      <c r="AS69" s="23">
        <f t="shared" si="7"/>
        <v>1152.2240278649265</v>
      </c>
      <c r="AT69" s="23">
        <f t="shared" si="8"/>
        <v>2651.737391885295</v>
      </c>
      <c r="AU69" s="23">
        <f t="shared" si="9"/>
        <v>4017.0290424963887</v>
      </c>
      <c r="AW69" s="25"/>
      <c r="AX69" s="25">
        <f t="shared" si="32"/>
        <v>-19146.350007222543</v>
      </c>
      <c r="AY69" s="25">
        <f t="shared" si="33"/>
        <v>-10561.406390273696</v>
      </c>
      <c r="AZ69" s="25">
        <f t="shared" si="34"/>
        <v>-3807.1906693884384</v>
      </c>
      <c r="BA69" s="25">
        <f t="shared" si="35"/>
        <v>1531.2561018130241</v>
      </c>
      <c r="BB69" s="25">
        <f t="shared" si="36"/>
        <v>5274.5346453271704</v>
      </c>
      <c r="BC69" s="25">
        <f t="shared" si="37"/>
        <v>7373.4102684936934</v>
      </c>
      <c r="BD69" s="25">
        <f t="shared" si="38"/>
        <v>7820.9904622466102</v>
      </c>
      <c r="BE69" s="25">
        <f t="shared" si="39"/>
        <v>6668.7664343816832</v>
      </c>
      <c r="BF69" s="25">
        <f t="shared" si="40"/>
        <v>4017.0290424963887</v>
      </c>
      <c r="BG69" s="25">
        <f t="shared" si="41"/>
        <v>0</v>
      </c>
      <c r="BI69" s="25"/>
      <c r="BJ69" s="25">
        <f t="shared" si="55"/>
        <v>0</v>
      </c>
      <c r="BK69" s="25">
        <f t="shared" si="56"/>
        <v>0</v>
      </c>
      <c r="BL69" s="25">
        <f t="shared" si="57"/>
        <v>0</v>
      </c>
      <c r="BM69" s="25">
        <f t="shared" si="58"/>
        <v>1531.2561018130241</v>
      </c>
      <c r="BN69" s="25">
        <f t="shared" si="59"/>
        <v>5274.5346453271704</v>
      </c>
      <c r="BO69" s="25">
        <f t="shared" si="60"/>
        <v>7373.4102684936934</v>
      </c>
      <c r="BP69" s="25">
        <f t="shared" si="61"/>
        <v>7820.9904622466102</v>
      </c>
      <c r="BQ69" s="25">
        <f t="shared" si="62"/>
        <v>6668.7664343816832</v>
      </c>
      <c r="BR69" s="25">
        <f t="shared" si="63"/>
        <v>4017.0290424963887</v>
      </c>
      <c r="BS69" s="25">
        <f t="shared" si="64"/>
        <v>0</v>
      </c>
    </row>
    <row r="70" spans="1:71" x14ac:dyDescent="0.2">
      <c r="A70" s="29">
        <f t="shared" si="53"/>
        <v>0.62000000000000033</v>
      </c>
      <c r="B70" s="30">
        <v>3.9782360166234397E-2</v>
      </c>
      <c r="C70" s="30">
        <v>4.464687734036285E-2</v>
      </c>
      <c r="D70" s="30">
        <v>4.9285108821744986E-2</v>
      </c>
      <c r="E70" s="30">
        <v>5.2577381051270133E-2</v>
      </c>
      <c r="F70" s="30">
        <v>5.5470347612815024E-2</v>
      </c>
      <c r="G70" s="30">
        <v>5.8552258777465463E-2</v>
      </c>
      <c r="H70" s="30">
        <v>6.1946391414069837E-2</v>
      </c>
      <c r="I70" s="30">
        <v>6.5609685238387908E-2</v>
      </c>
      <c r="J70" s="30">
        <v>6.9461518505605807E-2</v>
      </c>
      <c r="K70" s="30">
        <v>7.3431596935788102E-2</v>
      </c>
      <c r="L70" s="30">
        <v>7.7469620790242846E-2</v>
      </c>
      <c r="N70" s="1"/>
      <c r="O70" s="55">
        <f t="shared" si="12"/>
        <v>0.97792388549306519</v>
      </c>
      <c r="P70" s="54">
        <f t="shared" si="13"/>
        <v>0.95190969315484397</v>
      </c>
      <c r="Q70" s="1">
        <f t="shared" si="65"/>
        <v>0.94878090055165032</v>
      </c>
      <c r="R70" s="57">
        <f t="shared" si="66"/>
        <v>0.92016201478221415</v>
      </c>
      <c r="S70" s="1">
        <f t="shared" si="67"/>
        <v>0.8894922207528283</v>
      </c>
      <c r="T70" s="60">
        <f t="shared" si="68"/>
        <v>0.85652996319190122</v>
      </c>
      <c r="U70" s="58">
        <f t="shared" si="69"/>
        <v>0.8213310231572627</v>
      </c>
      <c r="V70" s="53">
        <f t="shared" si="70"/>
        <v>0.78418108089684935</v>
      </c>
      <c r="W70" s="58">
        <f t="shared" si="71"/>
        <v>0.74548043612569792</v>
      </c>
      <c r="Y70" s="24"/>
      <c r="Z70" s="24">
        <f t="shared" si="22"/>
        <v>4.9285108821744986E-2</v>
      </c>
      <c r="AA70" s="24">
        <f t="shared" si="23"/>
        <v>5.2577381051270133E-2</v>
      </c>
      <c r="AB70" s="24">
        <f t="shared" si="24"/>
        <v>5.5470347612815024E-2</v>
      </c>
      <c r="AC70" s="24">
        <f t="shared" si="25"/>
        <v>5.8552258777465463E-2</v>
      </c>
      <c r="AD70" s="24">
        <f t="shared" si="26"/>
        <v>6.1946391414069844E-2</v>
      </c>
      <c r="AE70" s="24">
        <f t="shared" si="27"/>
        <v>6.5609685238387908E-2</v>
      </c>
      <c r="AF70" s="24">
        <f t="shared" si="28"/>
        <v>6.9461518505605807E-2</v>
      </c>
      <c r="AG70" s="24">
        <f t="shared" si="29"/>
        <v>7.3431596935788102E-2</v>
      </c>
      <c r="AH70" s="24">
        <f t="shared" si="30"/>
        <v>7.7469620790242846E-2</v>
      </c>
      <c r="AL70" s="23">
        <f t="shared" si="0"/>
        <v>0</v>
      </c>
      <c r="AM70" s="23">
        <f t="shared" si="1"/>
        <v>-9005.338836252331</v>
      </c>
      <c r="AN70" s="23">
        <f t="shared" si="2"/>
        <v>-7198.8108508314945</v>
      </c>
      <c r="AO70" s="23">
        <f t="shared" si="3"/>
        <v>-5802.7536673961831</v>
      </c>
      <c r="AP70" s="23">
        <f t="shared" si="4"/>
        <v>-4209.7914767333523</v>
      </c>
      <c r="AQ70" s="23">
        <f t="shared" si="5"/>
        <v>-2559.948205638138</v>
      </c>
      <c r="AR70" s="23">
        <f t="shared" si="6"/>
        <v>-896.22275173328205</v>
      </c>
      <c r="AS70" s="23">
        <f t="shared" si="7"/>
        <v>722.4224352849551</v>
      </c>
      <c r="AT70" s="23">
        <f t="shared" si="8"/>
        <v>2246.3764630610335</v>
      </c>
      <c r="AU70" s="23">
        <f t="shared" si="9"/>
        <v>3640.6479285170963</v>
      </c>
      <c r="AW70" s="25"/>
      <c r="AX70" s="25">
        <f t="shared" si="32"/>
        <v>-23063.418961721694</v>
      </c>
      <c r="AY70" s="25">
        <f t="shared" si="33"/>
        <v>-14058.080125469365</v>
      </c>
      <c r="AZ70" s="25">
        <f t="shared" si="34"/>
        <v>-6859.2692746378698</v>
      </c>
      <c r="BA70" s="25">
        <f t="shared" si="35"/>
        <v>-1056.5156072416876</v>
      </c>
      <c r="BB70" s="25">
        <f t="shared" si="36"/>
        <v>3153.2758694916647</v>
      </c>
      <c r="BC70" s="25">
        <f t="shared" si="37"/>
        <v>5713.2240751298032</v>
      </c>
      <c r="BD70" s="25">
        <f t="shared" si="38"/>
        <v>6609.4468268630844</v>
      </c>
      <c r="BE70" s="25">
        <f t="shared" si="39"/>
        <v>5887.0243915781302</v>
      </c>
      <c r="BF70" s="25">
        <f t="shared" si="40"/>
        <v>3640.6479285170963</v>
      </c>
      <c r="BG70" s="25">
        <f t="shared" si="41"/>
        <v>0</v>
      </c>
      <c r="BI70" s="25"/>
      <c r="BJ70" s="25">
        <f t="shared" si="55"/>
        <v>0</v>
      </c>
      <c r="BK70" s="25">
        <f t="shared" si="56"/>
        <v>0</v>
      </c>
      <c r="BL70" s="25">
        <f t="shared" si="57"/>
        <v>0</v>
      </c>
      <c r="BM70" s="25">
        <f t="shared" si="58"/>
        <v>0</v>
      </c>
      <c r="BN70" s="25">
        <f t="shared" si="59"/>
        <v>3153.2758694916647</v>
      </c>
      <c r="BO70" s="25">
        <f t="shared" si="60"/>
        <v>5713.2240751298032</v>
      </c>
      <c r="BP70" s="25">
        <f t="shared" si="61"/>
        <v>6609.4468268630844</v>
      </c>
      <c r="BQ70" s="25">
        <f t="shared" si="62"/>
        <v>5887.0243915781302</v>
      </c>
      <c r="BR70" s="25">
        <f t="shared" si="63"/>
        <v>3640.6479285170963</v>
      </c>
      <c r="BS70" s="25">
        <f t="shared" si="64"/>
        <v>0</v>
      </c>
    </row>
    <row r="71" spans="1:71" x14ac:dyDescent="0.2">
      <c r="A71" s="29">
        <f t="shared" si="53"/>
        <v>0.63000000000000034</v>
      </c>
      <c r="B71" s="30">
        <v>3.9441449567979889E-2</v>
      </c>
      <c r="C71" s="30">
        <v>4.4334928599772727E-2</v>
      </c>
      <c r="D71" s="30">
        <v>4.8980766592866813E-2</v>
      </c>
      <c r="E71" s="30">
        <v>5.2300509443377642E-2</v>
      </c>
      <c r="F71" s="30">
        <v>5.5233532753229966E-2</v>
      </c>
      <c r="G71" s="30">
        <v>5.8358675083579663E-2</v>
      </c>
      <c r="H71" s="30">
        <v>6.179577244379323E-2</v>
      </c>
      <c r="I71" s="30">
        <v>6.5500897733133334E-2</v>
      </c>
      <c r="J71" s="30">
        <v>6.9393519055851671E-2</v>
      </c>
      <c r="K71" s="30">
        <v>7.3403624524062364E-2</v>
      </c>
      <c r="L71" s="30">
        <v>7.7481077135227158E-2</v>
      </c>
      <c r="N71" s="1"/>
      <c r="O71" s="55">
        <f t="shared" si="12"/>
        <v>0.97807642845138809</v>
      </c>
      <c r="P71" s="54">
        <f t="shared" si="13"/>
        <v>0.95219944356195529</v>
      </c>
      <c r="Q71" s="1">
        <f t="shared" si="65"/>
        <v>0.94904362741424986</v>
      </c>
      <c r="R71" s="57">
        <f t="shared" si="66"/>
        <v>0.92048893490092232</v>
      </c>
      <c r="S71" s="1">
        <f t="shared" si="67"/>
        <v>0.88983666980779808</v>
      </c>
      <c r="T71" s="60">
        <f t="shared" si="68"/>
        <v>0.85685254807501088</v>
      </c>
      <c r="U71" s="58">
        <f t="shared" si="69"/>
        <v>0.82159911856202084</v>
      </c>
      <c r="V71" s="53">
        <f t="shared" si="70"/>
        <v>0.7843677366948586</v>
      </c>
      <c r="W71" s="58">
        <f t="shared" si="71"/>
        <v>0.74556385233508715</v>
      </c>
      <c r="Y71" s="24"/>
      <c r="Z71" s="24">
        <f t="shared" si="22"/>
        <v>4.8980766592866813E-2</v>
      </c>
      <c r="AA71" s="24">
        <f t="shared" si="23"/>
        <v>5.2300509443377642E-2</v>
      </c>
      <c r="AB71" s="24">
        <f t="shared" si="24"/>
        <v>5.5233532753229966E-2</v>
      </c>
      <c r="AC71" s="24">
        <f t="shared" si="25"/>
        <v>5.8358675083579656E-2</v>
      </c>
      <c r="AD71" s="24">
        <f t="shared" si="26"/>
        <v>6.179577244379323E-2</v>
      </c>
      <c r="AE71" s="24">
        <f t="shared" si="27"/>
        <v>6.5500897733133334E-2</v>
      </c>
      <c r="AF71" s="24">
        <f t="shared" si="28"/>
        <v>6.9393519055851671E-2</v>
      </c>
      <c r="AG71" s="24">
        <f t="shared" si="29"/>
        <v>7.3403624524062364E-2</v>
      </c>
      <c r="AH71" s="24">
        <f t="shared" si="30"/>
        <v>7.7481077135227158E-2</v>
      </c>
      <c r="AL71" s="23">
        <f t="shared" si="0"/>
        <v>0</v>
      </c>
      <c r="AM71" s="23">
        <f t="shared" si="1"/>
        <v>-9155.5785279773136</v>
      </c>
      <c r="AN71" s="23">
        <f t="shared" si="2"/>
        <v>-7332.8205818836204</v>
      </c>
      <c r="AO71" s="23">
        <f t="shared" si="3"/>
        <v>-5916.7343242513252</v>
      </c>
      <c r="AP71" s="23">
        <f t="shared" si="4"/>
        <v>-4300.3829782323346</v>
      </c>
      <c r="AQ71" s="23">
        <f t="shared" si="5"/>
        <v>-2627.952667449229</v>
      </c>
      <c r="AR71" s="23">
        <f t="shared" si="6"/>
        <v>-943.16771118612087</v>
      </c>
      <c r="AS71" s="23">
        <f t="shared" si="7"/>
        <v>694.72410137572115</v>
      </c>
      <c r="AT71" s="23">
        <f t="shared" si="8"/>
        <v>2235.9408313213194</v>
      </c>
      <c r="AU71" s="23">
        <f t="shared" si="9"/>
        <v>3645.3260204684266</v>
      </c>
      <c r="AW71" s="25"/>
      <c r="AX71" s="25">
        <f t="shared" si="32"/>
        <v>-23700.645837814474</v>
      </c>
      <c r="AY71" s="25">
        <f t="shared" si="33"/>
        <v>-14545.067309837163</v>
      </c>
      <c r="AZ71" s="25">
        <f t="shared" si="34"/>
        <v>-7212.2467279535449</v>
      </c>
      <c r="BA71" s="25">
        <f t="shared" si="35"/>
        <v>-1295.5124037022179</v>
      </c>
      <c r="BB71" s="25">
        <f t="shared" si="36"/>
        <v>3004.8705745301172</v>
      </c>
      <c r="BC71" s="25">
        <f t="shared" si="37"/>
        <v>5632.8232419793458</v>
      </c>
      <c r="BD71" s="25">
        <f t="shared" si="38"/>
        <v>6575.9909531654666</v>
      </c>
      <c r="BE71" s="25">
        <f t="shared" si="39"/>
        <v>5881.2668517897455</v>
      </c>
      <c r="BF71" s="25">
        <f t="shared" si="40"/>
        <v>3645.3260204684266</v>
      </c>
      <c r="BG71" s="25">
        <f t="shared" si="41"/>
        <v>0</v>
      </c>
      <c r="BI71" s="25"/>
      <c r="BJ71" s="25">
        <f t="shared" si="55"/>
        <v>0</v>
      </c>
      <c r="BK71" s="25">
        <f t="shared" si="56"/>
        <v>0</v>
      </c>
      <c r="BL71" s="25">
        <f t="shared" si="57"/>
        <v>0</v>
      </c>
      <c r="BM71" s="25">
        <f t="shared" si="58"/>
        <v>0</v>
      </c>
      <c r="BN71" s="25">
        <f t="shared" si="59"/>
        <v>3004.8705745301172</v>
      </c>
      <c r="BO71" s="25">
        <f t="shared" si="60"/>
        <v>5632.8232419793458</v>
      </c>
      <c r="BP71" s="25">
        <f t="shared" si="61"/>
        <v>6575.9909531654666</v>
      </c>
      <c r="BQ71" s="25">
        <f t="shared" si="62"/>
        <v>5881.2668517897455</v>
      </c>
      <c r="BR71" s="25">
        <f t="shared" si="63"/>
        <v>3645.3260204684266</v>
      </c>
      <c r="BS71" s="25">
        <f t="shared" si="64"/>
        <v>0</v>
      </c>
    </row>
    <row r="72" spans="1:71" x14ac:dyDescent="0.2">
      <c r="A72" s="29">
        <f t="shared" si="53"/>
        <v>0.64000000000000035</v>
      </c>
      <c r="B72" s="30">
        <v>3.9004018563529114E-2</v>
      </c>
      <c r="C72" s="30">
        <v>4.3944845858120446E-2</v>
      </c>
      <c r="D72" s="30">
        <v>4.8613852638906205E-2</v>
      </c>
      <c r="E72" s="30">
        <v>5.1973004664807781E-2</v>
      </c>
      <c r="F72" s="30">
        <v>5.495452723756164E-2</v>
      </c>
      <c r="G72" s="30">
        <v>5.8128136981726003E-2</v>
      </c>
      <c r="H72" s="30">
        <v>6.1610450884368437E-2</v>
      </c>
      <c r="I72" s="30">
        <v>6.5356864517889052E-2</v>
      </c>
      <c r="J72" s="30">
        <v>6.928711004278805E-2</v>
      </c>
      <c r="K72" s="30">
        <v>7.333162592643451E-2</v>
      </c>
      <c r="L72" s="30">
        <v>7.7440606165776499E-2</v>
      </c>
      <c r="N72" s="1"/>
      <c r="O72" s="55">
        <f t="shared" si="12"/>
        <v>0.97826721242354497</v>
      </c>
      <c r="P72" s="54">
        <f t="shared" si="13"/>
        <v>0.95254888292792117</v>
      </c>
      <c r="Q72" s="1">
        <f t="shared" si="65"/>
        <v>0.94935449463977162</v>
      </c>
      <c r="R72" s="57">
        <f t="shared" si="66"/>
        <v>0.92087424775853133</v>
      </c>
      <c r="S72" s="1">
        <f t="shared" si="67"/>
        <v>0.8902470469217233</v>
      </c>
      <c r="T72" s="60">
        <f t="shared" si="68"/>
        <v>0.85724962317714548</v>
      </c>
      <c r="U72" s="58">
        <f t="shared" si="69"/>
        <v>0.82195420796156293</v>
      </c>
      <c r="V72" s="53">
        <f t="shared" si="70"/>
        <v>0.78465991438816862</v>
      </c>
      <c r="W72" s="58">
        <f t="shared" si="71"/>
        <v>0.74577860146411579</v>
      </c>
      <c r="Y72" s="24"/>
      <c r="Z72" s="24">
        <f t="shared" si="22"/>
        <v>4.8613852638906205E-2</v>
      </c>
      <c r="AA72" s="24">
        <f t="shared" si="23"/>
        <v>5.1973004664807781E-2</v>
      </c>
      <c r="AB72" s="24">
        <f t="shared" si="24"/>
        <v>5.495452723756164E-2</v>
      </c>
      <c r="AC72" s="24">
        <f t="shared" si="25"/>
        <v>5.812813698172601E-2</v>
      </c>
      <c r="AD72" s="24">
        <f t="shared" si="26"/>
        <v>6.161045088436843E-2</v>
      </c>
      <c r="AE72" s="24">
        <f t="shared" si="27"/>
        <v>6.5356864517889052E-2</v>
      </c>
      <c r="AF72" s="24">
        <f t="shared" si="28"/>
        <v>6.928711004278805E-2</v>
      </c>
      <c r="AG72" s="24">
        <f t="shared" si="29"/>
        <v>7.333162592643451E-2</v>
      </c>
      <c r="AH72" s="24">
        <f t="shared" si="30"/>
        <v>7.7440606165776499E-2</v>
      </c>
      <c r="AL72" s="23">
        <f t="shared" ref="AL72:AL135" si="72">N*(Y72-fix)*N72*time</f>
        <v>0</v>
      </c>
      <c r="AM72" s="23">
        <f t="shared" ref="AM72:AM135" si="73">N*(Z72-fix)*O72*time</f>
        <v>-9336.8343641899173</v>
      </c>
      <c r="AN72" s="23">
        <f t="shared" ref="AN72:AN135" si="74">N*(AA72-fix)*P72*time</f>
        <v>-7491.4937452211161</v>
      </c>
      <c r="AO72" s="23">
        <f t="shared" ref="AO72:AO135" si="75">N*(AB72-fix)*Q72*time</f>
        <v>-6051.109970527823</v>
      </c>
      <c r="AP72" s="23">
        <f t="shared" ref="AP72:AP135" si="76">N*(AC72-fix)*R72*time</f>
        <v>-4408.3314013068402</v>
      </c>
      <c r="AQ72" s="23">
        <f t="shared" ref="AQ72:AQ135" si="77">N*(AD72-fix)*S72*time</f>
        <v>-2711.6556187759165</v>
      </c>
      <c r="AR72" s="23">
        <f t="shared" ref="AR72:AR135" si="78">N*(AE72-fix)*T72*time</f>
        <v>-1005.3409954516342</v>
      </c>
      <c r="AS72" s="23">
        <f t="shared" ref="AS72:AS135" si="79">N*(AF72-fix)*U72*time</f>
        <v>651.2926882528144</v>
      </c>
      <c r="AT72" s="23">
        <f t="shared" ref="AT72:AT135" si="80">N*(AG72-fix)*V72*time</f>
        <v>2208.5265145835283</v>
      </c>
      <c r="AU72" s="23">
        <f t="shared" ref="AU72:AU135" si="81">N*(AH72-fix)*W72*time</f>
        <v>3631.2848136030871</v>
      </c>
      <c r="AW72" s="25"/>
      <c r="AX72" s="25">
        <f t="shared" si="32"/>
        <v>-24513.66207903382</v>
      </c>
      <c r="AY72" s="25">
        <f t="shared" si="33"/>
        <v>-15176.827714843897</v>
      </c>
      <c r="AZ72" s="25">
        <f t="shared" si="34"/>
        <v>-7685.3339696227822</v>
      </c>
      <c r="BA72" s="25">
        <f t="shared" si="35"/>
        <v>-1634.2239990949611</v>
      </c>
      <c r="BB72" s="25">
        <f t="shared" si="36"/>
        <v>2774.1074022118792</v>
      </c>
      <c r="BC72" s="25">
        <f t="shared" si="37"/>
        <v>5485.7630209877952</v>
      </c>
      <c r="BD72" s="25">
        <f t="shared" si="38"/>
        <v>6491.1040164394299</v>
      </c>
      <c r="BE72" s="25">
        <f t="shared" si="39"/>
        <v>5839.8113281866154</v>
      </c>
      <c r="BF72" s="25">
        <f t="shared" si="40"/>
        <v>3631.2848136030871</v>
      </c>
      <c r="BG72" s="25">
        <f t="shared" si="41"/>
        <v>0</v>
      </c>
      <c r="BI72" s="25"/>
      <c r="BJ72" s="25">
        <f t="shared" si="55"/>
        <v>0</v>
      </c>
      <c r="BK72" s="25">
        <f t="shared" si="56"/>
        <v>0</v>
      </c>
      <c r="BL72" s="25">
        <f t="shared" si="57"/>
        <v>0</v>
      </c>
      <c r="BM72" s="25">
        <f t="shared" si="58"/>
        <v>0</v>
      </c>
      <c r="BN72" s="25">
        <f t="shared" si="59"/>
        <v>2774.1074022118792</v>
      </c>
      <c r="BO72" s="25">
        <f t="shared" si="60"/>
        <v>5485.7630209877952</v>
      </c>
      <c r="BP72" s="25">
        <f t="shared" si="61"/>
        <v>6491.1040164394299</v>
      </c>
      <c r="BQ72" s="25">
        <f t="shared" si="62"/>
        <v>5839.8113281866154</v>
      </c>
      <c r="BR72" s="25">
        <f t="shared" si="63"/>
        <v>3631.2848136030871</v>
      </c>
      <c r="BS72" s="25">
        <f t="shared" si="64"/>
        <v>0</v>
      </c>
    </row>
    <row r="73" spans="1:71" x14ac:dyDescent="0.2">
      <c r="A73" s="29">
        <f t="shared" si="53"/>
        <v>0.65000000000000036</v>
      </c>
      <c r="B73" s="30">
        <v>3.8914101591381575E-2</v>
      </c>
      <c r="C73" s="30">
        <v>4.3918459672625518E-2</v>
      </c>
      <c r="D73" s="30">
        <v>4.8626405899411973E-2</v>
      </c>
      <c r="E73" s="30">
        <v>5.2039413467643153E-2</v>
      </c>
      <c r="F73" s="30">
        <v>5.5082556923573847E-2</v>
      </c>
      <c r="G73" s="30">
        <v>5.8316587990885391E-2</v>
      </c>
      <c r="H73" s="30">
        <v>6.185499444568994E-2</v>
      </c>
      <c r="I73" s="30">
        <v>6.5652552338622078E-2</v>
      </c>
      <c r="J73" s="30">
        <v>6.9629300589845441E-2</v>
      </c>
      <c r="K73" s="30">
        <v>7.3716164612303459E-2</v>
      </c>
      <c r="L73" s="30">
        <v>7.7863706298481369E-2</v>
      </c>
      <c r="N73" s="1"/>
      <c r="O73" s="55">
        <f t="shared" ref="O73:O108" si="82">EXP(-C73*($O$7-$N$7))</f>
        <v>0.97828011887874811</v>
      </c>
      <c r="P73" s="54">
        <f t="shared" ref="P73:P108" si="83">EXP(-D73*($P$7-$N$7))</f>
        <v>0.95253692540870238</v>
      </c>
      <c r="Q73" s="1">
        <f t="shared" si="65"/>
        <v>0.94929145123765779</v>
      </c>
      <c r="R73" s="57">
        <f t="shared" si="66"/>
        <v>0.92069741587767651</v>
      </c>
      <c r="S73" s="1">
        <f t="shared" si="67"/>
        <v>0.88991157423707334</v>
      </c>
      <c r="T73" s="60">
        <f t="shared" si="68"/>
        <v>0.85672569615770489</v>
      </c>
      <c r="U73" s="58">
        <f t="shared" si="69"/>
        <v>0.82122540571079339</v>
      </c>
      <c r="V73" s="53">
        <f t="shared" si="70"/>
        <v>0.78372071570527435</v>
      </c>
      <c r="W73" s="58">
        <f t="shared" si="71"/>
        <v>0.7446323603447913</v>
      </c>
      <c r="Y73" s="24"/>
      <c r="Z73" s="24">
        <f t="shared" ref="Z73:Z108" si="84">(D73*$Z$7-C73*$X$7)/($Z$7-$X$7)</f>
        <v>4.8626405899411973E-2</v>
      </c>
      <c r="AA73" s="24">
        <f t="shared" ref="AA73:AA136" si="85">(E73*$AA$7-D73*$X$7)/($AA$7-$X$7)</f>
        <v>5.2039413467643153E-2</v>
      </c>
      <c r="AB73" s="24">
        <f t="shared" ref="AB73:AB136" si="86">(F73*$AB$7-E73*$X$7)/($AB$7-$X$7)</f>
        <v>5.5082556923573847E-2</v>
      </c>
      <c r="AC73" s="24">
        <f t="shared" ref="AC73:AC136" si="87">(G73*$AC$7-F73*$X$7)/($AC$7-$X$7)</f>
        <v>5.8316587990885391E-2</v>
      </c>
      <c r="AD73" s="24">
        <f t="shared" ref="AD73:AD136" si="88">(H73*$AD$7-G73*$X$7)/($AD$7-$X$7)</f>
        <v>6.1854994445689947E-2</v>
      </c>
      <c r="AE73" s="24">
        <f t="shared" ref="AE73:AE136" si="89">(I73*$AE$7-H73*$X$7)/($AE$7-$X$7)</f>
        <v>6.5652552338622078E-2</v>
      </c>
      <c r="AF73" s="24">
        <f t="shared" ref="AF73:AF136" si="90">(J73*$AF$7-I73*$X$7)/($AF$7-$X$7)</f>
        <v>6.9629300589845441E-2</v>
      </c>
      <c r="AG73" s="24">
        <f t="shared" ref="AG73:AG136" si="91">(K73*$AG$7-J73*$X$7)/($AG$7-$X$7)</f>
        <v>7.3716164612303459E-2</v>
      </c>
      <c r="AH73" s="24">
        <f t="shared" ref="AH73:AH136" si="92">(L73*$AH$7-K73*$X$7)/($AH$7-$X$7)</f>
        <v>7.7863706298481369E-2</v>
      </c>
      <c r="AL73" s="23">
        <f t="shared" si="72"/>
        <v>0</v>
      </c>
      <c r="AM73" s="23">
        <f t="shared" si="73"/>
        <v>-9330.8172441342776</v>
      </c>
      <c r="AN73" s="23">
        <f t="shared" si="74"/>
        <v>-7459.7712847023859</v>
      </c>
      <c r="AO73" s="23">
        <f t="shared" si="75"/>
        <v>-5989.9393936836332</v>
      </c>
      <c r="AP73" s="23">
        <f t="shared" si="76"/>
        <v>-4320.7317080896828</v>
      </c>
      <c r="AQ73" s="23">
        <f t="shared" si="77"/>
        <v>-2601.8227100657305</v>
      </c>
      <c r="AR73" s="23">
        <f t="shared" si="78"/>
        <v>-878.06488209147801</v>
      </c>
      <c r="AS73" s="23">
        <f t="shared" si="79"/>
        <v>791.22299189403032</v>
      </c>
      <c r="AT73" s="23">
        <f t="shared" si="80"/>
        <v>2356.5684858292821</v>
      </c>
      <c r="AU73" s="23">
        <f t="shared" si="81"/>
        <v>3783.2306543443342</v>
      </c>
      <c r="AW73" s="25"/>
      <c r="AX73" s="25">
        <f t="shared" ref="AX73:AX108" si="93">SUM(AM73:AU73)</f>
        <v>-23650.125090699545</v>
      </c>
      <c r="AY73" s="25">
        <f t="shared" ref="AY73:AY136" si="94">SUM(AN73:AU73)</f>
        <v>-14319.307846565265</v>
      </c>
      <c r="AZ73" s="25">
        <f t="shared" ref="AZ73:AZ136" si="95">SUM(AO73:AU73)</f>
        <v>-6859.5365618628766</v>
      </c>
      <c r="BA73" s="25">
        <f t="shared" ref="BA73:BA136" si="96">SUM(AP73:AU73)</f>
        <v>-869.59716817924482</v>
      </c>
      <c r="BB73" s="25">
        <f t="shared" ref="BB73:BB136" si="97">SUM(AQ73:AU73)</f>
        <v>3451.134539910438</v>
      </c>
      <c r="BC73" s="25">
        <f t="shared" ref="BC73:BC136" si="98">SUM(AR73:AU73)</f>
        <v>6052.9572499761689</v>
      </c>
      <c r="BD73" s="25">
        <f t="shared" ref="BD73:BD136" si="99">SUM(AS73:AU73)</f>
        <v>6931.0221320676465</v>
      </c>
      <c r="BE73" s="25">
        <f t="shared" ref="BE73:BE136" si="100">SUM(AT73:AU73)</f>
        <v>6139.7991401736163</v>
      </c>
      <c r="BF73" s="25">
        <f t="shared" ref="BF73:BF136" si="101">SUM(AU73)</f>
        <v>3783.2306543443342</v>
      </c>
      <c r="BG73" s="25">
        <f t="shared" ref="BG73:BG136" si="102">SUM(AV73)</f>
        <v>0</v>
      </c>
      <c r="BI73" s="25"/>
      <c r="BJ73" s="25">
        <f t="shared" si="55"/>
        <v>0</v>
      </c>
      <c r="BK73" s="25">
        <f t="shared" si="56"/>
        <v>0</v>
      </c>
      <c r="BL73" s="25">
        <f t="shared" si="57"/>
        <v>0</v>
      </c>
      <c r="BM73" s="25">
        <f t="shared" si="58"/>
        <v>0</v>
      </c>
      <c r="BN73" s="25">
        <f t="shared" si="59"/>
        <v>3451.134539910438</v>
      </c>
      <c r="BO73" s="25">
        <f t="shared" si="60"/>
        <v>6052.9572499761689</v>
      </c>
      <c r="BP73" s="25">
        <f t="shared" si="61"/>
        <v>6931.0221320676465</v>
      </c>
      <c r="BQ73" s="25">
        <f t="shared" si="62"/>
        <v>6139.7991401736163</v>
      </c>
      <c r="BR73" s="25">
        <f t="shared" si="63"/>
        <v>3783.2306543443342</v>
      </c>
      <c r="BS73" s="25">
        <f t="shared" si="64"/>
        <v>0</v>
      </c>
    </row>
    <row r="74" spans="1:71" x14ac:dyDescent="0.2">
      <c r="A74" s="29">
        <f t="shared" ref="A74:A137" si="103">A73+0.01</f>
        <v>0.66000000000000036</v>
      </c>
      <c r="B74" s="30">
        <v>3.788273344301242E-2</v>
      </c>
      <c r="C74" s="30">
        <v>4.2862076654284154E-2</v>
      </c>
      <c r="D74" s="30">
        <v>4.7525977144709936E-2</v>
      </c>
      <c r="E74" s="30">
        <v>5.0914369745482968E-2</v>
      </c>
      <c r="F74" s="30">
        <v>5.3945029326627876E-2</v>
      </c>
      <c r="G74" s="30">
        <v>5.7169746786906964E-2</v>
      </c>
      <c r="H74" s="30">
        <v>6.0698818247420197E-2</v>
      </c>
      <c r="I74" s="30">
        <v>6.4486306124824616E-2</v>
      </c>
      <c r="J74" s="30">
        <v>6.8452447064824937E-2</v>
      </c>
      <c r="K74" s="30">
        <v>7.2528538407097637E-2</v>
      </c>
      <c r="L74" s="30">
        <v>7.6665395232072192E-2</v>
      </c>
      <c r="N74" s="1"/>
      <c r="O74" s="55">
        <f t="shared" si="82"/>
        <v>0.97879697461852067</v>
      </c>
      <c r="P74" s="54">
        <f t="shared" si="83"/>
        <v>0.95358570137711995</v>
      </c>
      <c r="Q74" s="1">
        <f t="shared" si="65"/>
        <v>0.95036004662092455</v>
      </c>
      <c r="R74" s="57">
        <f t="shared" si="66"/>
        <v>0.92226973499198606</v>
      </c>
      <c r="S74" s="1">
        <f t="shared" si="67"/>
        <v>0.89195509145337448</v>
      </c>
      <c r="T74" s="60">
        <f t="shared" si="68"/>
        <v>0.85920559307424538</v>
      </c>
      <c r="U74" s="58">
        <f t="shared" si="69"/>
        <v>0.82410369101892966</v>
      </c>
      <c r="V74" s="53">
        <f t="shared" si="70"/>
        <v>0.78695550887203136</v>
      </c>
      <c r="W74" s="58">
        <f t="shared" si="71"/>
        <v>0.74817815545247845</v>
      </c>
      <c r="Y74" s="24"/>
      <c r="Z74" s="24">
        <f t="shared" si="84"/>
        <v>4.7525977144709936E-2</v>
      </c>
      <c r="AA74" s="24">
        <f t="shared" si="85"/>
        <v>5.0914369745482968E-2</v>
      </c>
      <c r="AB74" s="24">
        <f t="shared" si="86"/>
        <v>5.3945029326627876E-2</v>
      </c>
      <c r="AC74" s="24">
        <f t="shared" si="87"/>
        <v>5.7169746786906964E-2</v>
      </c>
      <c r="AD74" s="24">
        <f t="shared" si="88"/>
        <v>6.0698818247420204E-2</v>
      </c>
      <c r="AE74" s="24">
        <f t="shared" si="89"/>
        <v>6.4486306124824616E-2</v>
      </c>
      <c r="AF74" s="24">
        <f t="shared" si="90"/>
        <v>6.8452447064824937E-2</v>
      </c>
      <c r="AG74" s="24">
        <f t="shared" si="91"/>
        <v>7.2528538407097637E-2</v>
      </c>
      <c r="AH74" s="24">
        <f t="shared" si="92"/>
        <v>7.6665395232072192E-2</v>
      </c>
      <c r="AL74" s="23">
        <f t="shared" si="72"/>
        <v>0</v>
      </c>
      <c r="AM74" s="23">
        <f t="shared" si="73"/>
        <v>-9874.295172333188</v>
      </c>
      <c r="AN74" s="23">
        <f t="shared" si="74"/>
        <v>-8004.3975533033781</v>
      </c>
      <c r="AO74" s="23">
        <f t="shared" si="75"/>
        <v>-6537.2125196528614</v>
      </c>
      <c r="AP74" s="23">
        <f t="shared" si="76"/>
        <v>-4856.9588953942211</v>
      </c>
      <c r="AQ74" s="23">
        <f t="shared" si="77"/>
        <v>-3123.4259376793952</v>
      </c>
      <c r="AR74" s="23">
        <f t="shared" si="78"/>
        <v>-1381.6291827800292</v>
      </c>
      <c r="AS74" s="23">
        <f t="shared" si="79"/>
        <v>309.0714558718895</v>
      </c>
      <c r="AT74" s="23">
        <f t="shared" si="80"/>
        <v>1898.9906875616609</v>
      </c>
      <c r="AU74" s="23">
        <f t="shared" si="81"/>
        <v>3352.9705844649261</v>
      </c>
      <c r="AW74" s="25"/>
      <c r="AX74" s="25">
        <f t="shared" si="93"/>
        <v>-28216.8865332446</v>
      </c>
      <c r="AY74" s="25">
        <f t="shared" si="94"/>
        <v>-18342.59136091141</v>
      </c>
      <c r="AZ74" s="25">
        <f t="shared" si="95"/>
        <v>-10338.19380760803</v>
      </c>
      <c r="BA74" s="25">
        <f t="shared" si="96"/>
        <v>-3800.9812879551682</v>
      </c>
      <c r="BB74" s="25">
        <f t="shared" si="97"/>
        <v>1055.9776074390511</v>
      </c>
      <c r="BC74" s="25">
        <f t="shared" si="98"/>
        <v>4179.4035451184473</v>
      </c>
      <c r="BD74" s="25">
        <f t="shared" si="99"/>
        <v>5561.0327278984769</v>
      </c>
      <c r="BE74" s="25">
        <f t="shared" si="100"/>
        <v>5251.9612720265868</v>
      </c>
      <c r="BF74" s="25">
        <f t="shared" si="101"/>
        <v>3352.9705844649261</v>
      </c>
      <c r="BG74" s="25">
        <f t="shared" si="102"/>
        <v>0</v>
      </c>
      <c r="BI74" s="25"/>
      <c r="BJ74" s="25">
        <f t="shared" si="55"/>
        <v>0</v>
      </c>
      <c r="BK74" s="25">
        <f t="shared" si="56"/>
        <v>0</v>
      </c>
      <c r="BL74" s="25">
        <f t="shared" si="57"/>
        <v>0</v>
      </c>
      <c r="BM74" s="25">
        <f t="shared" si="58"/>
        <v>0</v>
      </c>
      <c r="BN74" s="25">
        <f t="shared" si="59"/>
        <v>1055.9776074390511</v>
      </c>
      <c r="BO74" s="25">
        <f t="shared" si="60"/>
        <v>4179.4035451184473</v>
      </c>
      <c r="BP74" s="25">
        <f t="shared" si="61"/>
        <v>5561.0327278984769</v>
      </c>
      <c r="BQ74" s="25">
        <f t="shared" si="62"/>
        <v>5251.9612720265868</v>
      </c>
      <c r="BR74" s="25">
        <f t="shared" si="63"/>
        <v>3352.9705844649261</v>
      </c>
      <c r="BS74" s="25">
        <f t="shared" si="64"/>
        <v>0</v>
      </c>
    </row>
    <row r="75" spans="1:71" x14ac:dyDescent="0.2">
      <c r="A75" s="29">
        <f t="shared" si="103"/>
        <v>0.67000000000000037</v>
      </c>
      <c r="B75" s="30">
        <v>3.7056599729787837E-2</v>
      </c>
      <c r="C75" s="30">
        <v>4.2053687571652378E-2</v>
      </c>
      <c r="D75" s="30">
        <v>4.6718236477096796E-2</v>
      </c>
      <c r="E75" s="30">
        <v>5.0127587994623524E-2</v>
      </c>
      <c r="F75" s="30">
        <v>5.3192044403301927E-2</v>
      </c>
      <c r="G75" s="30">
        <v>5.6454411468622075E-2</v>
      </c>
      <c r="H75" s="30">
        <v>6.0021703525341134E-2</v>
      </c>
      <c r="I75" s="30">
        <v>6.3847147891577624E-2</v>
      </c>
      <c r="J75" s="30">
        <v>6.7851042730849881E-2</v>
      </c>
      <c r="K75" s="30">
        <v>7.1964915243040287E-2</v>
      </c>
      <c r="L75" s="30">
        <v>7.6139691946673416E-2</v>
      </c>
      <c r="N75" s="1"/>
      <c r="O75" s="55">
        <f t="shared" si="82"/>
        <v>0.97919267897810169</v>
      </c>
      <c r="P75" s="54">
        <f t="shared" si="83"/>
        <v>0.95435626249305605</v>
      </c>
      <c r="Q75" s="1">
        <f t="shared" si="65"/>
        <v>0.95110806678807325</v>
      </c>
      <c r="R75" s="57">
        <f t="shared" si="66"/>
        <v>0.92331200630065158</v>
      </c>
      <c r="S75" s="1">
        <f t="shared" si="67"/>
        <v>0.8932320986824116</v>
      </c>
      <c r="T75" s="60">
        <f t="shared" si="68"/>
        <v>0.86066127669856096</v>
      </c>
      <c r="U75" s="58">
        <f t="shared" si="69"/>
        <v>0.82568540496002862</v>
      </c>
      <c r="V75" s="53">
        <f t="shared" si="70"/>
        <v>0.78861372805301777</v>
      </c>
      <c r="W75" s="58">
        <f t="shared" si="71"/>
        <v>0.74986682043564579</v>
      </c>
      <c r="Y75" s="24"/>
      <c r="Z75" s="24">
        <f t="shared" si="84"/>
        <v>4.6718236477096796E-2</v>
      </c>
      <c r="AA75" s="24">
        <f t="shared" si="85"/>
        <v>5.0127587994623524E-2</v>
      </c>
      <c r="AB75" s="24">
        <f t="shared" si="86"/>
        <v>5.3192044403301927E-2</v>
      </c>
      <c r="AC75" s="24">
        <f t="shared" si="87"/>
        <v>5.6454411468622082E-2</v>
      </c>
      <c r="AD75" s="24">
        <f t="shared" si="88"/>
        <v>6.0021703525341134E-2</v>
      </c>
      <c r="AE75" s="24">
        <f t="shared" si="89"/>
        <v>6.3847147891577624E-2</v>
      </c>
      <c r="AF75" s="24">
        <f t="shared" si="90"/>
        <v>6.7851042730849881E-2</v>
      </c>
      <c r="AG75" s="24">
        <f t="shared" si="91"/>
        <v>7.1964915243040287E-2</v>
      </c>
      <c r="AH75" s="24">
        <f t="shared" si="92"/>
        <v>7.6139691946673416E-2</v>
      </c>
      <c r="AL75" s="23">
        <f t="shared" si="72"/>
        <v>0</v>
      </c>
      <c r="AM75" s="23">
        <f t="shared" si="73"/>
        <v>-10273.753989367442</v>
      </c>
      <c r="AN75" s="23">
        <f t="shared" si="74"/>
        <v>-8386.3006882186346</v>
      </c>
      <c r="AO75" s="23">
        <f t="shared" si="75"/>
        <v>-6900.4429204188191</v>
      </c>
      <c r="AP75" s="23">
        <f t="shared" si="76"/>
        <v>-5192.6866638025485</v>
      </c>
      <c r="AQ75" s="23">
        <f t="shared" si="77"/>
        <v>-3430.3080316475516</v>
      </c>
      <c r="AR75" s="23">
        <f t="shared" si="78"/>
        <v>-1659.0193376151281</v>
      </c>
      <c r="AS75" s="23">
        <f t="shared" si="79"/>
        <v>61.379270593750185</v>
      </c>
      <c r="AT75" s="23">
        <f t="shared" si="80"/>
        <v>1680.7516294051677</v>
      </c>
      <c r="AU75" s="23">
        <f t="shared" si="81"/>
        <v>3163.4346340081556</v>
      </c>
      <c r="AW75" s="25"/>
      <c r="AX75" s="25">
        <f t="shared" si="93"/>
        <v>-30936.946097063053</v>
      </c>
      <c r="AY75" s="25">
        <f t="shared" si="94"/>
        <v>-20663.192107695613</v>
      </c>
      <c r="AZ75" s="25">
        <f t="shared" si="95"/>
        <v>-12276.891419476977</v>
      </c>
      <c r="BA75" s="25">
        <f t="shared" si="96"/>
        <v>-5376.4484990581532</v>
      </c>
      <c r="BB75" s="25">
        <f t="shared" si="97"/>
        <v>-183.76183525560646</v>
      </c>
      <c r="BC75" s="25">
        <f t="shared" si="98"/>
        <v>3246.5461963919452</v>
      </c>
      <c r="BD75" s="25">
        <f t="shared" si="99"/>
        <v>4905.5655340070734</v>
      </c>
      <c r="BE75" s="25">
        <f t="shared" si="100"/>
        <v>4844.1862634133231</v>
      </c>
      <c r="BF75" s="25">
        <f t="shared" si="101"/>
        <v>3163.4346340081556</v>
      </c>
      <c r="BG75" s="25">
        <f t="shared" si="102"/>
        <v>0</v>
      </c>
      <c r="BI75" s="25"/>
      <c r="BJ75" s="25">
        <f t="shared" si="55"/>
        <v>0</v>
      </c>
      <c r="BK75" s="25">
        <f t="shared" si="56"/>
        <v>0</v>
      </c>
      <c r="BL75" s="25">
        <f t="shared" si="57"/>
        <v>0</v>
      </c>
      <c r="BM75" s="25">
        <f t="shared" si="58"/>
        <v>0</v>
      </c>
      <c r="BN75" s="25">
        <f t="shared" si="59"/>
        <v>0</v>
      </c>
      <c r="BO75" s="25">
        <f t="shared" si="60"/>
        <v>3246.5461963919452</v>
      </c>
      <c r="BP75" s="25">
        <f t="shared" si="61"/>
        <v>4905.5655340070734</v>
      </c>
      <c r="BQ75" s="25">
        <f t="shared" si="62"/>
        <v>4844.1862634133231</v>
      </c>
      <c r="BR75" s="25">
        <f t="shared" si="63"/>
        <v>3163.4346340081556</v>
      </c>
      <c r="BS75" s="25">
        <f t="shared" si="64"/>
        <v>0</v>
      </c>
    </row>
    <row r="76" spans="1:71" x14ac:dyDescent="0.2">
      <c r="A76" s="29">
        <f t="shared" si="103"/>
        <v>0.68000000000000038</v>
      </c>
      <c r="B76" s="30">
        <v>3.7196877913901499E-2</v>
      </c>
      <c r="C76" s="30">
        <v>4.215792933514332E-2</v>
      </c>
      <c r="D76" s="30">
        <v>4.6771652768808715E-2</v>
      </c>
      <c r="E76" s="30">
        <v>5.0151904870977725E-2</v>
      </c>
      <c r="F76" s="30">
        <v>5.3201491055351768E-2</v>
      </c>
      <c r="G76" s="30">
        <v>5.6454351997520927E-2</v>
      </c>
      <c r="H76" s="30">
        <v>6.0014275156089314E-2</v>
      </c>
      <c r="I76" s="30">
        <v>6.383367665939764E-2</v>
      </c>
      <c r="J76" s="30">
        <v>6.7832925532059329E-2</v>
      </c>
      <c r="K76" s="30">
        <v>7.1943782442154158E-2</v>
      </c>
      <c r="L76" s="30">
        <v>7.6117289276312561E-2</v>
      </c>
      <c r="N76" s="1"/>
      <c r="O76" s="55">
        <f t="shared" si="82"/>
        <v>0.97914164392228231</v>
      </c>
      <c r="P76" s="54">
        <f t="shared" si="83"/>
        <v>0.95430528568204986</v>
      </c>
      <c r="Q76" s="1">
        <f t="shared" si="65"/>
        <v>0.95108493909201153</v>
      </c>
      <c r="R76" s="57">
        <f t="shared" si="66"/>
        <v>0.92329892308246075</v>
      </c>
      <c r="S76" s="1">
        <f t="shared" si="67"/>
        <v>0.89323220492541089</v>
      </c>
      <c r="T76" s="60">
        <f t="shared" si="68"/>
        <v>0.86067726012138412</v>
      </c>
      <c r="U76" s="58">
        <f t="shared" si="69"/>
        <v>0.82571877463371346</v>
      </c>
      <c r="V76" s="53">
        <f t="shared" si="70"/>
        <v>0.78866373578938154</v>
      </c>
      <c r="W76" s="58">
        <f t="shared" si="71"/>
        <v>0.74993021025964657</v>
      </c>
      <c r="Y76" s="24"/>
      <c r="Z76" s="24">
        <f t="shared" si="84"/>
        <v>4.6771652768808715E-2</v>
      </c>
      <c r="AA76" s="24">
        <f t="shared" si="85"/>
        <v>5.0151904870977725E-2</v>
      </c>
      <c r="AB76" s="24">
        <f t="shared" si="86"/>
        <v>5.3201491055351768E-2</v>
      </c>
      <c r="AC76" s="24">
        <f t="shared" si="87"/>
        <v>5.6454351997520927E-2</v>
      </c>
      <c r="AD76" s="24">
        <f t="shared" si="88"/>
        <v>6.0014275156089314E-2</v>
      </c>
      <c r="AE76" s="24">
        <f t="shared" si="89"/>
        <v>6.383367665939764E-2</v>
      </c>
      <c r="AF76" s="24">
        <f t="shared" si="90"/>
        <v>6.7832925532059329E-2</v>
      </c>
      <c r="AG76" s="24">
        <f t="shared" si="91"/>
        <v>7.1943782442154158E-2</v>
      </c>
      <c r="AH76" s="24">
        <f t="shared" si="92"/>
        <v>7.6117289276312561E-2</v>
      </c>
      <c r="AL76" s="23">
        <f t="shared" si="72"/>
        <v>0</v>
      </c>
      <c r="AM76" s="23">
        <f t="shared" si="73"/>
        <v>-10247.067468365687</v>
      </c>
      <c r="AN76" s="23">
        <f t="shared" si="74"/>
        <v>-8374.2498732807471</v>
      </c>
      <c r="AO76" s="23">
        <f t="shared" si="75"/>
        <v>-6895.782840996947</v>
      </c>
      <c r="AP76" s="23">
        <f t="shared" si="76"/>
        <v>-5192.6405388695111</v>
      </c>
      <c r="AQ76" s="23">
        <f t="shared" si="77"/>
        <v>-3433.6260689788701</v>
      </c>
      <c r="AR76" s="23">
        <f t="shared" si="78"/>
        <v>-1664.8473390233639</v>
      </c>
      <c r="AS76" s="23">
        <f t="shared" si="79"/>
        <v>53.90189561452604</v>
      </c>
      <c r="AT76" s="23">
        <f t="shared" si="80"/>
        <v>1672.5248727268495</v>
      </c>
      <c r="AU76" s="23">
        <f t="shared" si="81"/>
        <v>3155.3018346005742</v>
      </c>
      <c r="AW76" s="25"/>
      <c r="AX76" s="25">
        <f t="shared" si="93"/>
        <v>-30926.485526573179</v>
      </c>
      <c r="AY76" s="25">
        <f t="shared" si="94"/>
        <v>-20679.418058207491</v>
      </c>
      <c r="AZ76" s="25">
        <f t="shared" si="95"/>
        <v>-12305.168184926742</v>
      </c>
      <c r="BA76" s="25">
        <f t="shared" si="96"/>
        <v>-5409.3853439297945</v>
      </c>
      <c r="BB76" s="25">
        <f t="shared" si="97"/>
        <v>-216.7448050602834</v>
      </c>
      <c r="BC76" s="25">
        <f t="shared" si="98"/>
        <v>3216.8812639185858</v>
      </c>
      <c r="BD76" s="25">
        <f t="shared" si="99"/>
        <v>4881.7286029419502</v>
      </c>
      <c r="BE76" s="25">
        <f t="shared" si="100"/>
        <v>4827.8267073274237</v>
      </c>
      <c r="BF76" s="25">
        <f t="shared" si="101"/>
        <v>3155.3018346005742</v>
      </c>
      <c r="BG76" s="25">
        <f t="shared" si="102"/>
        <v>0</v>
      </c>
      <c r="BI76" s="25"/>
      <c r="BJ76" s="25">
        <f t="shared" si="55"/>
        <v>0</v>
      </c>
      <c r="BK76" s="25">
        <f t="shared" si="56"/>
        <v>0</v>
      </c>
      <c r="BL76" s="25">
        <f t="shared" si="57"/>
        <v>0</v>
      </c>
      <c r="BM76" s="25">
        <f t="shared" si="58"/>
        <v>0</v>
      </c>
      <c r="BN76" s="25">
        <f t="shared" si="59"/>
        <v>0</v>
      </c>
      <c r="BO76" s="25">
        <f t="shared" si="60"/>
        <v>3216.8812639185858</v>
      </c>
      <c r="BP76" s="25">
        <f t="shared" si="61"/>
        <v>4881.7286029419502</v>
      </c>
      <c r="BQ76" s="25">
        <f t="shared" si="62"/>
        <v>4827.8267073274237</v>
      </c>
      <c r="BR76" s="25">
        <f t="shared" si="63"/>
        <v>3155.3018346005742</v>
      </c>
      <c r="BS76" s="25">
        <f t="shared" si="64"/>
        <v>0</v>
      </c>
    </row>
    <row r="77" spans="1:71" x14ac:dyDescent="0.2">
      <c r="A77" s="29">
        <f t="shared" si="103"/>
        <v>0.69000000000000039</v>
      </c>
      <c r="B77" s="30">
        <v>3.8165631304494844E-2</v>
      </c>
      <c r="C77" s="30">
        <v>4.315782100464479E-2</v>
      </c>
      <c r="D77" s="30">
        <v>4.7777054942389895E-2</v>
      </c>
      <c r="E77" s="30">
        <v>5.1173351262625393E-2</v>
      </c>
      <c r="F77" s="30">
        <v>5.4242517769890648E-2</v>
      </c>
      <c r="G77" s="30">
        <v>5.7510269434847223E-2</v>
      </c>
      <c r="H77" s="30">
        <v>6.1077741774370177E-2</v>
      </c>
      <c r="I77" s="30">
        <v>6.4897083988736393E-2</v>
      </c>
      <c r="J77" s="30">
        <v>6.8889265836492963E-2</v>
      </c>
      <c r="K77" s="30">
        <v>7.2986805712611749E-2</v>
      </c>
      <c r="L77" s="30">
        <v>7.7141385457796058E-2</v>
      </c>
      <c r="N77" s="1"/>
      <c r="O77" s="55">
        <f t="shared" si="82"/>
        <v>0.97865224848157195</v>
      </c>
      <c r="P77" s="54">
        <f t="shared" si="83"/>
        <v>0.95334630723385383</v>
      </c>
      <c r="Q77" s="1">
        <f t="shared" si="65"/>
        <v>0.95011395280246991</v>
      </c>
      <c r="R77" s="57">
        <f t="shared" si="66"/>
        <v>0.92185827991956359</v>
      </c>
      <c r="S77" s="1">
        <f t="shared" si="67"/>
        <v>0.89134783644175963</v>
      </c>
      <c r="T77" s="60">
        <f t="shared" si="68"/>
        <v>0.8583920454412507</v>
      </c>
      <c r="U77" s="58">
        <f t="shared" si="69"/>
        <v>0.82308874586136482</v>
      </c>
      <c r="V77" s="53">
        <f t="shared" si="70"/>
        <v>0.78575327884473545</v>
      </c>
      <c r="W77" s="58">
        <f t="shared" si="71"/>
        <v>0.74680794932811478</v>
      </c>
      <c r="Y77" s="24"/>
      <c r="Z77" s="24">
        <f t="shared" si="84"/>
        <v>4.7777054942389895E-2</v>
      </c>
      <c r="AA77" s="24">
        <f t="shared" si="85"/>
        <v>5.1173351262625393E-2</v>
      </c>
      <c r="AB77" s="24">
        <f t="shared" si="86"/>
        <v>5.4242517769890648E-2</v>
      </c>
      <c r="AC77" s="24">
        <f t="shared" si="87"/>
        <v>5.751026943484723E-2</v>
      </c>
      <c r="AD77" s="24">
        <f t="shared" si="88"/>
        <v>6.1077741774370177E-2</v>
      </c>
      <c r="AE77" s="24">
        <f t="shared" si="89"/>
        <v>6.4897083988736393E-2</v>
      </c>
      <c r="AF77" s="24">
        <f t="shared" si="90"/>
        <v>6.8889265836492963E-2</v>
      </c>
      <c r="AG77" s="24">
        <f t="shared" si="91"/>
        <v>7.2986805712611749E-2</v>
      </c>
      <c r="AH77" s="24">
        <f t="shared" si="92"/>
        <v>7.7141385457796058E-2</v>
      </c>
      <c r="AL77" s="23">
        <f t="shared" si="72"/>
        <v>0</v>
      </c>
      <c r="AM77" s="23">
        <f t="shared" si="73"/>
        <v>-9749.9762211572743</v>
      </c>
      <c r="AN77" s="23">
        <f t="shared" si="74"/>
        <v>-7878.9385425669034</v>
      </c>
      <c r="AO77" s="23">
        <f t="shared" si="75"/>
        <v>-6394.1957612770766</v>
      </c>
      <c r="AP77" s="23">
        <f t="shared" si="76"/>
        <v>-4697.8352339267421</v>
      </c>
      <c r="AQ77" s="23">
        <f t="shared" si="77"/>
        <v>-2952.423134369144</v>
      </c>
      <c r="AR77" s="23">
        <f t="shared" si="78"/>
        <v>-1204.0167475973869</v>
      </c>
      <c r="AS77" s="23">
        <f t="shared" si="79"/>
        <v>488.4611187937449</v>
      </c>
      <c r="AT77" s="23">
        <f t="shared" si="80"/>
        <v>2076.1321230293688</v>
      </c>
      <c r="AU77" s="23">
        <f t="shared" si="81"/>
        <v>3524.5666292600977</v>
      </c>
      <c r="AW77" s="25"/>
      <c r="AX77" s="25">
        <f t="shared" si="93"/>
        <v>-26788.225769811317</v>
      </c>
      <c r="AY77" s="25">
        <f t="shared" si="94"/>
        <v>-17038.249548654043</v>
      </c>
      <c r="AZ77" s="25">
        <f t="shared" si="95"/>
        <v>-9159.3110060871386</v>
      </c>
      <c r="BA77" s="25">
        <f t="shared" si="96"/>
        <v>-2765.1152448100624</v>
      </c>
      <c r="BB77" s="25">
        <f t="shared" si="97"/>
        <v>1932.7199891166802</v>
      </c>
      <c r="BC77" s="25">
        <f t="shared" si="98"/>
        <v>4885.1431234858246</v>
      </c>
      <c r="BD77" s="25">
        <f t="shared" si="99"/>
        <v>6089.1598710832113</v>
      </c>
      <c r="BE77" s="25">
        <f t="shared" si="100"/>
        <v>5600.6987522894669</v>
      </c>
      <c r="BF77" s="25">
        <f t="shared" si="101"/>
        <v>3524.5666292600977</v>
      </c>
      <c r="BG77" s="25">
        <f t="shared" si="102"/>
        <v>0</v>
      </c>
      <c r="BI77" s="25"/>
      <c r="BJ77" s="25">
        <f t="shared" si="55"/>
        <v>0</v>
      </c>
      <c r="BK77" s="25">
        <f t="shared" si="56"/>
        <v>0</v>
      </c>
      <c r="BL77" s="25">
        <f t="shared" si="57"/>
        <v>0</v>
      </c>
      <c r="BM77" s="25">
        <f t="shared" si="58"/>
        <v>0</v>
      </c>
      <c r="BN77" s="25">
        <f t="shared" si="59"/>
        <v>1932.7199891166802</v>
      </c>
      <c r="BO77" s="25">
        <f t="shared" si="60"/>
        <v>4885.1431234858246</v>
      </c>
      <c r="BP77" s="25">
        <f t="shared" si="61"/>
        <v>6089.1598710832113</v>
      </c>
      <c r="BQ77" s="25">
        <f t="shared" si="62"/>
        <v>5600.6987522894669</v>
      </c>
      <c r="BR77" s="25">
        <f t="shared" si="63"/>
        <v>3524.5666292600977</v>
      </c>
      <c r="BS77" s="25">
        <f t="shared" si="64"/>
        <v>0</v>
      </c>
    </row>
    <row r="78" spans="1:71" x14ac:dyDescent="0.2">
      <c r="A78" s="29">
        <f t="shared" si="103"/>
        <v>0.7000000000000004</v>
      </c>
      <c r="B78" s="30">
        <v>3.6421762890518607E-2</v>
      </c>
      <c r="C78" s="30">
        <v>4.1473658605378536E-2</v>
      </c>
      <c r="D78" s="30">
        <v>4.6137079530839627E-2</v>
      </c>
      <c r="E78" s="30">
        <v>4.9596769466441662E-2</v>
      </c>
      <c r="F78" s="30">
        <v>5.2740941393435506E-2</v>
      </c>
      <c r="G78" s="30">
        <v>5.6086623400607098E-2</v>
      </c>
      <c r="H78" s="30">
        <v>5.9731774111164655E-2</v>
      </c>
      <c r="I78" s="30">
        <v>6.3627720498350082E-2</v>
      </c>
      <c r="J78" s="30">
        <v>6.7695463542292195E-2</v>
      </c>
      <c r="K78" s="30">
        <v>7.1867704357187451E-2</v>
      </c>
      <c r="L78" s="30">
        <v>7.6096190062581073E-2</v>
      </c>
      <c r="N78" s="1"/>
      <c r="O78" s="55">
        <f t="shared" si="82"/>
        <v>0.97947670021993316</v>
      </c>
      <c r="P78" s="54">
        <f t="shared" si="83"/>
        <v>0.95491105445919555</v>
      </c>
      <c r="Q78" s="1">
        <f t="shared" si="65"/>
        <v>0.95161306659199618</v>
      </c>
      <c r="R78" s="57">
        <f t="shared" si="66"/>
        <v>0.92393698096040022</v>
      </c>
      <c r="S78" s="1">
        <f t="shared" si="67"/>
        <v>0.89388938060895173</v>
      </c>
      <c r="T78" s="60">
        <f t="shared" si="68"/>
        <v>0.86128533038503308</v>
      </c>
      <c r="U78" s="58">
        <f t="shared" si="69"/>
        <v>0.82622911788676889</v>
      </c>
      <c r="V78" s="53">
        <f t="shared" si="70"/>
        <v>0.78904326658373813</v>
      </c>
      <c r="W78" s="58">
        <f t="shared" si="71"/>
        <v>0.75015845800420866</v>
      </c>
      <c r="Y78" s="24"/>
      <c r="Z78" s="24">
        <f t="shared" si="84"/>
        <v>4.6137079530839627E-2</v>
      </c>
      <c r="AA78" s="24">
        <f t="shared" si="85"/>
        <v>4.9596769466441669E-2</v>
      </c>
      <c r="AB78" s="24">
        <f t="shared" si="86"/>
        <v>5.2740941393435506E-2</v>
      </c>
      <c r="AC78" s="24">
        <f t="shared" si="87"/>
        <v>5.6086623400607091E-2</v>
      </c>
      <c r="AD78" s="24">
        <f t="shared" si="88"/>
        <v>5.9731774111164655E-2</v>
      </c>
      <c r="AE78" s="24">
        <f t="shared" si="89"/>
        <v>6.3627720498350082E-2</v>
      </c>
      <c r="AF78" s="24">
        <f t="shared" si="90"/>
        <v>6.7695463542292195E-2</v>
      </c>
      <c r="AG78" s="24">
        <f t="shared" si="91"/>
        <v>7.1867704357187451E-2</v>
      </c>
      <c r="AH78" s="24">
        <f t="shared" si="92"/>
        <v>7.6096190062581073E-2</v>
      </c>
      <c r="AL78" s="23">
        <f t="shared" si="72"/>
        <v>0</v>
      </c>
      <c r="AM78" s="23">
        <f t="shared" si="73"/>
        <v>-10561.348802931754</v>
      </c>
      <c r="AN78" s="23">
        <f t="shared" si="74"/>
        <v>-8644.618101836526</v>
      </c>
      <c r="AO78" s="23">
        <f t="shared" si="75"/>
        <v>-7118.7445349926775</v>
      </c>
      <c r="AP78" s="23">
        <f t="shared" si="76"/>
        <v>-5366.1080063084546</v>
      </c>
      <c r="AQ78" s="23">
        <f t="shared" si="77"/>
        <v>-3562.4146248539591</v>
      </c>
      <c r="AR78" s="23">
        <f t="shared" si="78"/>
        <v>-1754.7170672166462</v>
      </c>
      <c r="AS78" s="23">
        <f t="shared" si="79"/>
        <v>-2.852339086169366</v>
      </c>
      <c r="AT78" s="23">
        <f t="shared" si="80"/>
        <v>1643.3152960810246</v>
      </c>
      <c r="AU78" s="23">
        <f t="shared" si="81"/>
        <v>3148.3483011806529</v>
      </c>
      <c r="AW78" s="25"/>
      <c r="AX78" s="25">
        <f t="shared" si="93"/>
        <v>-32219.13987996451</v>
      </c>
      <c r="AY78" s="25">
        <f t="shared" si="94"/>
        <v>-21657.791077032754</v>
      </c>
      <c r="AZ78" s="25">
        <f t="shared" si="95"/>
        <v>-13013.172975196232</v>
      </c>
      <c r="BA78" s="25">
        <f t="shared" si="96"/>
        <v>-5894.4284402035537</v>
      </c>
      <c r="BB78" s="25">
        <f t="shared" si="97"/>
        <v>-528.32043389509636</v>
      </c>
      <c r="BC78" s="25">
        <f t="shared" si="98"/>
        <v>3034.0941909588619</v>
      </c>
      <c r="BD78" s="25">
        <f t="shared" si="99"/>
        <v>4788.8112581755086</v>
      </c>
      <c r="BE78" s="25">
        <f t="shared" si="100"/>
        <v>4791.6635972616778</v>
      </c>
      <c r="BF78" s="25">
        <f t="shared" si="101"/>
        <v>3148.3483011806529</v>
      </c>
      <c r="BG78" s="25">
        <f t="shared" si="102"/>
        <v>0</v>
      </c>
      <c r="BI78" s="25"/>
      <c r="BJ78" s="25">
        <f t="shared" si="55"/>
        <v>0</v>
      </c>
      <c r="BK78" s="25">
        <f t="shared" si="56"/>
        <v>0</v>
      </c>
      <c r="BL78" s="25">
        <f t="shared" si="57"/>
        <v>0</v>
      </c>
      <c r="BM78" s="25">
        <f t="shared" si="58"/>
        <v>0</v>
      </c>
      <c r="BN78" s="25">
        <f t="shared" si="59"/>
        <v>0</v>
      </c>
      <c r="BO78" s="25">
        <f t="shared" si="60"/>
        <v>3034.0941909588619</v>
      </c>
      <c r="BP78" s="25">
        <f t="shared" si="61"/>
        <v>4788.8112581755086</v>
      </c>
      <c r="BQ78" s="25">
        <f t="shared" si="62"/>
        <v>4791.6635972616778</v>
      </c>
      <c r="BR78" s="25">
        <f t="shared" si="63"/>
        <v>3148.3483011806529</v>
      </c>
      <c r="BS78" s="25">
        <f t="shared" si="64"/>
        <v>0</v>
      </c>
    </row>
    <row r="79" spans="1:71" x14ac:dyDescent="0.2">
      <c r="A79" s="29">
        <f t="shared" si="103"/>
        <v>0.71000000000000041</v>
      </c>
      <c r="B79" s="30">
        <v>3.7137356850453933E-2</v>
      </c>
      <c r="C79" s="30">
        <v>4.1989670479843769E-2</v>
      </c>
      <c r="D79" s="30">
        <v>4.6456509426908925E-2</v>
      </c>
      <c r="E79" s="30">
        <v>4.9755954334539387E-2</v>
      </c>
      <c r="F79" s="30">
        <v>5.2768059117790124E-2</v>
      </c>
      <c r="G79" s="30">
        <v>5.6000732781599935E-2</v>
      </c>
      <c r="H79" s="30">
        <v>5.9548261747107166E-2</v>
      </c>
      <c r="I79" s="30">
        <v>6.336062542775539E-2</v>
      </c>
      <c r="J79" s="30">
        <v>6.7358316653472347E-2</v>
      </c>
      <c r="K79" s="30">
        <v>7.1473674507135765E-2</v>
      </c>
      <c r="L79" s="30">
        <v>7.5657966974101043E-2</v>
      </c>
      <c r="N79" s="1"/>
      <c r="O79" s="55">
        <f t="shared" si="82"/>
        <v>0.97922402201353576</v>
      </c>
      <c r="P79" s="54">
        <f t="shared" si="83"/>
        <v>0.95460607603252101</v>
      </c>
      <c r="Q79" s="1">
        <f t="shared" si="65"/>
        <v>0.95146159624772397</v>
      </c>
      <c r="R79" s="57">
        <f t="shared" si="66"/>
        <v>0.92389939912219976</v>
      </c>
      <c r="S79" s="1">
        <f t="shared" si="67"/>
        <v>0.89404294722295452</v>
      </c>
      <c r="T79" s="60">
        <f t="shared" si="68"/>
        <v>0.86168056230829893</v>
      </c>
      <c r="U79" s="58">
        <f t="shared" si="69"/>
        <v>0.82689142837483998</v>
      </c>
      <c r="V79" s="53">
        <f t="shared" si="70"/>
        <v>0.78997489833359602</v>
      </c>
      <c r="W79" s="58">
        <f t="shared" si="71"/>
        <v>0.75134172954676304</v>
      </c>
      <c r="Y79" s="24"/>
      <c r="Z79" s="24">
        <f t="shared" si="84"/>
        <v>4.6456509426908925E-2</v>
      </c>
      <c r="AA79" s="24">
        <f t="shared" si="85"/>
        <v>4.9755954334539387E-2</v>
      </c>
      <c r="AB79" s="24">
        <f t="shared" si="86"/>
        <v>5.2768059117790124E-2</v>
      </c>
      <c r="AC79" s="24">
        <f t="shared" si="87"/>
        <v>5.6000732781599935E-2</v>
      </c>
      <c r="AD79" s="24">
        <f t="shared" si="88"/>
        <v>5.9548261747107166E-2</v>
      </c>
      <c r="AE79" s="24">
        <f t="shared" si="89"/>
        <v>6.336062542775539E-2</v>
      </c>
      <c r="AF79" s="24">
        <f t="shared" si="90"/>
        <v>6.7358316653472347E-2</v>
      </c>
      <c r="AG79" s="24">
        <f t="shared" si="91"/>
        <v>7.1473674507135765E-2</v>
      </c>
      <c r="AH79" s="24">
        <f t="shared" si="92"/>
        <v>7.5657966974101043E-2</v>
      </c>
      <c r="AL79" s="23">
        <f t="shared" si="72"/>
        <v>0</v>
      </c>
      <c r="AM79" s="23">
        <f t="shared" si="73"/>
        <v>-10402.227549934001</v>
      </c>
      <c r="AN79" s="23">
        <f t="shared" si="74"/>
        <v>-8565.8777722072682</v>
      </c>
      <c r="AO79" s="23">
        <f t="shared" si="75"/>
        <v>-7104.7106921214036</v>
      </c>
      <c r="AP79" s="23">
        <f t="shared" si="76"/>
        <v>-5405.566881436549</v>
      </c>
      <c r="AQ79" s="23">
        <f t="shared" si="77"/>
        <v>-3645.0606008197306</v>
      </c>
      <c r="AR79" s="23">
        <f t="shared" si="78"/>
        <v>-1870.5975979142936</v>
      </c>
      <c r="AS79" s="23">
        <f t="shared" si="79"/>
        <v>-142.24656177341484</v>
      </c>
      <c r="AT79" s="23">
        <f t="shared" si="80"/>
        <v>1489.6187305051405</v>
      </c>
      <c r="AU79" s="23">
        <f t="shared" si="81"/>
        <v>2988.6867399475086</v>
      </c>
      <c r="AW79" s="25"/>
      <c r="AX79" s="25">
        <f t="shared" si="93"/>
        <v>-32657.982185754008</v>
      </c>
      <c r="AY79" s="25">
        <f t="shared" si="94"/>
        <v>-22255.754635820012</v>
      </c>
      <c r="AZ79" s="25">
        <f t="shared" si="95"/>
        <v>-13689.876863612746</v>
      </c>
      <c r="BA79" s="25">
        <f t="shared" si="96"/>
        <v>-6585.1661714913371</v>
      </c>
      <c r="BB79" s="25">
        <f t="shared" si="97"/>
        <v>-1179.5992900547899</v>
      </c>
      <c r="BC79" s="25">
        <f t="shared" si="98"/>
        <v>2465.4613107649407</v>
      </c>
      <c r="BD79" s="25">
        <f t="shared" si="99"/>
        <v>4336.0589086792343</v>
      </c>
      <c r="BE79" s="25">
        <f t="shared" si="100"/>
        <v>4478.3054704526494</v>
      </c>
      <c r="BF79" s="25">
        <f t="shared" si="101"/>
        <v>2988.6867399475086</v>
      </c>
      <c r="BG79" s="25">
        <f t="shared" si="102"/>
        <v>0</v>
      </c>
      <c r="BI79" s="25"/>
      <c r="BJ79" s="25">
        <f t="shared" si="55"/>
        <v>0</v>
      </c>
      <c r="BK79" s="25">
        <f t="shared" si="56"/>
        <v>0</v>
      </c>
      <c r="BL79" s="25">
        <f t="shared" si="57"/>
        <v>0</v>
      </c>
      <c r="BM79" s="25">
        <f t="shared" si="58"/>
        <v>0</v>
      </c>
      <c r="BN79" s="25">
        <f t="shared" si="59"/>
        <v>0</v>
      </c>
      <c r="BO79" s="25">
        <f t="shared" si="60"/>
        <v>2465.4613107649407</v>
      </c>
      <c r="BP79" s="25">
        <f t="shared" si="61"/>
        <v>4336.0589086792343</v>
      </c>
      <c r="BQ79" s="25">
        <f t="shared" si="62"/>
        <v>4478.3054704526494</v>
      </c>
      <c r="BR79" s="25">
        <f t="shared" si="63"/>
        <v>2988.6867399475086</v>
      </c>
      <c r="BS79" s="25">
        <f t="shared" si="64"/>
        <v>0</v>
      </c>
    </row>
    <row r="80" spans="1:71" x14ac:dyDescent="0.2">
      <c r="A80" s="29">
        <f t="shared" si="103"/>
        <v>0.72000000000000042</v>
      </c>
      <c r="B80" s="30">
        <v>3.7364060726265531E-2</v>
      </c>
      <c r="C80" s="30">
        <v>4.2344573715323262E-2</v>
      </c>
      <c r="D80" s="30">
        <v>4.6908464109822107E-2</v>
      </c>
      <c r="E80" s="30">
        <v>5.0307687913977266E-2</v>
      </c>
      <c r="F80" s="30">
        <v>5.3415489212460712E-2</v>
      </c>
      <c r="G80" s="30">
        <v>5.6732135300165583E-2</v>
      </c>
      <c r="H80" s="30">
        <v>6.0349655325171718E-2</v>
      </c>
      <c r="I80" s="30">
        <v>6.4218066365482218E-2</v>
      </c>
      <c r="J80" s="30">
        <v>6.8258724459367356E-2</v>
      </c>
      <c r="K80" s="30">
        <v>7.2404972752494579E-2</v>
      </c>
      <c r="L80" s="30">
        <v>7.6608966532635395E-2</v>
      </c>
      <c r="N80" s="1"/>
      <c r="O80" s="55">
        <f t="shared" si="82"/>
        <v>0.97905027254321808</v>
      </c>
      <c r="P80" s="54">
        <f t="shared" si="83"/>
        <v>0.95417473482680193</v>
      </c>
      <c r="Q80" s="1">
        <f t="shared" si="65"/>
        <v>0.9509367877260837</v>
      </c>
      <c r="R80" s="57">
        <f t="shared" si="66"/>
        <v>0.92300259424337383</v>
      </c>
      <c r="S80" s="1">
        <f t="shared" si="67"/>
        <v>0.89273609276602006</v>
      </c>
      <c r="T80" s="60">
        <f t="shared" si="68"/>
        <v>0.85995592735196269</v>
      </c>
      <c r="U80" s="58">
        <f t="shared" si="69"/>
        <v>0.82476713005147351</v>
      </c>
      <c r="V80" s="53">
        <f t="shared" si="70"/>
        <v>0.78748926855433909</v>
      </c>
      <c r="W80" s="58">
        <f t="shared" si="71"/>
        <v>0.74854804334998148</v>
      </c>
      <c r="Y80" s="24"/>
      <c r="Z80" s="24">
        <f t="shared" si="84"/>
        <v>4.6908464109822107E-2</v>
      </c>
      <c r="AA80" s="24">
        <f t="shared" si="85"/>
        <v>5.0307687913977266E-2</v>
      </c>
      <c r="AB80" s="24">
        <f t="shared" si="86"/>
        <v>5.3415489212460712E-2</v>
      </c>
      <c r="AC80" s="24">
        <f t="shared" si="87"/>
        <v>5.673213530016559E-2</v>
      </c>
      <c r="AD80" s="24">
        <f t="shared" si="88"/>
        <v>6.0349655325171718E-2</v>
      </c>
      <c r="AE80" s="24">
        <f t="shared" si="89"/>
        <v>6.4218066365482218E-2</v>
      </c>
      <c r="AF80" s="24">
        <f t="shared" si="90"/>
        <v>6.8258724459367356E-2</v>
      </c>
      <c r="AG80" s="24">
        <f t="shared" si="91"/>
        <v>7.2404972752494579E-2</v>
      </c>
      <c r="AH80" s="24">
        <f t="shared" si="92"/>
        <v>7.6608966532635395E-2</v>
      </c>
      <c r="AL80" s="23">
        <f t="shared" si="72"/>
        <v>0</v>
      </c>
      <c r="AM80" s="23">
        <f t="shared" si="73"/>
        <v>-10179.138643854085</v>
      </c>
      <c r="AN80" s="23">
        <f t="shared" si="74"/>
        <v>-8298.7821374215819</v>
      </c>
      <c r="AO80" s="23">
        <f t="shared" si="75"/>
        <v>-6792.9593185821859</v>
      </c>
      <c r="AP80" s="23">
        <f t="shared" si="76"/>
        <v>-5062.7766286156893</v>
      </c>
      <c r="AQ80" s="23">
        <f t="shared" si="77"/>
        <v>-3282.0159999345042</v>
      </c>
      <c r="AR80" s="23">
        <f t="shared" si="78"/>
        <v>-1498.1729290175454</v>
      </c>
      <c r="AS80" s="23">
        <f t="shared" si="79"/>
        <v>229.43225306607829</v>
      </c>
      <c r="AT80" s="23">
        <f t="shared" si="80"/>
        <v>1851.6253816678113</v>
      </c>
      <c r="AU80" s="23">
        <f t="shared" si="81"/>
        <v>3333.5084458347214</v>
      </c>
      <c r="AW80" s="25"/>
      <c r="AX80" s="25">
        <f t="shared" si="93"/>
        <v>-29699.279576856974</v>
      </c>
      <c r="AY80" s="25">
        <f t="shared" si="94"/>
        <v>-19520.140933002895</v>
      </c>
      <c r="AZ80" s="25">
        <f t="shared" si="95"/>
        <v>-11221.358795581315</v>
      </c>
      <c r="BA80" s="25">
        <f t="shared" si="96"/>
        <v>-4428.3994769991295</v>
      </c>
      <c r="BB80" s="25">
        <f t="shared" si="97"/>
        <v>634.3771516165616</v>
      </c>
      <c r="BC80" s="25">
        <f t="shared" si="98"/>
        <v>3916.3931515510658</v>
      </c>
      <c r="BD80" s="25">
        <f t="shared" si="99"/>
        <v>5414.5660805686111</v>
      </c>
      <c r="BE80" s="25">
        <f t="shared" si="100"/>
        <v>5185.1338275025328</v>
      </c>
      <c r="BF80" s="25">
        <f t="shared" si="101"/>
        <v>3333.5084458347214</v>
      </c>
      <c r="BG80" s="25">
        <f t="shared" si="102"/>
        <v>0</v>
      </c>
      <c r="BI80" s="25"/>
      <c r="BJ80" s="25">
        <f t="shared" si="55"/>
        <v>0</v>
      </c>
      <c r="BK80" s="25">
        <f t="shared" si="56"/>
        <v>0</v>
      </c>
      <c r="BL80" s="25">
        <f t="shared" si="57"/>
        <v>0</v>
      </c>
      <c r="BM80" s="25">
        <f t="shared" si="58"/>
        <v>0</v>
      </c>
      <c r="BN80" s="25">
        <f t="shared" si="59"/>
        <v>634.3771516165616</v>
      </c>
      <c r="BO80" s="25">
        <f t="shared" si="60"/>
        <v>3916.3931515510658</v>
      </c>
      <c r="BP80" s="25">
        <f t="shared" si="61"/>
        <v>5414.5660805686111</v>
      </c>
      <c r="BQ80" s="25">
        <f t="shared" si="62"/>
        <v>5185.1338275025328</v>
      </c>
      <c r="BR80" s="25">
        <f t="shared" si="63"/>
        <v>3333.5084458347214</v>
      </c>
      <c r="BS80" s="25">
        <f t="shared" si="64"/>
        <v>0</v>
      </c>
    </row>
    <row r="81" spans="1:71" x14ac:dyDescent="0.2">
      <c r="A81" s="29">
        <f t="shared" si="103"/>
        <v>0.73000000000000043</v>
      </c>
      <c r="B81" s="30">
        <v>3.5943942821798067E-2</v>
      </c>
      <c r="C81" s="30">
        <v>4.0831805737716956E-2</v>
      </c>
      <c r="D81" s="30">
        <v>4.5302193035847454E-2</v>
      </c>
      <c r="E81" s="30">
        <v>4.8638856608944091E-2</v>
      </c>
      <c r="F81" s="30">
        <v>5.1706948304750845E-2</v>
      </c>
      <c r="G81" s="30">
        <v>5.4997935627903199E-2</v>
      </c>
      <c r="H81" s="30">
        <v>5.8600370583223108E-2</v>
      </c>
      <c r="I81" s="30">
        <v>6.2463058655197169E-2</v>
      </c>
      <c r="J81" s="30">
        <v>6.6506956138575324E-2</v>
      </c>
      <c r="K81" s="30">
        <v>7.0665142137655609E-2</v>
      </c>
      <c r="L81" s="30">
        <v>7.4889391485860018E-2</v>
      </c>
      <c r="N81" s="1"/>
      <c r="O81" s="55">
        <f t="shared" si="82"/>
        <v>0.97979109062975323</v>
      </c>
      <c r="P81" s="54">
        <f t="shared" si="83"/>
        <v>0.95570862969855219</v>
      </c>
      <c r="Q81" s="1">
        <f t="shared" si="65"/>
        <v>0.95252506572195639</v>
      </c>
      <c r="R81" s="57">
        <f t="shared" si="66"/>
        <v>0.92537110951120616</v>
      </c>
      <c r="S81" s="1">
        <f t="shared" si="67"/>
        <v>0.89583783397414818</v>
      </c>
      <c r="T81" s="60">
        <f t="shared" si="68"/>
        <v>0.86372493212946855</v>
      </c>
      <c r="U81" s="58">
        <f t="shared" si="69"/>
        <v>0.82912099962316121</v>
      </c>
      <c r="V81" s="53">
        <f t="shared" si="70"/>
        <v>0.7923323459321413</v>
      </c>
      <c r="W81" s="58">
        <f t="shared" si="71"/>
        <v>0.75377559958626161</v>
      </c>
      <c r="Y81" s="24"/>
      <c r="Z81" s="24">
        <f t="shared" si="84"/>
        <v>4.5302193035847454E-2</v>
      </c>
      <c r="AA81" s="24">
        <f t="shared" si="85"/>
        <v>4.8638856608944091E-2</v>
      </c>
      <c r="AB81" s="24">
        <f t="shared" si="86"/>
        <v>5.1706948304750845E-2</v>
      </c>
      <c r="AC81" s="24">
        <f t="shared" si="87"/>
        <v>5.4997935627903206E-2</v>
      </c>
      <c r="AD81" s="24">
        <f t="shared" si="88"/>
        <v>5.8600370583223114E-2</v>
      </c>
      <c r="AE81" s="24">
        <f t="shared" si="89"/>
        <v>6.2463058655197169E-2</v>
      </c>
      <c r="AF81" s="24">
        <f t="shared" si="90"/>
        <v>6.6506956138575324E-2</v>
      </c>
      <c r="AG81" s="24">
        <f t="shared" si="91"/>
        <v>7.0665142137655609E-2</v>
      </c>
      <c r="AH81" s="24">
        <f t="shared" si="92"/>
        <v>7.4889391485860018E-2</v>
      </c>
      <c r="AL81" s="23">
        <f t="shared" si="72"/>
        <v>0</v>
      </c>
      <c r="AM81" s="23">
        <f t="shared" si="73"/>
        <v>-10973.74593761452</v>
      </c>
      <c r="AN81" s="23">
        <f t="shared" si="74"/>
        <v>-9109.581182590231</v>
      </c>
      <c r="AO81" s="23">
        <f t="shared" si="75"/>
        <v>-7618.0191064022765</v>
      </c>
      <c r="AP81" s="23">
        <f t="shared" si="76"/>
        <v>-5878.1573478743221</v>
      </c>
      <c r="AQ81" s="23">
        <f t="shared" si="77"/>
        <v>-4076.9568330242555</v>
      </c>
      <c r="AR81" s="23">
        <f t="shared" si="78"/>
        <v>-2262.6610615295754</v>
      </c>
      <c r="AS81" s="23">
        <f t="shared" si="79"/>
        <v>-495.57054586317156</v>
      </c>
      <c r="AT81" s="23">
        <f t="shared" si="80"/>
        <v>1173.7508846830942</v>
      </c>
      <c r="AU81" s="23">
        <f t="shared" si="81"/>
        <v>2708.7014621832109</v>
      </c>
      <c r="AW81" s="25"/>
      <c r="AX81" s="25">
        <f t="shared" si="93"/>
        <v>-36532.239668032038</v>
      </c>
      <c r="AY81" s="25">
        <f t="shared" si="94"/>
        <v>-25558.493730417529</v>
      </c>
      <c r="AZ81" s="25">
        <f t="shared" si="95"/>
        <v>-16448.912547827298</v>
      </c>
      <c r="BA81" s="25">
        <f t="shared" si="96"/>
        <v>-8830.8934414250198</v>
      </c>
      <c r="BB81" s="25">
        <f t="shared" si="97"/>
        <v>-2952.7360935506972</v>
      </c>
      <c r="BC81" s="25">
        <f t="shared" si="98"/>
        <v>1124.2207394735583</v>
      </c>
      <c r="BD81" s="25">
        <f t="shared" si="99"/>
        <v>3386.8818010031337</v>
      </c>
      <c r="BE81" s="25">
        <f t="shared" si="100"/>
        <v>3882.4523468663051</v>
      </c>
      <c r="BF81" s="25">
        <f t="shared" si="101"/>
        <v>2708.7014621832109</v>
      </c>
      <c r="BG81" s="25">
        <f t="shared" si="102"/>
        <v>0</v>
      </c>
      <c r="BI81" s="25"/>
      <c r="BJ81" s="25">
        <f t="shared" si="55"/>
        <v>0</v>
      </c>
      <c r="BK81" s="25">
        <f t="shared" si="56"/>
        <v>0</v>
      </c>
      <c r="BL81" s="25">
        <f t="shared" si="57"/>
        <v>0</v>
      </c>
      <c r="BM81" s="25">
        <f t="shared" si="58"/>
        <v>0</v>
      </c>
      <c r="BN81" s="25">
        <f t="shared" si="59"/>
        <v>0</v>
      </c>
      <c r="BO81" s="25">
        <f t="shared" si="60"/>
        <v>1124.2207394735583</v>
      </c>
      <c r="BP81" s="25">
        <f t="shared" si="61"/>
        <v>3386.8818010031337</v>
      </c>
      <c r="BQ81" s="25">
        <f t="shared" si="62"/>
        <v>3882.4523468663051</v>
      </c>
      <c r="BR81" s="25">
        <f t="shared" si="63"/>
        <v>2708.7014621832109</v>
      </c>
      <c r="BS81" s="25">
        <f t="shared" si="64"/>
        <v>0</v>
      </c>
    </row>
    <row r="82" spans="1:71" x14ac:dyDescent="0.2">
      <c r="A82" s="29">
        <f t="shared" si="103"/>
        <v>0.74000000000000044</v>
      </c>
      <c r="B82" s="30">
        <v>3.5690783656078473E-2</v>
      </c>
      <c r="C82" s="30">
        <v>4.0633535845221627E-2</v>
      </c>
      <c r="D82" s="30">
        <v>4.5136925243463757E-2</v>
      </c>
      <c r="E82" s="30">
        <v>4.8516651546213568E-2</v>
      </c>
      <c r="F82" s="30">
        <v>5.1630709889844681E-2</v>
      </c>
      <c r="G82" s="30">
        <v>5.4962824118299093E-2</v>
      </c>
      <c r="H82" s="30">
        <v>5.8599064080759919E-2</v>
      </c>
      <c r="I82" s="30">
        <v>6.2487989581821342E-2</v>
      </c>
      <c r="J82" s="30">
        <v>6.6551109563380256E-2</v>
      </c>
      <c r="K82" s="30">
        <v>7.0722186436729839E-2</v>
      </c>
      <c r="L82" s="30">
        <v>7.4953562281507388E-2</v>
      </c>
      <c r="N82" s="1"/>
      <c r="O82" s="55">
        <f t="shared" si="82"/>
        <v>0.97988822698158073</v>
      </c>
      <c r="P82" s="54">
        <f t="shared" si="83"/>
        <v>0.95586659060651025</v>
      </c>
      <c r="Q82" s="1">
        <f t="shared" si="65"/>
        <v>0.95264147622019657</v>
      </c>
      <c r="R82" s="57">
        <f t="shared" si="66"/>
        <v>0.92547693880216753</v>
      </c>
      <c r="S82" s="1">
        <f t="shared" si="67"/>
        <v>0.89590074462043279</v>
      </c>
      <c r="T82" s="60">
        <f t="shared" si="68"/>
        <v>0.86372775328095419</v>
      </c>
      <c r="U82" s="58">
        <f t="shared" si="69"/>
        <v>0.82905898967772573</v>
      </c>
      <c r="V82" s="53">
        <f t="shared" si="70"/>
        <v>0.79220991073946967</v>
      </c>
      <c r="W82" s="58">
        <f t="shared" si="71"/>
        <v>0.75360362480441889</v>
      </c>
      <c r="Y82" s="24"/>
      <c r="Z82" s="24">
        <f t="shared" si="84"/>
        <v>4.5136925243463757E-2</v>
      </c>
      <c r="AA82" s="24">
        <f t="shared" si="85"/>
        <v>4.8516651546213568E-2</v>
      </c>
      <c r="AB82" s="24">
        <f t="shared" si="86"/>
        <v>5.1630709889844681E-2</v>
      </c>
      <c r="AC82" s="24">
        <f t="shared" si="87"/>
        <v>5.4962824118299093E-2</v>
      </c>
      <c r="AD82" s="24">
        <f t="shared" si="88"/>
        <v>5.8599064080759912E-2</v>
      </c>
      <c r="AE82" s="24">
        <f t="shared" si="89"/>
        <v>6.2487989581821342E-2</v>
      </c>
      <c r="AF82" s="24">
        <f t="shared" si="90"/>
        <v>6.6551109563380256E-2</v>
      </c>
      <c r="AG82" s="24">
        <f t="shared" si="91"/>
        <v>7.0722186436729839E-2</v>
      </c>
      <c r="AH82" s="24">
        <f t="shared" si="92"/>
        <v>7.4953562281507388E-2</v>
      </c>
      <c r="AL82" s="23">
        <f t="shared" si="72"/>
        <v>0</v>
      </c>
      <c r="AM82" s="23">
        <f t="shared" si="73"/>
        <v>-11055.805855281522</v>
      </c>
      <c r="AN82" s="23">
        <f t="shared" si="74"/>
        <v>-9169.4926957092248</v>
      </c>
      <c r="AO82" s="23">
        <f t="shared" si="75"/>
        <v>-7655.2640618518653</v>
      </c>
      <c r="AP82" s="23">
        <f t="shared" si="76"/>
        <v>-5895.0770446228016</v>
      </c>
      <c r="AQ82" s="23">
        <f t="shared" si="77"/>
        <v>-4077.8283875595966</v>
      </c>
      <c r="AR82" s="23">
        <f t="shared" si="78"/>
        <v>-2251.9016853521161</v>
      </c>
      <c r="AS82" s="23">
        <f t="shared" si="79"/>
        <v>-477.23058527069549</v>
      </c>
      <c r="AT82" s="23">
        <f t="shared" si="80"/>
        <v>1196.1650403118467</v>
      </c>
      <c r="AU82" s="23">
        <f t="shared" si="81"/>
        <v>2732.2631408898669</v>
      </c>
      <c r="AW82" s="25"/>
      <c r="AX82" s="25">
        <f t="shared" si="93"/>
        <v>-36654.172134446097</v>
      </c>
      <c r="AY82" s="25">
        <f t="shared" si="94"/>
        <v>-25598.366279164584</v>
      </c>
      <c r="AZ82" s="25">
        <f t="shared" si="95"/>
        <v>-16428.873583455363</v>
      </c>
      <c r="BA82" s="25">
        <f t="shared" si="96"/>
        <v>-8773.6095216034955</v>
      </c>
      <c r="BB82" s="25">
        <f t="shared" si="97"/>
        <v>-2878.5324769806948</v>
      </c>
      <c r="BC82" s="25">
        <f t="shared" si="98"/>
        <v>1199.2959105789021</v>
      </c>
      <c r="BD82" s="25">
        <f t="shared" si="99"/>
        <v>3451.1975959310184</v>
      </c>
      <c r="BE82" s="25">
        <f t="shared" si="100"/>
        <v>3928.4281812017134</v>
      </c>
      <c r="BF82" s="25">
        <f t="shared" si="101"/>
        <v>2732.2631408898669</v>
      </c>
      <c r="BG82" s="25">
        <f t="shared" si="102"/>
        <v>0</v>
      </c>
      <c r="BI82" s="25"/>
      <c r="BJ82" s="25">
        <f t="shared" si="55"/>
        <v>0</v>
      </c>
      <c r="BK82" s="25">
        <f t="shared" si="56"/>
        <v>0</v>
      </c>
      <c r="BL82" s="25">
        <f t="shared" si="57"/>
        <v>0</v>
      </c>
      <c r="BM82" s="25">
        <f t="shared" si="58"/>
        <v>0</v>
      </c>
      <c r="BN82" s="25">
        <f t="shared" si="59"/>
        <v>0</v>
      </c>
      <c r="BO82" s="25">
        <f t="shared" si="60"/>
        <v>1199.2959105789021</v>
      </c>
      <c r="BP82" s="25">
        <f t="shared" si="61"/>
        <v>3451.1975959310184</v>
      </c>
      <c r="BQ82" s="25">
        <f t="shared" si="62"/>
        <v>3928.4281812017134</v>
      </c>
      <c r="BR82" s="25">
        <f t="shared" si="63"/>
        <v>2732.2631408898669</v>
      </c>
      <c r="BS82" s="25">
        <f t="shared" si="64"/>
        <v>0</v>
      </c>
    </row>
    <row r="83" spans="1:71" x14ac:dyDescent="0.2">
      <c r="A83" s="29">
        <f t="shared" si="103"/>
        <v>0.75000000000000044</v>
      </c>
      <c r="B83" s="30">
        <v>3.5668286095947875E-2</v>
      </c>
      <c r="C83" s="30">
        <v>4.0639086507258212E-2</v>
      </c>
      <c r="D83" s="30">
        <v>4.5157899798533914E-2</v>
      </c>
      <c r="E83" s="30">
        <v>4.8571157367255667E-2</v>
      </c>
      <c r="F83" s="30">
        <v>5.1729251889138524E-2</v>
      </c>
      <c r="G83" s="30">
        <v>5.5107834767230399E-2</v>
      </c>
      <c r="H83" s="30">
        <v>5.8790104414288752E-2</v>
      </c>
      <c r="I83" s="30">
        <v>6.2723956911254444E-2</v>
      </c>
      <c r="J83" s="30">
        <v>6.6831022450066557E-2</v>
      </c>
      <c r="K83" s="30">
        <v>7.1045310417496094E-2</v>
      </c>
      <c r="L83" s="30">
        <v>7.5319294164795492E-2</v>
      </c>
      <c r="N83" s="1"/>
      <c r="O83" s="55">
        <f t="shared" si="82"/>
        <v>0.97988550747116365</v>
      </c>
      <c r="P83" s="54">
        <f t="shared" si="83"/>
        <v>0.95584654194032248</v>
      </c>
      <c r="Q83" s="1">
        <f t="shared" si="65"/>
        <v>0.9525895531294446</v>
      </c>
      <c r="R83" s="57">
        <f t="shared" si="66"/>
        <v>0.92534015139012049</v>
      </c>
      <c r="S83" s="1">
        <f t="shared" si="67"/>
        <v>0.89564095199823957</v>
      </c>
      <c r="T83" s="60">
        <f t="shared" si="68"/>
        <v>0.86331533467936539</v>
      </c>
      <c r="U83" s="58">
        <f t="shared" si="69"/>
        <v>0.82847230485269274</v>
      </c>
      <c r="V83" s="53">
        <f t="shared" si="70"/>
        <v>0.79143416662745236</v>
      </c>
      <c r="W83" s="58">
        <f t="shared" si="71"/>
        <v>0.75263022438529792</v>
      </c>
      <c r="Y83" s="24"/>
      <c r="Z83" s="24">
        <f t="shared" si="84"/>
        <v>4.5157899798533914E-2</v>
      </c>
      <c r="AA83" s="24">
        <f t="shared" si="85"/>
        <v>4.8571157367255667E-2</v>
      </c>
      <c r="AB83" s="24">
        <f t="shared" si="86"/>
        <v>5.1729251889138524E-2</v>
      </c>
      <c r="AC83" s="24">
        <f t="shared" si="87"/>
        <v>5.5107834767230399E-2</v>
      </c>
      <c r="AD83" s="24">
        <f t="shared" si="88"/>
        <v>5.8790104414288752E-2</v>
      </c>
      <c r="AE83" s="24">
        <f t="shared" si="89"/>
        <v>6.2723956911254444E-2</v>
      </c>
      <c r="AF83" s="24">
        <f t="shared" si="90"/>
        <v>6.6831022450066557E-2</v>
      </c>
      <c r="AG83" s="24">
        <f t="shared" si="91"/>
        <v>7.1045310417496094E-2</v>
      </c>
      <c r="AH83" s="24">
        <f t="shared" si="92"/>
        <v>7.5319294164795492E-2</v>
      </c>
      <c r="AL83" s="23">
        <f t="shared" si="72"/>
        <v>0</v>
      </c>
      <c r="AM83" s="23">
        <f t="shared" si="73"/>
        <v>-11045.498840533726</v>
      </c>
      <c r="AN83" s="23">
        <f t="shared" si="74"/>
        <v>-9143.2507714173207</v>
      </c>
      <c r="AO83" s="23">
        <f t="shared" si="75"/>
        <v>-7607.9117772342242</v>
      </c>
      <c r="AP83" s="23">
        <f t="shared" si="76"/>
        <v>-5827.1136520848722</v>
      </c>
      <c r="AQ83" s="23">
        <f t="shared" si="77"/>
        <v>-3991.0941288635518</v>
      </c>
      <c r="AR83" s="23">
        <f t="shared" si="78"/>
        <v>-2148.9693250294217</v>
      </c>
      <c r="AS83" s="23">
        <f t="shared" si="79"/>
        <v>-360.94283514295108</v>
      </c>
      <c r="AT83" s="23">
        <f t="shared" si="80"/>
        <v>1322.8594163502148</v>
      </c>
      <c r="AU83" s="23">
        <f t="shared" si="81"/>
        <v>2866.3644178138325</v>
      </c>
      <c r="AW83" s="25"/>
      <c r="AX83" s="25">
        <f t="shared" si="93"/>
        <v>-35935.557496142021</v>
      </c>
      <c r="AY83" s="25">
        <f t="shared" si="94"/>
        <v>-24890.058655608296</v>
      </c>
      <c r="AZ83" s="25">
        <f t="shared" si="95"/>
        <v>-15746.807884190976</v>
      </c>
      <c r="BA83" s="25">
        <f t="shared" si="96"/>
        <v>-8138.8961069567486</v>
      </c>
      <c r="BB83" s="25">
        <f t="shared" si="97"/>
        <v>-2311.7824548718777</v>
      </c>
      <c r="BC83" s="25">
        <f t="shared" si="98"/>
        <v>1679.3116739916745</v>
      </c>
      <c r="BD83" s="25">
        <f t="shared" si="99"/>
        <v>3828.2809990210962</v>
      </c>
      <c r="BE83" s="25">
        <f t="shared" si="100"/>
        <v>4189.2238341640477</v>
      </c>
      <c r="BF83" s="25">
        <f t="shared" si="101"/>
        <v>2866.3644178138325</v>
      </c>
      <c r="BG83" s="25">
        <f t="shared" si="102"/>
        <v>0</v>
      </c>
      <c r="BI83" s="25"/>
      <c r="BJ83" s="25">
        <f t="shared" si="55"/>
        <v>0</v>
      </c>
      <c r="BK83" s="25">
        <f t="shared" si="56"/>
        <v>0</v>
      </c>
      <c r="BL83" s="25">
        <f t="shared" si="57"/>
        <v>0</v>
      </c>
      <c r="BM83" s="25">
        <f t="shared" si="58"/>
        <v>0</v>
      </c>
      <c r="BN83" s="25">
        <f t="shared" si="59"/>
        <v>0</v>
      </c>
      <c r="BO83" s="25">
        <f t="shared" si="60"/>
        <v>1679.3116739916745</v>
      </c>
      <c r="BP83" s="25">
        <f t="shared" si="61"/>
        <v>3828.2809990210962</v>
      </c>
      <c r="BQ83" s="25">
        <f t="shared" si="62"/>
        <v>4189.2238341640477</v>
      </c>
      <c r="BR83" s="25">
        <f t="shared" si="63"/>
        <v>2866.3644178138325</v>
      </c>
      <c r="BS83" s="25">
        <f t="shared" si="64"/>
        <v>0</v>
      </c>
    </row>
    <row r="84" spans="1:71" x14ac:dyDescent="0.2">
      <c r="A84" s="29">
        <f t="shared" si="103"/>
        <v>0.76000000000000045</v>
      </c>
      <c r="B84" s="30">
        <v>3.6019549261592697E-2</v>
      </c>
      <c r="C84" s="30">
        <v>4.102362319169349E-2</v>
      </c>
      <c r="D84" s="30">
        <v>4.5555395924010818E-2</v>
      </c>
      <c r="E84" s="30">
        <v>4.8991716414803356E-2</v>
      </c>
      <c r="F84" s="30">
        <v>5.2175818019483476E-2</v>
      </c>
      <c r="G84" s="30">
        <v>5.5575836260254995E-2</v>
      </c>
      <c r="H84" s="30">
        <v>5.9272594807665786E-2</v>
      </c>
      <c r="I84" s="30">
        <v>6.3213794258437914E-2</v>
      </c>
      <c r="J84" s="30">
        <v>6.7321641109021946E-2</v>
      </c>
      <c r="K84" s="30">
        <v>7.1530841947550092E-2</v>
      </c>
      <c r="L84" s="30">
        <v>7.5794451984317557E-2</v>
      </c>
      <c r="N84" s="1"/>
      <c r="O84" s="55">
        <f t="shared" si="82"/>
        <v>0.97969712461968872</v>
      </c>
      <c r="P84" s="54">
        <f t="shared" si="83"/>
        <v>0.95546667214673797</v>
      </c>
      <c r="Q84" s="1">
        <f t="shared" si="65"/>
        <v>0.95218901720468374</v>
      </c>
      <c r="R84" s="57">
        <f t="shared" si="66"/>
        <v>0.92472052058689835</v>
      </c>
      <c r="S84" s="1">
        <f t="shared" si="67"/>
        <v>0.89480302160659164</v>
      </c>
      <c r="T84" s="60">
        <f t="shared" si="68"/>
        <v>0.86227460909207954</v>
      </c>
      <c r="U84" s="58">
        <f t="shared" si="69"/>
        <v>0.82725574891534615</v>
      </c>
      <c r="V84" s="53">
        <f t="shared" si="70"/>
        <v>0.79007630950049379</v>
      </c>
      <c r="W84" s="58">
        <f t="shared" si="71"/>
        <v>0.75116994005482407</v>
      </c>
      <c r="Y84" s="24"/>
      <c r="Z84" s="24">
        <f t="shared" si="84"/>
        <v>4.5555395924010818E-2</v>
      </c>
      <c r="AA84" s="24">
        <f t="shared" si="85"/>
        <v>4.8991716414803356E-2</v>
      </c>
      <c r="AB84" s="24">
        <f t="shared" si="86"/>
        <v>5.2175818019483476E-2</v>
      </c>
      <c r="AC84" s="24">
        <f t="shared" si="87"/>
        <v>5.5575836260254995E-2</v>
      </c>
      <c r="AD84" s="24">
        <f t="shared" si="88"/>
        <v>5.9272594807665786E-2</v>
      </c>
      <c r="AE84" s="24">
        <f t="shared" si="89"/>
        <v>6.3213794258437914E-2</v>
      </c>
      <c r="AF84" s="24">
        <f t="shared" si="90"/>
        <v>6.7321641109021946E-2</v>
      </c>
      <c r="AG84" s="24">
        <f t="shared" si="91"/>
        <v>7.1530841947550092E-2</v>
      </c>
      <c r="AH84" s="24">
        <f t="shared" si="92"/>
        <v>7.5794451984317557E-2</v>
      </c>
      <c r="AL84" s="23">
        <f t="shared" si="72"/>
        <v>0</v>
      </c>
      <c r="AM84" s="23">
        <f t="shared" si="73"/>
        <v>-10848.662439341128</v>
      </c>
      <c r="AN84" s="23">
        <f t="shared" si="74"/>
        <v>-8938.7020100962272</v>
      </c>
      <c r="AO84" s="23">
        <f t="shared" si="75"/>
        <v>-7392.1051914293712</v>
      </c>
      <c r="AP84" s="23">
        <f t="shared" si="76"/>
        <v>-5606.8263795753692</v>
      </c>
      <c r="AQ84" s="23">
        <f t="shared" si="77"/>
        <v>-3771.4932696529827</v>
      </c>
      <c r="AR84" s="23">
        <f t="shared" si="78"/>
        <v>-1935.1915915877905</v>
      </c>
      <c r="AS84" s="23">
        <f t="shared" si="79"/>
        <v>-157.47926175840095</v>
      </c>
      <c r="AT84" s="23">
        <f t="shared" si="80"/>
        <v>1512.3932769741502</v>
      </c>
      <c r="AU84" s="23">
        <f t="shared" si="81"/>
        <v>3039.2651142674272</v>
      </c>
      <c r="AW84" s="25"/>
      <c r="AX84" s="25">
        <f t="shared" si="93"/>
        <v>-34098.801752199688</v>
      </c>
      <c r="AY84" s="25">
        <f t="shared" si="94"/>
        <v>-23250.139312858566</v>
      </c>
      <c r="AZ84" s="25">
        <f t="shared" si="95"/>
        <v>-14311.437302762339</v>
      </c>
      <c r="BA84" s="25">
        <f t="shared" si="96"/>
        <v>-6919.3321113329657</v>
      </c>
      <c r="BB84" s="25">
        <f t="shared" si="97"/>
        <v>-1312.5057317575961</v>
      </c>
      <c r="BC84" s="25">
        <f t="shared" si="98"/>
        <v>2458.9875378953857</v>
      </c>
      <c r="BD84" s="25">
        <f t="shared" si="99"/>
        <v>4394.1791294831764</v>
      </c>
      <c r="BE84" s="25">
        <f t="shared" si="100"/>
        <v>4551.6583912415772</v>
      </c>
      <c r="BF84" s="25">
        <f t="shared" si="101"/>
        <v>3039.2651142674272</v>
      </c>
      <c r="BG84" s="25">
        <f t="shared" si="102"/>
        <v>0</v>
      </c>
      <c r="BI84" s="25"/>
      <c r="BJ84" s="25">
        <f t="shared" si="55"/>
        <v>0</v>
      </c>
      <c r="BK84" s="25">
        <f t="shared" si="56"/>
        <v>0</v>
      </c>
      <c r="BL84" s="25">
        <f t="shared" si="57"/>
        <v>0</v>
      </c>
      <c r="BM84" s="25">
        <f t="shared" si="58"/>
        <v>0</v>
      </c>
      <c r="BN84" s="25">
        <f t="shared" si="59"/>
        <v>0</v>
      </c>
      <c r="BO84" s="25">
        <f t="shared" si="60"/>
        <v>2458.9875378953857</v>
      </c>
      <c r="BP84" s="25">
        <f t="shared" si="61"/>
        <v>4394.1791294831764</v>
      </c>
      <c r="BQ84" s="25">
        <f t="shared" si="62"/>
        <v>4551.6583912415772</v>
      </c>
      <c r="BR84" s="25">
        <f t="shared" si="63"/>
        <v>3039.2651142674272</v>
      </c>
      <c r="BS84" s="25">
        <f t="shared" si="64"/>
        <v>0</v>
      </c>
    </row>
    <row r="85" spans="1:71" x14ac:dyDescent="0.2">
      <c r="A85" s="29">
        <f t="shared" si="103"/>
        <v>0.77000000000000046</v>
      </c>
      <c r="B85" s="30">
        <v>3.6887838081268484E-2</v>
      </c>
      <c r="C85" s="30">
        <v>4.1879760330412602E-2</v>
      </c>
      <c r="D85" s="30">
        <v>4.6383055479237191E-2</v>
      </c>
      <c r="E85" s="30">
        <v>4.9804128565890199E-2</v>
      </c>
      <c r="F85" s="30">
        <v>5.2978936554963434E-2</v>
      </c>
      <c r="G85" s="30">
        <v>5.6368091971282203E-2</v>
      </c>
      <c r="H85" s="30">
        <v>6.0049977389037529E-2</v>
      </c>
      <c r="I85" s="30">
        <v>6.3972003417200204E-2</v>
      </c>
      <c r="J85" s="30">
        <v>6.8056845335362187E-2</v>
      </c>
      <c r="K85" s="30">
        <v>7.2239794686863451E-2</v>
      </c>
      <c r="L85" s="30">
        <v>7.6474376660970164E-2</v>
      </c>
      <c r="N85" s="1"/>
      <c r="O85" s="55">
        <f t="shared" si="82"/>
        <v>0.9792778368215137</v>
      </c>
      <c r="P85" s="54">
        <f t="shared" si="83"/>
        <v>0.95467619819262028</v>
      </c>
      <c r="Q85" s="1">
        <f t="shared" si="65"/>
        <v>0.9514157614207025</v>
      </c>
      <c r="R85" s="57">
        <f t="shared" si="66"/>
        <v>0.92360720103188509</v>
      </c>
      <c r="S85" s="1">
        <f t="shared" si="67"/>
        <v>0.89338631868575391</v>
      </c>
      <c r="T85" s="60">
        <f t="shared" si="68"/>
        <v>0.86060044329951502</v>
      </c>
      <c r="U85" s="58">
        <f t="shared" si="69"/>
        <v>0.82537618871897278</v>
      </c>
      <c r="V85" s="53">
        <f t="shared" si="70"/>
        <v>0.78804588693098165</v>
      </c>
      <c r="W85" s="58">
        <f t="shared" si="71"/>
        <v>0.7490427816431422</v>
      </c>
      <c r="Y85" s="24"/>
      <c r="Z85" s="24">
        <f t="shared" si="84"/>
        <v>4.6383055479237191E-2</v>
      </c>
      <c r="AA85" s="24">
        <f t="shared" si="85"/>
        <v>4.9804128565890199E-2</v>
      </c>
      <c r="AB85" s="24">
        <f t="shared" si="86"/>
        <v>5.2978936554963434E-2</v>
      </c>
      <c r="AC85" s="24">
        <f t="shared" si="87"/>
        <v>5.636809197128221E-2</v>
      </c>
      <c r="AD85" s="24">
        <f t="shared" si="88"/>
        <v>6.0049977389037529E-2</v>
      </c>
      <c r="AE85" s="24">
        <f t="shared" si="89"/>
        <v>6.3972003417200204E-2</v>
      </c>
      <c r="AF85" s="24">
        <f t="shared" si="90"/>
        <v>6.8056845335362187E-2</v>
      </c>
      <c r="AG85" s="24">
        <f t="shared" si="91"/>
        <v>7.2239794686863451E-2</v>
      </c>
      <c r="AH85" s="24">
        <f t="shared" si="92"/>
        <v>7.6474376660970164E-2</v>
      </c>
      <c r="AL85" s="23">
        <f t="shared" si="72"/>
        <v>0</v>
      </c>
      <c r="AM85" s="23">
        <f t="shared" si="73"/>
        <v>-10438.765132325168</v>
      </c>
      <c r="AN85" s="23">
        <f t="shared" si="74"/>
        <v>-8543.5115968355749</v>
      </c>
      <c r="AO85" s="23">
        <f t="shared" si="75"/>
        <v>-7004.0523776615146</v>
      </c>
      <c r="AP85" s="23">
        <f t="shared" si="76"/>
        <v>-5234.2094872239622</v>
      </c>
      <c r="AQ85" s="23">
        <f t="shared" si="77"/>
        <v>-3418.2705461979785</v>
      </c>
      <c r="AR85" s="23">
        <f t="shared" si="78"/>
        <v>-1605.1767141933803</v>
      </c>
      <c r="AS85" s="23">
        <f t="shared" si="79"/>
        <v>146.28856894609794</v>
      </c>
      <c r="AT85" s="23">
        <f t="shared" si="80"/>
        <v>1787.8502121587876</v>
      </c>
      <c r="AU85" s="23">
        <f t="shared" si="81"/>
        <v>3285.304877581872</v>
      </c>
      <c r="AW85" s="25"/>
      <c r="AX85" s="25">
        <f t="shared" si="93"/>
        <v>-31024.542195750826</v>
      </c>
      <c r="AY85" s="25">
        <f t="shared" si="94"/>
        <v>-20585.777063425656</v>
      </c>
      <c r="AZ85" s="25">
        <f t="shared" si="95"/>
        <v>-12042.265466590081</v>
      </c>
      <c r="BA85" s="25">
        <f t="shared" si="96"/>
        <v>-5038.2130889285618</v>
      </c>
      <c r="BB85" s="25">
        <f t="shared" si="97"/>
        <v>195.99639829539865</v>
      </c>
      <c r="BC85" s="25">
        <f t="shared" si="98"/>
        <v>3614.2669444933772</v>
      </c>
      <c r="BD85" s="25">
        <f t="shared" si="99"/>
        <v>5219.4436586867578</v>
      </c>
      <c r="BE85" s="25">
        <f t="shared" si="100"/>
        <v>5073.1550897406596</v>
      </c>
      <c r="BF85" s="25">
        <f t="shared" si="101"/>
        <v>3285.304877581872</v>
      </c>
      <c r="BG85" s="25">
        <f t="shared" si="102"/>
        <v>0</v>
      </c>
      <c r="BI85" s="25"/>
      <c r="BJ85" s="25">
        <f t="shared" si="55"/>
        <v>0</v>
      </c>
      <c r="BK85" s="25">
        <f t="shared" si="56"/>
        <v>0</v>
      </c>
      <c r="BL85" s="25">
        <f t="shared" si="57"/>
        <v>0</v>
      </c>
      <c r="BM85" s="25">
        <f t="shared" si="58"/>
        <v>0</v>
      </c>
      <c r="BN85" s="25">
        <f t="shared" si="59"/>
        <v>195.99639829539865</v>
      </c>
      <c r="BO85" s="25">
        <f t="shared" si="60"/>
        <v>3614.2669444933772</v>
      </c>
      <c r="BP85" s="25">
        <f t="shared" si="61"/>
        <v>5219.4436586867578</v>
      </c>
      <c r="BQ85" s="25">
        <f t="shared" si="62"/>
        <v>5073.1550897406596</v>
      </c>
      <c r="BR85" s="25">
        <f t="shared" si="63"/>
        <v>3285.304877581872</v>
      </c>
      <c r="BS85" s="25">
        <f t="shared" si="64"/>
        <v>0</v>
      </c>
    </row>
    <row r="86" spans="1:71" x14ac:dyDescent="0.2">
      <c r="A86" s="29">
        <f t="shared" si="103"/>
        <v>0.78000000000000047</v>
      </c>
      <c r="B86" s="30">
        <v>3.6378583161192281E-2</v>
      </c>
      <c r="C86" s="30">
        <v>4.1454514981043057E-2</v>
      </c>
      <c r="D86" s="30">
        <v>4.6022627793512745E-2</v>
      </c>
      <c r="E86" s="30">
        <v>4.9518171009305494E-2</v>
      </c>
      <c r="F86" s="30">
        <v>5.2769845210182471E-2</v>
      </c>
      <c r="G86" s="30">
        <v>5.6230866501732014E-2</v>
      </c>
      <c r="H86" s="30">
        <v>5.9977244324081518E-2</v>
      </c>
      <c r="I86" s="30">
        <v>6.3956139413989449E-2</v>
      </c>
      <c r="J86" s="30">
        <v>6.8090723097751563E-2</v>
      </c>
      <c r="K86" s="30">
        <v>7.2316894514511981E-2</v>
      </c>
      <c r="L86" s="30">
        <v>7.6588671843633563E-2</v>
      </c>
      <c r="N86" s="1"/>
      <c r="O86" s="55">
        <f t="shared" si="82"/>
        <v>0.97948607563180001</v>
      </c>
      <c r="P86" s="54">
        <f t="shared" si="83"/>
        <v>0.95502035194289525</v>
      </c>
      <c r="Q86" s="1">
        <f t="shared" si="65"/>
        <v>0.95168786485029633</v>
      </c>
      <c r="R86" s="57">
        <f t="shared" si="66"/>
        <v>0.92389692387098343</v>
      </c>
      <c r="S86" s="1">
        <f t="shared" si="67"/>
        <v>0.89363154304938586</v>
      </c>
      <c r="T86" s="60">
        <f t="shared" si="68"/>
        <v>0.86075694279730319</v>
      </c>
      <c r="U86" s="58">
        <f t="shared" si="69"/>
        <v>0.82541547096524959</v>
      </c>
      <c r="V86" s="53">
        <f t="shared" si="70"/>
        <v>0.78795245216089005</v>
      </c>
      <c r="W86" s="58">
        <f t="shared" si="71"/>
        <v>0.74881181298279642</v>
      </c>
      <c r="Y86" s="24"/>
      <c r="Z86" s="24">
        <f t="shared" si="84"/>
        <v>4.6022627793512745E-2</v>
      </c>
      <c r="AA86" s="24">
        <f t="shared" si="85"/>
        <v>4.9518171009305494E-2</v>
      </c>
      <c r="AB86" s="24">
        <f t="shared" si="86"/>
        <v>5.2769845210182471E-2</v>
      </c>
      <c r="AC86" s="24">
        <f t="shared" si="87"/>
        <v>5.6230866501732014E-2</v>
      </c>
      <c r="AD86" s="24">
        <f t="shared" si="88"/>
        <v>5.9977244324081518E-2</v>
      </c>
      <c r="AE86" s="24">
        <f t="shared" si="89"/>
        <v>6.3956139413989449E-2</v>
      </c>
      <c r="AF86" s="24">
        <f t="shared" si="90"/>
        <v>6.8090723097751563E-2</v>
      </c>
      <c r="AG86" s="24">
        <f t="shared" si="91"/>
        <v>7.2316894514511981E-2</v>
      </c>
      <c r="AH86" s="24">
        <f t="shared" si="92"/>
        <v>7.6588671843633563E-2</v>
      </c>
      <c r="AL86" s="23">
        <f t="shared" si="72"/>
        <v>0</v>
      </c>
      <c r="AM86" s="23">
        <f t="shared" si="73"/>
        <v>-10617.501836184323</v>
      </c>
      <c r="AN86" s="23">
        <f t="shared" si="74"/>
        <v>-8683.139113115938</v>
      </c>
      <c r="AO86" s="23">
        <f t="shared" si="75"/>
        <v>-7105.5503734962758</v>
      </c>
      <c r="AP86" s="23">
        <f t="shared" si="76"/>
        <v>-5299.2424811386172</v>
      </c>
      <c r="AQ86" s="23">
        <f t="shared" si="77"/>
        <v>-3451.7071030426755</v>
      </c>
      <c r="AR86" s="23">
        <f t="shared" si="78"/>
        <v>-1612.2961397387182</v>
      </c>
      <c r="AS86" s="23">
        <f t="shared" si="79"/>
        <v>160.27714587769225</v>
      </c>
      <c r="AT86" s="23">
        <f t="shared" si="80"/>
        <v>1818.0137345783621</v>
      </c>
      <c r="AU86" s="23">
        <f t="shared" si="81"/>
        <v>3327.0846395120593</v>
      </c>
      <c r="AW86" s="25"/>
      <c r="AX86" s="25">
        <f t="shared" si="93"/>
        <v>-31464.061526748439</v>
      </c>
      <c r="AY86" s="25">
        <f t="shared" si="94"/>
        <v>-20846.55969056411</v>
      </c>
      <c r="AZ86" s="25">
        <f t="shared" si="95"/>
        <v>-12163.420577448172</v>
      </c>
      <c r="BA86" s="25">
        <f t="shared" si="96"/>
        <v>-5057.8702039518994</v>
      </c>
      <c r="BB86" s="25">
        <f t="shared" si="97"/>
        <v>241.37227718672011</v>
      </c>
      <c r="BC86" s="25">
        <f t="shared" si="98"/>
        <v>3693.0793802293956</v>
      </c>
      <c r="BD86" s="25">
        <f t="shared" si="99"/>
        <v>5305.3755199681136</v>
      </c>
      <c r="BE86" s="25">
        <f t="shared" si="100"/>
        <v>5145.0983740904212</v>
      </c>
      <c r="BF86" s="25">
        <f t="shared" si="101"/>
        <v>3327.0846395120593</v>
      </c>
      <c r="BG86" s="25">
        <f t="shared" si="102"/>
        <v>0</v>
      </c>
      <c r="BI86" s="25"/>
      <c r="BJ86" s="25">
        <f t="shared" si="55"/>
        <v>0</v>
      </c>
      <c r="BK86" s="25">
        <f t="shared" si="56"/>
        <v>0</v>
      </c>
      <c r="BL86" s="25">
        <f t="shared" si="57"/>
        <v>0</v>
      </c>
      <c r="BM86" s="25">
        <f t="shared" si="58"/>
        <v>0</v>
      </c>
      <c r="BN86" s="25">
        <f t="shared" si="59"/>
        <v>241.37227718672011</v>
      </c>
      <c r="BO86" s="25">
        <f t="shared" si="60"/>
        <v>3693.0793802293956</v>
      </c>
      <c r="BP86" s="25">
        <f t="shared" si="61"/>
        <v>5305.3755199681136</v>
      </c>
      <c r="BQ86" s="25">
        <f t="shared" si="62"/>
        <v>5145.0983740904212</v>
      </c>
      <c r="BR86" s="25">
        <f t="shared" si="63"/>
        <v>3327.0846395120593</v>
      </c>
      <c r="BS86" s="25">
        <f t="shared" si="64"/>
        <v>0</v>
      </c>
    </row>
    <row r="87" spans="1:71" x14ac:dyDescent="0.2">
      <c r="A87" s="29">
        <f t="shared" si="103"/>
        <v>0.79000000000000048</v>
      </c>
      <c r="B87" s="30">
        <v>3.6262269482285898E-2</v>
      </c>
      <c r="C87" s="30">
        <v>4.1404823490723018E-2</v>
      </c>
      <c r="D87" s="30">
        <v>4.6015431632050026E-2</v>
      </c>
      <c r="E87" s="30">
        <v>4.9557801847115439E-2</v>
      </c>
      <c r="F87" s="30">
        <v>5.285371170681756E-2</v>
      </c>
      <c r="G87" s="30">
        <v>5.6349417535907151E-2</v>
      </c>
      <c r="H87" s="30">
        <v>6.0118934278380901E-2</v>
      </c>
      <c r="I87" s="30">
        <v>6.410952388985916E-2</v>
      </c>
      <c r="J87" s="30">
        <v>6.8245192147019448E-2</v>
      </c>
      <c r="K87" s="30">
        <v>7.2462779665391747E-2</v>
      </c>
      <c r="L87" s="30">
        <v>7.6717131869904864E-2</v>
      </c>
      <c r="N87" s="1"/>
      <c r="O87" s="55">
        <f t="shared" si="82"/>
        <v>0.97951041199554933</v>
      </c>
      <c r="P87" s="54">
        <f t="shared" si="83"/>
        <v>0.95502722444827581</v>
      </c>
      <c r="Q87" s="1">
        <f t="shared" si="65"/>
        <v>0.95165014941023096</v>
      </c>
      <c r="R87" s="57">
        <f t="shared" si="66"/>
        <v>0.92378070518389177</v>
      </c>
      <c r="S87" s="1">
        <f t="shared" si="67"/>
        <v>0.89341968627901747</v>
      </c>
      <c r="T87" s="60">
        <f t="shared" si="68"/>
        <v>0.86045209526306266</v>
      </c>
      <c r="U87" s="58">
        <f t="shared" si="69"/>
        <v>0.82503574058090268</v>
      </c>
      <c r="V87" s="53">
        <f t="shared" si="70"/>
        <v>0.78752656736526017</v>
      </c>
      <c r="W87" s="58">
        <f t="shared" si="71"/>
        <v>0.74837497835329381</v>
      </c>
      <c r="Y87" s="24"/>
      <c r="Z87" s="24">
        <f t="shared" si="84"/>
        <v>4.6015431632050026E-2</v>
      </c>
      <c r="AA87" s="24">
        <f t="shared" si="85"/>
        <v>4.9557801847115439E-2</v>
      </c>
      <c r="AB87" s="24">
        <f t="shared" si="86"/>
        <v>5.285371170681756E-2</v>
      </c>
      <c r="AC87" s="24">
        <f t="shared" si="87"/>
        <v>5.6349417535907151E-2</v>
      </c>
      <c r="AD87" s="24">
        <f t="shared" si="88"/>
        <v>6.0118934278380907E-2</v>
      </c>
      <c r="AE87" s="24">
        <f t="shared" si="89"/>
        <v>6.410952388985916E-2</v>
      </c>
      <c r="AF87" s="24">
        <f t="shared" si="90"/>
        <v>6.8245192147019448E-2</v>
      </c>
      <c r="AG87" s="24">
        <f t="shared" si="91"/>
        <v>7.2462779665391747E-2</v>
      </c>
      <c r="AH87" s="24">
        <f t="shared" si="92"/>
        <v>7.6717131869904864E-2</v>
      </c>
      <c r="AL87" s="23">
        <f t="shared" si="72"/>
        <v>0</v>
      </c>
      <c r="AM87" s="23">
        <f t="shared" si="73"/>
        <v>-10621.289996745925</v>
      </c>
      <c r="AN87" s="23">
        <f t="shared" si="74"/>
        <v>-8664.277334093731</v>
      </c>
      <c r="AO87" s="23">
        <f t="shared" si="75"/>
        <v>-7065.3629981351523</v>
      </c>
      <c r="AP87" s="23">
        <f t="shared" si="76"/>
        <v>-5243.8183007407779</v>
      </c>
      <c r="AQ87" s="23">
        <f t="shared" si="77"/>
        <v>-3387.5944959049957</v>
      </c>
      <c r="AR87" s="23">
        <f t="shared" si="78"/>
        <v>-1545.7351286410708</v>
      </c>
      <c r="AS87" s="23">
        <f t="shared" si="79"/>
        <v>223.9246539954616</v>
      </c>
      <c r="AT87" s="23">
        <f t="shared" si="80"/>
        <v>1874.4753222921859</v>
      </c>
      <c r="AU87" s="23">
        <f t="shared" si="81"/>
        <v>3373.211851582239</v>
      </c>
      <c r="AW87" s="25"/>
      <c r="AX87" s="25">
        <f t="shared" si="93"/>
        <v>-31056.466426391762</v>
      </c>
      <c r="AY87" s="25">
        <f t="shared" si="94"/>
        <v>-20435.176429645839</v>
      </c>
      <c r="AZ87" s="25">
        <f t="shared" si="95"/>
        <v>-11770.899095552109</v>
      </c>
      <c r="BA87" s="25">
        <f t="shared" si="96"/>
        <v>-4705.536097416958</v>
      </c>
      <c r="BB87" s="25">
        <f t="shared" si="97"/>
        <v>538.2822033238208</v>
      </c>
      <c r="BC87" s="25">
        <f t="shared" si="98"/>
        <v>3925.8766992288156</v>
      </c>
      <c r="BD87" s="25">
        <f t="shared" si="99"/>
        <v>5471.6118278698868</v>
      </c>
      <c r="BE87" s="25">
        <f t="shared" si="100"/>
        <v>5247.6871738744248</v>
      </c>
      <c r="BF87" s="25">
        <f t="shared" si="101"/>
        <v>3373.211851582239</v>
      </c>
      <c r="BG87" s="25">
        <f t="shared" si="102"/>
        <v>0</v>
      </c>
      <c r="BI87" s="25"/>
      <c r="BJ87" s="25">
        <f t="shared" si="55"/>
        <v>0</v>
      </c>
      <c r="BK87" s="25">
        <f t="shared" si="56"/>
        <v>0</v>
      </c>
      <c r="BL87" s="25">
        <f t="shared" si="57"/>
        <v>0</v>
      </c>
      <c r="BM87" s="25">
        <f t="shared" si="58"/>
        <v>0</v>
      </c>
      <c r="BN87" s="25">
        <f t="shared" si="59"/>
        <v>538.2822033238208</v>
      </c>
      <c r="BO87" s="25">
        <f t="shared" si="60"/>
        <v>3925.8766992288156</v>
      </c>
      <c r="BP87" s="25">
        <f t="shared" si="61"/>
        <v>5471.6118278698868</v>
      </c>
      <c r="BQ87" s="25">
        <f t="shared" si="62"/>
        <v>5247.6871738744248</v>
      </c>
      <c r="BR87" s="25">
        <f t="shared" si="63"/>
        <v>3373.211851582239</v>
      </c>
      <c r="BS87" s="25">
        <f t="shared" si="64"/>
        <v>0</v>
      </c>
    </row>
    <row r="88" spans="1:71" x14ac:dyDescent="0.2">
      <c r="A88" s="29">
        <f t="shared" si="103"/>
        <v>0.80000000000000049</v>
      </c>
      <c r="B88" s="30">
        <v>3.5656822536118016E-2</v>
      </c>
      <c r="C88" s="30">
        <v>4.0759208422105488E-2</v>
      </c>
      <c r="D88" s="30">
        <v>4.5322340988513801E-2</v>
      </c>
      <c r="E88" s="30">
        <v>4.8836959382868292E-2</v>
      </c>
      <c r="F88" s="30">
        <v>5.2117197737157513E-2</v>
      </c>
      <c r="G88" s="30">
        <v>5.5601732208341394E-2</v>
      </c>
      <c r="H88" s="30">
        <v>5.9361905465938364E-2</v>
      </c>
      <c r="I88" s="30">
        <v>6.3344375656413696E-2</v>
      </c>
      <c r="J88" s="30">
        <v>6.747326545469931E-2</v>
      </c>
      <c r="K88" s="30">
        <v>7.1685634975447304E-2</v>
      </c>
      <c r="L88" s="30">
        <v>7.5936435291044782E-2</v>
      </c>
      <c r="N88" s="1"/>
      <c r="O88" s="55">
        <f t="shared" si="82"/>
        <v>0.97982665637676358</v>
      </c>
      <c r="P88" s="54">
        <f t="shared" si="83"/>
        <v>0.95568937432029699</v>
      </c>
      <c r="Q88" s="1">
        <f t="shared" si="65"/>
        <v>0.95233638655375485</v>
      </c>
      <c r="R88" s="57">
        <f t="shared" si="66"/>
        <v>0.92480183522884551</v>
      </c>
      <c r="S88" s="1">
        <f t="shared" si="67"/>
        <v>0.89475667926149083</v>
      </c>
      <c r="T88" s="60">
        <f t="shared" si="68"/>
        <v>0.86208210480136116</v>
      </c>
      <c r="U88" s="58">
        <f t="shared" si="69"/>
        <v>0.82693173974731438</v>
      </c>
      <c r="V88" s="53">
        <f t="shared" si="70"/>
        <v>0.78965713892202327</v>
      </c>
      <c r="W88" s="58">
        <f t="shared" si="71"/>
        <v>0.75070498053671597</v>
      </c>
      <c r="Y88" s="24"/>
      <c r="Z88" s="24">
        <f t="shared" si="84"/>
        <v>4.5322340988513801E-2</v>
      </c>
      <c r="AA88" s="24">
        <f t="shared" si="85"/>
        <v>4.8836959382868285E-2</v>
      </c>
      <c r="AB88" s="24">
        <f t="shared" si="86"/>
        <v>5.2117197737157513E-2</v>
      </c>
      <c r="AC88" s="24">
        <f t="shared" si="87"/>
        <v>5.5601732208341394E-2</v>
      </c>
      <c r="AD88" s="24">
        <f t="shared" si="88"/>
        <v>5.9361905465938364E-2</v>
      </c>
      <c r="AE88" s="24">
        <f t="shared" si="89"/>
        <v>6.3344375656413696E-2</v>
      </c>
      <c r="AF88" s="24">
        <f t="shared" si="90"/>
        <v>6.747326545469931E-2</v>
      </c>
      <c r="AG88" s="24">
        <f t="shared" si="91"/>
        <v>7.1685634975447304E-2</v>
      </c>
      <c r="AH88" s="24">
        <f t="shared" si="92"/>
        <v>7.5936435291044782E-2</v>
      </c>
      <c r="AL88" s="23">
        <f t="shared" si="72"/>
        <v>0</v>
      </c>
      <c r="AM88" s="23">
        <f t="shared" si="73"/>
        <v>-10964.273526545756</v>
      </c>
      <c r="AN88" s="23">
        <f t="shared" si="74"/>
        <v>-9014.7352869973474</v>
      </c>
      <c r="AO88" s="23">
        <f t="shared" si="75"/>
        <v>-7421.162374137145</v>
      </c>
      <c r="AP88" s="23">
        <f t="shared" si="76"/>
        <v>-5595.3451017116595</v>
      </c>
      <c r="AQ88" s="23">
        <f t="shared" si="77"/>
        <v>-3731.3422879140703</v>
      </c>
      <c r="AR88" s="23">
        <f t="shared" si="78"/>
        <v>-1878.4736135264786</v>
      </c>
      <c r="AS88" s="23">
        <f t="shared" si="79"/>
        <v>-94.726090274510113</v>
      </c>
      <c r="AT88" s="23">
        <f t="shared" si="80"/>
        <v>1572.7075949253128</v>
      </c>
      <c r="AU88" s="23">
        <f t="shared" si="81"/>
        <v>3090.6776562930954</v>
      </c>
      <c r="AW88" s="25"/>
      <c r="AX88" s="25">
        <f t="shared" si="93"/>
        <v>-34036.673029888552</v>
      </c>
      <c r="AY88" s="25">
        <f t="shared" si="94"/>
        <v>-23072.399503342807</v>
      </c>
      <c r="AZ88" s="25">
        <f t="shared" si="95"/>
        <v>-14057.664216345458</v>
      </c>
      <c r="BA88" s="25">
        <f t="shared" si="96"/>
        <v>-6636.5018422083103</v>
      </c>
      <c r="BB88" s="25">
        <f t="shared" si="97"/>
        <v>-1041.1567404966509</v>
      </c>
      <c r="BC88" s="25">
        <f t="shared" si="98"/>
        <v>2690.1855474174195</v>
      </c>
      <c r="BD88" s="25">
        <f t="shared" si="99"/>
        <v>4568.6591609438983</v>
      </c>
      <c r="BE88" s="25">
        <f t="shared" si="100"/>
        <v>4663.3852512184085</v>
      </c>
      <c r="BF88" s="25">
        <f t="shared" si="101"/>
        <v>3090.6776562930954</v>
      </c>
      <c r="BG88" s="25">
        <f t="shared" si="102"/>
        <v>0</v>
      </c>
      <c r="BI88" s="25"/>
      <c r="BJ88" s="25">
        <f t="shared" si="55"/>
        <v>0</v>
      </c>
      <c r="BK88" s="25">
        <f t="shared" si="56"/>
        <v>0</v>
      </c>
      <c r="BL88" s="25">
        <f t="shared" si="57"/>
        <v>0</v>
      </c>
      <c r="BM88" s="25">
        <f t="shared" si="58"/>
        <v>0</v>
      </c>
      <c r="BN88" s="25">
        <f t="shared" si="59"/>
        <v>0</v>
      </c>
      <c r="BO88" s="25">
        <f t="shared" si="60"/>
        <v>2690.1855474174195</v>
      </c>
      <c r="BP88" s="25">
        <f t="shared" si="61"/>
        <v>4568.6591609438983</v>
      </c>
      <c r="BQ88" s="25">
        <f t="shared" si="62"/>
        <v>4663.3852512184085</v>
      </c>
      <c r="BR88" s="25">
        <f t="shared" si="63"/>
        <v>3090.6776562930954</v>
      </c>
      <c r="BS88" s="25">
        <f t="shared" si="64"/>
        <v>0</v>
      </c>
    </row>
    <row r="89" spans="1:71" x14ac:dyDescent="0.2">
      <c r="A89" s="29">
        <f t="shared" si="103"/>
        <v>0.8100000000000005</v>
      </c>
      <c r="B89" s="30">
        <v>3.7271530551312881E-2</v>
      </c>
      <c r="C89" s="30">
        <v>4.2392913816886778E-2</v>
      </c>
      <c r="D89" s="30">
        <v>4.6962429523473938E-2</v>
      </c>
      <c r="E89" s="30">
        <v>5.0497376966355416E-2</v>
      </c>
      <c r="F89" s="30">
        <v>5.3804470538023015E-2</v>
      </c>
      <c r="G89" s="30">
        <v>5.7315126819502717E-2</v>
      </c>
      <c r="H89" s="30">
        <v>6.109828000913177E-2</v>
      </c>
      <c r="I89" s="30">
        <v>6.5100221292359178E-2</v>
      </c>
      <c r="J89" s="30">
        <v>6.9245414728379265E-2</v>
      </c>
      <c r="K89" s="30">
        <v>7.3471360087923571E-2</v>
      </c>
      <c r="L89" s="30">
        <v>7.7733334631130399E-2</v>
      </c>
      <c r="N89" s="1"/>
      <c r="O89" s="55">
        <f t="shared" si="82"/>
        <v>0.97902660913438688</v>
      </c>
      <c r="P89" s="54">
        <f t="shared" si="83"/>
        <v>0.95412324378192115</v>
      </c>
      <c r="Q89" s="1">
        <f t="shared" si="65"/>
        <v>0.95075642253514026</v>
      </c>
      <c r="R89" s="57">
        <f t="shared" si="66"/>
        <v>0.92246420516721095</v>
      </c>
      <c r="S89" s="1">
        <f t="shared" si="67"/>
        <v>0.89169578423275464</v>
      </c>
      <c r="T89" s="60">
        <f t="shared" si="68"/>
        <v>0.85834797192938372</v>
      </c>
      <c r="U89" s="58">
        <f t="shared" si="69"/>
        <v>0.82258729858542567</v>
      </c>
      <c r="V89" s="53">
        <f t="shared" si="70"/>
        <v>0.78477443099029576</v>
      </c>
      <c r="W89" s="58">
        <f t="shared" si="71"/>
        <v>0.74536187494669759</v>
      </c>
      <c r="Y89" s="24"/>
      <c r="Z89" s="24">
        <f t="shared" si="84"/>
        <v>4.6962429523473938E-2</v>
      </c>
      <c r="AA89" s="24">
        <f t="shared" si="85"/>
        <v>5.0497376966355416E-2</v>
      </c>
      <c r="AB89" s="24">
        <f t="shared" si="86"/>
        <v>5.3804470538023015E-2</v>
      </c>
      <c r="AC89" s="24">
        <f t="shared" si="87"/>
        <v>5.7315126819502717E-2</v>
      </c>
      <c r="AD89" s="24">
        <f t="shared" si="88"/>
        <v>6.1098280009131777E-2</v>
      </c>
      <c r="AE89" s="24">
        <f t="shared" si="89"/>
        <v>6.5100221292359178E-2</v>
      </c>
      <c r="AF89" s="24">
        <f t="shared" si="90"/>
        <v>6.9245414728379265E-2</v>
      </c>
      <c r="AG89" s="24">
        <f t="shared" si="91"/>
        <v>7.3471360087923571E-2</v>
      </c>
      <c r="AH89" s="24">
        <f t="shared" si="92"/>
        <v>7.7733334631130399E-2</v>
      </c>
      <c r="AL89" s="23">
        <f t="shared" si="72"/>
        <v>0</v>
      </c>
      <c r="AM89" s="23">
        <f t="shared" si="73"/>
        <v>-10152.475828560362</v>
      </c>
      <c r="AN89" s="23">
        <f t="shared" si="74"/>
        <v>-8207.8409353121624</v>
      </c>
      <c r="AO89" s="23">
        <f t="shared" si="75"/>
        <v>-6606.7576440080929</v>
      </c>
      <c r="AP89" s="23">
        <f t="shared" si="76"/>
        <v>-4790.9290976345201</v>
      </c>
      <c r="AQ89" s="23">
        <f t="shared" si="77"/>
        <v>-2944.4187177265653</v>
      </c>
      <c r="AR89" s="23">
        <f t="shared" si="78"/>
        <v>-1116.7736819440179</v>
      </c>
      <c r="AS89" s="23">
        <f t="shared" si="79"/>
        <v>634.64531289005424</v>
      </c>
      <c r="AT89" s="23">
        <f t="shared" si="80"/>
        <v>2263.6787348639045</v>
      </c>
      <c r="AU89" s="23">
        <f t="shared" si="81"/>
        <v>3738.350041461581</v>
      </c>
      <c r="AW89" s="25"/>
      <c r="AX89" s="25">
        <f t="shared" si="93"/>
        <v>-27182.521815970187</v>
      </c>
      <c r="AY89" s="25">
        <f t="shared" si="94"/>
        <v>-17030.045987409823</v>
      </c>
      <c r="AZ89" s="25">
        <f t="shared" si="95"/>
        <v>-8822.2050520976572</v>
      </c>
      <c r="BA89" s="25">
        <f t="shared" si="96"/>
        <v>-2215.4474080895634</v>
      </c>
      <c r="BB89" s="25">
        <f t="shared" si="97"/>
        <v>2575.4816895449567</v>
      </c>
      <c r="BC89" s="25">
        <f t="shared" si="98"/>
        <v>5519.9004072715215</v>
      </c>
      <c r="BD89" s="25">
        <f t="shared" si="99"/>
        <v>6636.6740892155394</v>
      </c>
      <c r="BE89" s="25">
        <f t="shared" si="100"/>
        <v>6002.0287763254855</v>
      </c>
      <c r="BF89" s="25">
        <f t="shared" si="101"/>
        <v>3738.350041461581</v>
      </c>
      <c r="BG89" s="25">
        <f t="shared" si="102"/>
        <v>0</v>
      </c>
      <c r="BI89" s="25"/>
      <c r="BJ89" s="25">
        <f t="shared" si="55"/>
        <v>0</v>
      </c>
      <c r="BK89" s="25">
        <f t="shared" si="56"/>
        <v>0</v>
      </c>
      <c r="BL89" s="25">
        <f t="shared" si="57"/>
        <v>0</v>
      </c>
      <c r="BM89" s="25">
        <f t="shared" si="58"/>
        <v>0</v>
      </c>
      <c r="BN89" s="25">
        <f t="shared" si="59"/>
        <v>2575.4816895449567</v>
      </c>
      <c r="BO89" s="25">
        <f t="shared" si="60"/>
        <v>5519.9004072715215</v>
      </c>
      <c r="BP89" s="25">
        <f t="shared" si="61"/>
        <v>6636.6740892155394</v>
      </c>
      <c r="BQ89" s="25">
        <f t="shared" si="62"/>
        <v>6002.0287763254855</v>
      </c>
      <c r="BR89" s="25">
        <f t="shared" si="63"/>
        <v>3738.350041461581</v>
      </c>
      <c r="BS89" s="25">
        <f t="shared" si="64"/>
        <v>0</v>
      </c>
    </row>
    <row r="90" spans="1:71" x14ac:dyDescent="0.2">
      <c r="A90" s="29">
        <f t="shared" si="103"/>
        <v>0.82000000000000051</v>
      </c>
      <c r="B90" s="30">
        <v>3.6740524505613999E-2</v>
      </c>
      <c r="C90" s="30">
        <v>4.1828901207290672E-2</v>
      </c>
      <c r="D90" s="30">
        <v>4.6359519941621172E-2</v>
      </c>
      <c r="E90" s="30">
        <v>4.98753057956823E-2</v>
      </c>
      <c r="F90" s="30">
        <v>5.3175301867525469E-2</v>
      </c>
      <c r="G90" s="30">
        <v>5.6683507426122812E-2</v>
      </c>
      <c r="H90" s="30">
        <v>6.046623427061882E-2</v>
      </c>
      <c r="I90" s="30">
        <v>6.4469166034136854E-2</v>
      </c>
      <c r="J90" s="30">
        <v>6.8616855367355081E-2</v>
      </c>
      <c r="K90" s="30">
        <v>7.2846984669502984E-2</v>
      </c>
      <c r="L90" s="30">
        <v>7.7114900748314508E-2</v>
      </c>
      <c r="N90" s="1"/>
      <c r="O90" s="55">
        <f t="shared" si="82"/>
        <v>0.97930273974418425</v>
      </c>
      <c r="P90" s="54">
        <f t="shared" si="83"/>
        <v>0.95469866727460384</v>
      </c>
      <c r="Q90" s="1">
        <f t="shared" si="65"/>
        <v>0.9513480446923972</v>
      </c>
      <c r="R90" s="57">
        <f t="shared" si="66"/>
        <v>0.92333519446826939</v>
      </c>
      <c r="S90" s="1">
        <f t="shared" si="67"/>
        <v>0.89282292070475466</v>
      </c>
      <c r="T90" s="60">
        <f t="shared" si="68"/>
        <v>0.85970533198356203</v>
      </c>
      <c r="U90" s="58">
        <f t="shared" si="69"/>
        <v>0.82414606774443222</v>
      </c>
      <c r="V90" s="53">
        <f t="shared" si="70"/>
        <v>0.78650280206701706</v>
      </c>
      <c r="W90" s="58">
        <f t="shared" si="71"/>
        <v>0.74722574401611042</v>
      </c>
      <c r="Y90" s="24"/>
      <c r="Z90" s="24">
        <f t="shared" si="84"/>
        <v>4.6359519941621172E-2</v>
      </c>
      <c r="AA90" s="24">
        <f t="shared" si="85"/>
        <v>4.98753057956823E-2</v>
      </c>
      <c r="AB90" s="24">
        <f t="shared" si="86"/>
        <v>5.3175301867525469E-2</v>
      </c>
      <c r="AC90" s="24">
        <f t="shared" si="87"/>
        <v>5.6683507426122812E-2</v>
      </c>
      <c r="AD90" s="24">
        <f t="shared" si="88"/>
        <v>6.046623427061882E-2</v>
      </c>
      <c r="AE90" s="24">
        <f t="shared" si="89"/>
        <v>6.4469166034136854E-2</v>
      </c>
      <c r="AF90" s="24">
        <f t="shared" si="90"/>
        <v>6.8616855367355081E-2</v>
      </c>
      <c r="AG90" s="24">
        <f t="shared" si="91"/>
        <v>7.2846984669502984E-2</v>
      </c>
      <c r="AH90" s="24">
        <f t="shared" si="92"/>
        <v>7.7114900748314508E-2</v>
      </c>
      <c r="AL90" s="23">
        <f t="shared" si="72"/>
        <v>0</v>
      </c>
      <c r="AM90" s="23">
        <f t="shared" si="73"/>
        <v>-10450.55479715529</v>
      </c>
      <c r="AN90" s="23">
        <f t="shared" si="74"/>
        <v>-8509.7362721289628</v>
      </c>
      <c r="AO90" s="23">
        <f t="shared" si="75"/>
        <v>-6910.1479882818394</v>
      </c>
      <c r="AP90" s="23">
        <f t="shared" si="76"/>
        <v>-5087.0508933180354</v>
      </c>
      <c r="AQ90" s="23">
        <f t="shared" si="77"/>
        <v>-3230.2930330946997</v>
      </c>
      <c r="AR90" s="23">
        <f t="shared" si="78"/>
        <v>-1389.8004920886874</v>
      </c>
      <c r="AS90" s="23">
        <f t="shared" si="79"/>
        <v>376.83557683622155</v>
      </c>
      <c r="AT90" s="23">
        <f t="shared" si="80"/>
        <v>2023.1277063176046</v>
      </c>
      <c r="AU90" s="23">
        <f t="shared" si="81"/>
        <v>3516.6433865596973</v>
      </c>
      <c r="AW90" s="25"/>
      <c r="AX90" s="25">
        <f t="shared" si="93"/>
        <v>-29660.976806353989</v>
      </c>
      <c r="AY90" s="25">
        <f t="shared" si="94"/>
        <v>-19210.422009198701</v>
      </c>
      <c r="AZ90" s="25">
        <f t="shared" si="95"/>
        <v>-10700.685737069738</v>
      </c>
      <c r="BA90" s="25">
        <f t="shared" si="96"/>
        <v>-3790.5377487878986</v>
      </c>
      <c r="BB90" s="25">
        <f t="shared" si="97"/>
        <v>1296.5131445301367</v>
      </c>
      <c r="BC90" s="25">
        <f t="shared" si="98"/>
        <v>4526.806177624836</v>
      </c>
      <c r="BD90" s="25">
        <f t="shared" si="99"/>
        <v>5916.6066697135229</v>
      </c>
      <c r="BE90" s="25">
        <f t="shared" si="100"/>
        <v>5539.7710928773022</v>
      </c>
      <c r="BF90" s="25">
        <f t="shared" si="101"/>
        <v>3516.6433865596973</v>
      </c>
      <c r="BG90" s="25">
        <f t="shared" si="102"/>
        <v>0</v>
      </c>
      <c r="BI90" s="25"/>
      <c r="BJ90" s="25">
        <f t="shared" si="55"/>
        <v>0</v>
      </c>
      <c r="BK90" s="25">
        <f t="shared" si="56"/>
        <v>0</v>
      </c>
      <c r="BL90" s="25">
        <f t="shared" si="57"/>
        <v>0</v>
      </c>
      <c r="BM90" s="25">
        <f t="shared" si="58"/>
        <v>0</v>
      </c>
      <c r="BN90" s="25">
        <f t="shared" si="59"/>
        <v>1296.5131445301367</v>
      </c>
      <c r="BO90" s="25">
        <f t="shared" si="60"/>
        <v>4526.806177624836</v>
      </c>
      <c r="BP90" s="25">
        <f t="shared" si="61"/>
        <v>5916.6066697135229</v>
      </c>
      <c r="BQ90" s="25">
        <f t="shared" si="62"/>
        <v>5539.7710928773022</v>
      </c>
      <c r="BR90" s="25">
        <f t="shared" si="63"/>
        <v>3516.6433865596973</v>
      </c>
      <c r="BS90" s="25">
        <f t="shared" si="64"/>
        <v>0</v>
      </c>
    </row>
    <row r="91" spans="1:71" x14ac:dyDescent="0.2">
      <c r="A91" s="29">
        <f t="shared" si="103"/>
        <v>0.83000000000000052</v>
      </c>
      <c r="B91" s="30">
        <v>3.7165257770373793E-2</v>
      </c>
      <c r="C91" s="30">
        <v>4.2193637884603508E-2</v>
      </c>
      <c r="D91" s="30">
        <v>4.6661933193884952E-2</v>
      </c>
      <c r="E91" s="30">
        <v>5.0137905503175026E-2</v>
      </c>
      <c r="F91" s="30">
        <v>5.3412808563541532E-2</v>
      </c>
      <c r="G91" s="30">
        <v>5.6903197097969059E-2</v>
      </c>
      <c r="H91" s="30">
        <v>6.0672677671155709E-2</v>
      </c>
      <c r="I91" s="30">
        <v>6.4666217154584482E-2</v>
      </c>
      <c r="J91" s="30">
        <v>6.8808335538966703E-2</v>
      </c>
      <c r="K91" s="30">
        <v>7.3036772458220836E-2</v>
      </c>
      <c r="L91" s="30">
        <v>7.7306819265294965E-2</v>
      </c>
      <c r="N91" s="1"/>
      <c r="O91" s="55">
        <f t="shared" si="82"/>
        <v>0.9791241622144341</v>
      </c>
      <c r="P91" s="54">
        <f t="shared" si="83"/>
        <v>0.95440999739669974</v>
      </c>
      <c r="Q91" s="1">
        <f t="shared" si="65"/>
        <v>0.95109825377308388</v>
      </c>
      <c r="R91" s="57">
        <f t="shared" si="66"/>
        <v>0.92300630561969554</v>
      </c>
      <c r="S91" s="1">
        <f t="shared" si="67"/>
        <v>0.89243071892481174</v>
      </c>
      <c r="T91" s="60">
        <f t="shared" si="68"/>
        <v>0.8592617452323692</v>
      </c>
      <c r="U91" s="58">
        <f t="shared" si="69"/>
        <v>0.82365901500186445</v>
      </c>
      <c r="V91" s="53">
        <f t="shared" si="70"/>
        <v>0.7859758797330072</v>
      </c>
      <c r="W91" s="58">
        <f t="shared" si="71"/>
        <v>0.74665870199212725</v>
      </c>
      <c r="Y91" s="24"/>
      <c r="Z91" s="24">
        <f t="shared" si="84"/>
        <v>4.6661933193884952E-2</v>
      </c>
      <c r="AA91" s="24">
        <f t="shared" si="85"/>
        <v>5.0137905503175019E-2</v>
      </c>
      <c r="AB91" s="24">
        <f t="shared" si="86"/>
        <v>5.3412808563541532E-2</v>
      </c>
      <c r="AC91" s="24">
        <f t="shared" si="87"/>
        <v>5.6903197097969059E-2</v>
      </c>
      <c r="AD91" s="24">
        <f t="shared" si="88"/>
        <v>6.0672677671155716E-2</v>
      </c>
      <c r="AE91" s="24">
        <f t="shared" si="89"/>
        <v>6.4666217154584482E-2</v>
      </c>
      <c r="AF91" s="24">
        <f t="shared" si="90"/>
        <v>6.8808335538966703E-2</v>
      </c>
      <c r="AG91" s="24">
        <f t="shared" si="91"/>
        <v>7.3036772458220836E-2</v>
      </c>
      <c r="AH91" s="24">
        <f t="shared" si="92"/>
        <v>7.7306819265294965E-2</v>
      </c>
      <c r="AL91" s="23">
        <f t="shared" si="72"/>
        <v>0</v>
      </c>
      <c r="AM91" s="23">
        <f t="shared" si="73"/>
        <v>-10300.599059479051</v>
      </c>
      <c r="AN91" s="23">
        <f t="shared" si="74"/>
        <v>-8381.849311119282</v>
      </c>
      <c r="AO91" s="23">
        <f t="shared" si="75"/>
        <v>-6795.3875217574732</v>
      </c>
      <c r="AP91" s="23">
        <f t="shared" si="76"/>
        <v>-4983.8514269350417</v>
      </c>
      <c r="AQ91" s="23">
        <f t="shared" si="77"/>
        <v>-3136.7558046478393</v>
      </c>
      <c r="AR91" s="23">
        <f t="shared" si="78"/>
        <v>-1304.4241444789784</v>
      </c>
      <c r="AS91" s="23">
        <f t="shared" si="79"/>
        <v>455.47005982124961</v>
      </c>
      <c r="AT91" s="23">
        <f t="shared" si="80"/>
        <v>2096.3566117106311</v>
      </c>
      <c r="AU91" s="23">
        <f t="shared" si="81"/>
        <v>3585.6235511427949</v>
      </c>
      <c r="AW91" s="25"/>
      <c r="AX91" s="25">
        <f t="shared" si="93"/>
        <v>-28765.417045742986</v>
      </c>
      <c r="AY91" s="25">
        <f t="shared" si="94"/>
        <v>-18464.817986263937</v>
      </c>
      <c r="AZ91" s="25">
        <f t="shared" si="95"/>
        <v>-10082.968675144657</v>
      </c>
      <c r="BA91" s="25">
        <f t="shared" si="96"/>
        <v>-3287.5811533871838</v>
      </c>
      <c r="BB91" s="25">
        <f t="shared" si="97"/>
        <v>1696.2702735478579</v>
      </c>
      <c r="BC91" s="25">
        <f t="shared" si="98"/>
        <v>4833.0260781956968</v>
      </c>
      <c r="BD91" s="25">
        <f t="shared" si="99"/>
        <v>6137.4502226746754</v>
      </c>
      <c r="BE91" s="25">
        <f t="shared" si="100"/>
        <v>5681.980162853426</v>
      </c>
      <c r="BF91" s="25">
        <f t="shared" si="101"/>
        <v>3585.6235511427949</v>
      </c>
      <c r="BG91" s="25">
        <f t="shared" si="102"/>
        <v>0</v>
      </c>
      <c r="BI91" s="25"/>
      <c r="BJ91" s="25">
        <f t="shared" si="55"/>
        <v>0</v>
      </c>
      <c r="BK91" s="25">
        <f t="shared" si="56"/>
        <v>0</v>
      </c>
      <c r="BL91" s="25">
        <f t="shared" si="57"/>
        <v>0</v>
      </c>
      <c r="BM91" s="25">
        <f t="shared" si="58"/>
        <v>0</v>
      </c>
      <c r="BN91" s="25">
        <f t="shared" si="59"/>
        <v>1696.2702735478579</v>
      </c>
      <c r="BO91" s="25">
        <f t="shared" si="60"/>
        <v>4833.0260781956968</v>
      </c>
      <c r="BP91" s="25">
        <f t="shared" si="61"/>
        <v>6137.4502226746754</v>
      </c>
      <c r="BQ91" s="25">
        <f t="shared" si="62"/>
        <v>5681.980162853426</v>
      </c>
      <c r="BR91" s="25">
        <f t="shared" si="63"/>
        <v>3585.6235511427949</v>
      </c>
      <c r="BS91" s="25">
        <f t="shared" si="64"/>
        <v>0</v>
      </c>
    </row>
    <row r="92" spans="1:71" x14ac:dyDescent="0.2">
      <c r="A92" s="29">
        <f t="shared" si="103"/>
        <v>0.84000000000000052</v>
      </c>
      <c r="B92" s="30">
        <v>3.8304747882999007E-2</v>
      </c>
      <c r="C92" s="30">
        <v>4.3264780140663095E-2</v>
      </c>
      <c r="D92" s="30">
        <v>4.7661059413601839E-2</v>
      </c>
      <c r="E92" s="30">
        <v>5.1085648380317976E-2</v>
      </c>
      <c r="F92" s="30">
        <v>5.4322135017878637E-2</v>
      </c>
      <c r="G92" s="30">
        <v>5.7779840966474705E-2</v>
      </c>
      <c r="H92" s="30">
        <v>6.1519824002777036E-2</v>
      </c>
      <c r="I92" s="30">
        <v>6.5486464595624752E-2</v>
      </c>
      <c r="J92" s="30">
        <v>6.9604368550618495E-2</v>
      </c>
      <c r="K92" s="30">
        <v>7.381144715953919E-2</v>
      </c>
      <c r="L92" s="30">
        <v>7.8063051139063117E-2</v>
      </c>
      <c r="N92" s="1"/>
      <c r="O92" s="55">
        <f t="shared" si="82"/>
        <v>0.97859991198157115</v>
      </c>
      <c r="P92" s="54">
        <f t="shared" si="83"/>
        <v>0.95345689755674712</v>
      </c>
      <c r="Q92" s="1">
        <f t="shared" si="65"/>
        <v>0.95019728418879912</v>
      </c>
      <c r="R92" s="57">
        <f t="shared" si="66"/>
        <v>0.92174819276439857</v>
      </c>
      <c r="S92" s="1">
        <f t="shared" si="67"/>
        <v>0.89086740196189085</v>
      </c>
      <c r="T92" s="60">
        <f t="shared" si="68"/>
        <v>0.85744386983151011</v>
      </c>
      <c r="U92" s="58">
        <f t="shared" si="69"/>
        <v>0.82163469409138046</v>
      </c>
      <c r="V92" s="53">
        <f t="shared" si="70"/>
        <v>0.78378910783394684</v>
      </c>
      <c r="W92" s="58">
        <f t="shared" si="71"/>
        <v>0.74434861254846052</v>
      </c>
      <c r="Y92" s="24"/>
      <c r="Z92" s="24">
        <f t="shared" si="84"/>
        <v>4.7661059413601839E-2</v>
      </c>
      <c r="AA92" s="24">
        <f t="shared" si="85"/>
        <v>5.1085648380317976E-2</v>
      </c>
      <c r="AB92" s="24">
        <f t="shared" si="86"/>
        <v>5.4322135017878637E-2</v>
      </c>
      <c r="AC92" s="24">
        <f t="shared" si="87"/>
        <v>5.7779840966474705E-2</v>
      </c>
      <c r="AD92" s="24">
        <f t="shared" si="88"/>
        <v>6.1519824002777036E-2</v>
      </c>
      <c r="AE92" s="24">
        <f t="shared" si="89"/>
        <v>6.5486464595624752E-2</v>
      </c>
      <c r="AF92" s="24">
        <f t="shared" si="90"/>
        <v>6.9604368550618495E-2</v>
      </c>
      <c r="AG92" s="24">
        <f t="shared" si="91"/>
        <v>7.381144715953919E-2</v>
      </c>
      <c r="AH92" s="24">
        <f t="shared" si="92"/>
        <v>7.8063051139063117E-2</v>
      </c>
      <c r="AL92" s="23">
        <f t="shared" si="72"/>
        <v>0</v>
      </c>
      <c r="AM92" s="23">
        <f t="shared" si="73"/>
        <v>-9806.2114177145213</v>
      </c>
      <c r="AN92" s="23">
        <f t="shared" si="74"/>
        <v>-7921.6629762527073</v>
      </c>
      <c r="AO92" s="23">
        <f t="shared" si="75"/>
        <v>-6356.930528861134</v>
      </c>
      <c r="AP92" s="23">
        <f t="shared" si="76"/>
        <v>-4573.0356883085205</v>
      </c>
      <c r="AQ92" s="23">
        <f t="shared" si="77"/>
        <v>-2753.9134618003354</v>
      </c>
      <c r="AR92" s="23">
        <f t="shared" si="78"/>
        <v>-950.00640246331864</v>
      </c>
      <c r="AS92" s="23">
        <f t="shared" si="79"/>
        <v>781.37481323846634</v>
      </c>
      <c r="AT92" s="23">
        <f t="shared" si="80"/>
        <v>2394.1148453495748</v>
      </c>
      <c r="AU92" s="23">
        <f t="shared" si="81"/>
        <v>3855.9800534246433</v>
      </c>
      <c r="AW92" s="25"/>
      <c r="AX92" s="25">
        <f t="shared" si="93"/>
        <v>-25330.290763387853</v>
      </c>
      <c r="AY92" s="25">
        <f t="shared" si="94"/>
        <v>-15524.079345673334</v>
      </c>
      <c r="AZ92" s="25">
        <f t="shared" si="95"/>
        <v>-7602.4163694206245</v>
      </c>
      <c r="BA92" s="25">
        <f t="shared" si="96"/>
        <v>-1245.4858405594905</v>
      </c>
      <c r="BB92" s="25">
        <f t="shared" si="97"/>
        <v>3327.5498477490305</v>
      </c>
      <c r="BC92" s="25">
        <f t="shared" si="98"/>
        <v>6081.4633095493664</v>
      </c>
      <c r="BD92" s="25">
        <f t="shared" si="99"/>
        <v>7031.4697120126839</v>
      </c>
      <c r="BE92" s="25">
        <f t="shared" si="100"/>
        <v>6250.0948987742177</v>
      </c>
      <c r="BF92" s="25">
        <f t="shared" si="101"/>
        <v>3855.9800534246433</v>
      </c>
      <c r="BG92" s="25">
        <f t="shared" si="102"/>
        <v>0</v>
      </c>
      <c r="BI92" s="25"/>
      <c r="BJ92" s="25">
        <f t="shared" ref="BJ92:BJ108" si="104">MAX(AX92,0)</f>
        <v>0</v>
      </c>
      <c r="BK92" s="25">
        <f t="shared" ref="BK92:BK155" si="105">MAX(AY92,0)</f>
        <v>0</v>
      </c>
      <c r="BL92" s="25">
        <f t="shared" ref="BL92:BL155" si="106">MAX(AZ92,0)</f>
        <v>0</v>
      </c>
      <c r="BM92" s="25">
        <f t="shared" ref="BM92:BM155" si="107">MAX(BA92,0)</f>
        <v>0</v>
      </c>
      <c r="BN92" s="25">
        <f t="shared" ref="BN92:BN155" si="108">MAX(BB92,0)</f>
        <v>3327.5498477490305</v>
      </c>
      <c r="BO92" s="25">
        <f t="shared" ref="BO92:BO155" si="109">MAX(BC92,0)</f>
        <v>6081.4633095493664</v>
      </c>
      <c r="BP92" s="25">
        <f t="shared" ref="BP92:BP155" si="110">MAX(BD92,0)</f>
        <v>7031.4697120126839</v>
      </c>
      <c r="BQ92" s="25">
        <f t="shared" ref="BQ92:BQ155" si="111">MAX(BE92,0)</f>
        <v>6250.0948987742177</v>
      </c>
      <c r="BR92" s="25">
        <f t="shared" ref="BR92:BR155" si="112">MAX(BF92,0)</f>
        <v>3855.9800534246433</v>
      </c>
      <c r="BS92" s="25">
        <f t="shared" ref="BS92:BS155" si="113">MAX(BG92,0)</f>
        <v>0</v>
      </c>
    </row>
    <row r="93" spans="1:71" x14ac:dyDescent="0.2">
      <c r="A93" s="29">
        <f t="shared" si="103"/>
        <v>0.85000000000000053</v>
      </c>
      <c r="B93" s="30">
        <v>3.8121490364138255E-2</v>
      </c>
      <c r="C93" s="30">
        <v>4.309539528659919E-2</v>
      </c>
      <c r="D93" s="30">
        <v>4.7491956088201052E-2</v>
      </c>
      <c r="E93" s="30">
        <v>5.092733334598798E-2</v>
      </c>
      <c r="F93" s="30">
        <v>5.4177894274797071E-2</v>
      </c>
      <c r="G93" s="30">
        <v>5.764625747586731E-2</v>
      </c>
      <c r="H93" s="30">
        <v>6.1391407543496493E-2</v>
      </c>
      <c r="I93" s="30">
        <v>6.5357588346176998E-2</v>
      </c>
      <c r="J93" s="30">
        <v>6.9469929579204753E-2</v>
      </c>
      <c r="K93" s="30">
        <v>7.3666948304286939E-2</v>
      </c>
      <c r="L93" s="30">
        <v>7.7904489113057251E-2</v>
      </c>
      <c r="N93" s="1"/>
      <c r="O93" s="55">
        <f t="shared" si="82"/>
        <v>0.97868279549296344</v>
      </c>
      <c r="P93" s="54">
        <f t="shared" si="83"/>
        <v>0.95361814392201427</v>
      </c>
      <c r="Q93" s="1">
        <f t="shared" si="65"/>
        <v>0.95034772661280031</v>
      </c>
      <c r="R93" s="57">
        <f t="shared" si="66"/>
        <v>0.92194764480684122</v>
      </c>
      <c r="S93" s="1">
        <f t="shared" si="67"/>
        <v>0.89110544411342119</v>
      </c>
      <c r="T93" s="60">
        <f t="shared" si="68"/>
        <v>0.85771918878799125</v>
      </c>
      <c r="U93" s="58">
        <f t="shared" si="69"/>
        <v>0.82195242310237948</v>
      </c>
      <c r="V93" s="53">
        <f t="shared" si="70"/>
        <v>0.78415799591989543</v>
      </c>
      <c r="W93" s="58">
        <f t="shared" si="71"/>
        <v>0.74477896699761736</v>
      </c>
      <c r="Y93" s="24"/>
      <c r="Z93" s="24">
        <f t="shared" si="84"/>
        <v>4.7491956088201052E-2</v>
      </c>
      <c r="AA93" s="24">
        <f t="shared" si="85"/>
        <v>5.092733334598798E-2</v>
      </c>
      <c r="AB93" s="24">
        <f t="shared" si="86"/>
        <v>5.4177894274797071E-2</v>
      </c>
      <c r="AC93" s="24">
        <f t="shared" si="87"/>
        <v>5.764625747586731E-2</v>
      </c>
      <c r="AD93" s="24">
        <f t="shared" si="88"/>
        <v>6.13914075434965E-2</v>
      </c>
      <c r="AE93" s="24">
        <f t="shared" si="89"/>
        <v>6.5357588346176998E-2</v>
      </c>
      <c r="AF93" s="24">
        <f t="shared" si="90"/>
        <v>6.9469929579204753E-2</v>
      </c>
      <c r="AG93" s="24">
        <f t="shared" si="91"/>
        <v>7.3666948304286939E-2</v>
      </c>
      <c r="AH93" s="24">
        <f t="shared" si="92"/>
        <v>7.7904489113057251E-2</v>
      </c>
      <c r="AL93" s="23">
        <f t="shared" si="72"/>
        <v>0</v>
      </c>
      <c r="AM93" s="23">
        <f t="shared" si="73"/>
        <v>-9889.7912223446983</v>
      </c>
      <c r="AN93" s="23">
        <f t="shared" si="74"/>
        <v>-7998.4887136711168</v>
      </c>
      <c r="AO93" s="23">
        <f t="shared" si="75"/>
        <v>-6426.4764373404423</v>
      </c>
      <c r="AP93" s="23">
        <f t="shared" si="76"/>
        <v>-4635.6037147270281</v>
      </c>
      <c r="AQ93" s="23">
        <f t="shared" si="77"/>
        <v>-2811.8656178292194</v>
      </c>
      <c r="AR93" s="23">
        <f t="shared" si="78"/>
        <v>-1005.5812586373407</v>
      </c>
      <c r="AS93" s="23">
        <f t="shared" si="79"/>
        <v>726.42575445621719</v>
      </c>
      <c r="AT93" s="23">
        <f t="shared" si="80"/>
        <v>2338.5866622317849</v>
      </c>
      <c r="AU93" s="23">
        <f t="shared" si="81"/>
        <v>3799.1626054967046</v>
      </c>
      <c r="AW93" s="25"/>
      <c r="AX93" s="25">
        <f t="shared" si="93"/>
        <v>-25903.63194236514</v>
      </c>
      <c r="AY93" s="25">
        <f t="shared" si="94"/>
        <v>-16013.840720020438</v>
      </c>
      <c r="AZ93" s="25">
        <f t="shared" si="95"/>
        <v>-8015.3520063493261</v>
      </c>
      <c r="BA93" s="25">
        <f t="shared" si="96"/>
        <v>-1588.8755690088828</v>
      </c>
      <c r="BB93" s="25">
        <f t="shared" si="97"/>
        <v>3046.7281457181466</v>
      </c>
      <c r="BC93" s="25">
        <f t="shared" si="98"/>
        <v>5858.5937635473656</v>
      </c>
      <c r="BD93" s="25">
        <f t="shared" si="99"/>
        <v>6864.1750221847069</v>
      </c>
      <c r="BE93" s="25">
        <f t="shared" si="100"/>
        <v>6137.7492677284899</v>
      </c>
      <c r="BF93" s="25">
        <f t="shared" si="101"/>
        <v>3799.1626054967046</v>
      </c>
      <c r="BG93" s="25">
        <f t="shared" si="102"/>
        <v>0</v>
      </c>
      <c r="BI93" s="25"/>
      <c r="BJ93" s="25">
        <f t="shared" si="104"/>
        <v>0</v>
      </c>
      <c r="BK93" s="25">
        <f t="shared" si="105"/>
        <v>0</v>
      </c>
      <c r="BL93" s="25">
        <f t="shared" si="106"/>
        <v>0</v>
      </c>
      <c r="BM93" s="25">
        <f t="shared" si="107"/>
        <v>0</v>
      </c>
      <c r="BN93" s="25">
        <f t="shared" si="108"/>
        <v>3046.7281457181466</v>
      </c>
      <c r="BO93" s="25">
        <f t="shared" si="109"/>
        <v>5858.5937635473656</v>
      </c>
      <c r="BP93" s="25">
        <f t="shared" si="110"/>
        <v>6864.1750221847069</v>
      </c>
      <c r="BQ93" s="25">
        <f t="shared" si="111"/>
        <v>6137.7492677284899</v>
      </c>
      <c r="BR93" s="25">
        <f t="shared" si="112"/>
        <v>3799.1626054967046</v>
      </c>
      <c r="BS93" s="25">
        <f t="shared" si="113"/>
        <v>0</v>
      </c>
    </row>
    <row r="94" spans="1:71" x14ac:dyDescent="0.2">
      <c r="A94" s="29">
        <f t="shared" si="103"/>
        <v>0.86000000000000054</v>
      </c>
      <c r="B94" s="30">
        <v>3.8548218057694664E-2</v>
      </c>
      <c r="C94" s="30">
        <v>4.3524955620708593E-2</v>
      </c>
      <c r="D94" s="30">
        <v>4.791484477871806E-2</v>
      </c>
      <c r="E94" s="30">
        <v>5.1357335746079931E-2</v>
      </c>
      <c r="F94" s="30">
        <v>5.4621403441853622E-2</v>
      </c>
      <c r="G94" s="30">
        <v>5.8102874137444575E-2</v>
      </c>
      <c r="H94" s="30">
        <v>6.1858516088404807E-2</v>
      </c>
      <c r="I94" s="30">
        <v>6.5832267884667589E-2</v>
      </c>
      <c r="J94" s="30">
        <v>6.9949602860815516E-2</v>
      </c>
      <c r="K94" s="30">
        <v>7.414945972256945E-2</v>
      </c>
      <c r="L94" s="30">
        <v>7.8387993213510254E-2</v>
      </c>
      <c r="N94" s="1"/>
      <c r="O94" s="55">
        <f t="shared" si="82"/>
        <v>0.97847261641061112</v>
      </c>
      <c r="P94" s="54">
        <f t="shared" si="83"/>
        <v>0.95321495485193553</v>
      </c>
      <c r="Q94" s="1">
        <f t="shared" si="65"/>
        <v>0.94993916265747091</v>
      </c>
      <c r="R94" s="57">
        <f t="shared" si="66"/>
        <v>0.92133451042946513</v>
      </c>
      <c r="S94" s="1">
        <f t="shared" si="67"/>
        <v>0.89029202840311061</v>
      </c>
      <c r="T94" s="60">
        <f t="shared" si="68"/>
        <v>0.85671815348639191</v>
      </c>
      <c r="U94" s="58">
        <f t="shared" si="69"/>
        <v>0.82078276412923468</v>
      </c>
      <c r="V94" s="53">
        <f t="shared" si="70"/>
        <v>0.78284261166233393</v>
      </c>
      <c r="W94" s="58">
        <f t="shared" si="71"/>
        <v>0.74334289586215552</v>
      </c>
      <c r="Y94" s="24"/>
      <c r="Z94" s="24">
        <f t="shared" si="84"/>
        <v>4.791484477871806E-2</v>
      </c>
      <c r="AA94" s="24">
        <f t="shared" si="85"/>
        <v>5.1357335746079931E-2</v>
      </c>
      <c r="AB94" s="24">
        <f t="shared" si="86"/>
        <v>5.4621403441853622E-2</v>
      </c>
      <c r="AC94" s="24">
        <f t="shared" si="87"/>
        <v>5.8102874137444568E-2</v>
      </c>
      <c r="AD94" s="24">
        <f t="shared" si="88"/>
        <v>6.1858516088404807E-2</v>
      </c>
      <c r="AE94" s="24">
        <f t="shared" si="89"/>
        <v>6.5832267884667589E-2</v>
      </c>
      <c r="AF94" s="24">
        <f t="shared" si="90"/>
        <v>6.9949602860815516E-2</v>
      </c>
      <c r="AG94" s="24">
        <f t="shared" si="91"/>
        <v>7.414945972256945E-2</v>
      </c>
      <c r="AH94" s="24">
        <f t="shared" si="92"/>
        <v>7.8387993213510254E-2</v>
      </c>
      <c r="AL94" s="23">
        <f t="shared" si="72"/>
        <v>0</v>
      </c>
      <c r="AM94" s="23">
        <f t="shared" si="73"/>
        <v>-9680.7748176977875</v>
      </c>
      <c r="AN94" s="23">
        <f t="shared" si="74"/>
        <v>-7790.1645991613786</v>
      </c>
      <c r="AO94" s="23">
        <f t="shared" si="75"/>
        <v>-6213.0602677051738</v>
      </c>
      <c r="AP94" s="23">
        <f t="shared" si="76"/>
        <v>-4422.1724970151399</v>
      </c>
      <c r="AQ94" s="23">
        <f t="shared" si="77"/>
        <v>-2601.3673936655882</v>
      </c>
      <c r="AR94" s="23">
        <f t="shared" si="78"/>
        <v>-801.07436616806569</v>
      </c>
      <c r="AS94" s="23">
        <f t="shared" si="79"/>
        <v>922.24581331510751</v>
      </c>
      <c r="AT94" s="23">
        <f t="shared" si="80"/>
        <v>2523.5290541480435</v>
      </c>
      <c r="AU94" s="23">
        <f t="shared" si="81"/>
        <v>3971.541788779527</v>
      </c>
      <c r="AW94" s="25"/>
      <c r="AX94" s="25">
        <f t="shared" si="93"/>
        <v>-24091.297285170454</v>
      </c>
      <c r="AY94" s="25">
        <f t="shared" si="94"/>
        <v>-14410.522467472667</v>
      </c>
      <c r="AZ94" s="25">
        <f t="shared" si="95"/>
        <v>-6620.3578683112901</v>
      </c>
      <c r="BA94" s="25">
        <f t="shared" si="96"/>
        <v>-407.29760060611488</v>
      </c>
      <c r="BB94" s="25">
        <f t="shared" si="97"/>
        <v>4014.8748964090241</v>
      </c>
      <c r="BC94" s="25">
        <f t="shared" si="98"/>
        <v>6616.2422900746124</v>
      </c>
      <c r="BD94" s="25">
        <f t="shared" si="99"/>
        <v>7417.3166562426777</v>
      </c>
      <c r="BE94" s="25">
        <f t="shared" si="100"/>
        <v>6495.070842927571</v>
      </c>
      <c r="BF94" s="25">
        <f t="shared" si="101"/>
        <v>3971.541788779527</v>
      </c>
      <c r="BG94" s="25">
        <f t="shared" si="102"/>
        <v>0</v>
      </c>
      <c r="BI94" s="25"/>
      <c r="BJ94" s="25">
        <f t="shared" si="104"/>
        <v>0</v>
      </c>
      <c r="BK94" s="25">
        <f t="shared" si="105"/>
        <v>0</v>
      </c>
      <c r="BL94" s="25">
        <f t="shared" si="106"/>
        <v>0</v>
      </c>
      <c r="BM94" s="25">
        <f t="shared" si="107"/>
        <v>0</v>
      </c>
      <c r="BN94" s="25">
        <f t="shared" si="108"/>
        <v>4014.8748964090241</v>
      </c>
      <c r="BO94" s="25">
        <f t="shared" si="109"/>
        <v>6616.2422900746124</v>
      </c>
      <c r="BP94" s="25">
        <f t="shared" si="110"/>
        <v>7417.3166562426777</v>
      </c>
      <c r="BQ94" s="25">
        <f t="shared" si="111"/>
        <v>6495.070842927571</v>
      </c>
      <c r="BR94" s="25">
        <f t="shared" si="112"/>
        <v>3971.541788779527</v>
      </c>
      <c r="BS94" s="25">
        <f t="shared" si="113"/>
        <v>0</v>
      </c>
    </row>
    <row r="95" spans="1:71" x14ac:dyDescent="0.2">
      <c r="A95" s="29">
        <f t="shared" si="103"/>
        <v>0.87000000000000055</v>
      </c>
      <c r="B95" s="30">
        <v>3.9815185561500384E-2</v>
      </c>
      <c r="C95" s="30">
        <v>4.4631945195000119E-2</v>
      </c>
      <c r="D95" s="30">
        <v>4.8867616377684719E-2</v>
      </c>
      <c r="E95" s="30">
        <v>5.2183784109937827E-2</v>
      </c>
      <c r="F95" s="30">
        <v>5.534150180173588E-2</v>
      </c>
      <c r="G95" s="30">
        <v>5.8729353701848383E-2</v>
      </c>
      <c r="H95" s="30">
        <v>6.2401388735661159E-2</v>
      </c>
      <c r="I95" s="30">
        <v>6.6300711980281118E-2</v>
      </c>
      <c r="J95" s="30">
        <v>7.035260075704787E-2</v>
      </c>
      <c r="K95" s="30">
        <v>7.4495871973230529E-2</v>
      </c>
      <c r="L95" s="30">
        <v>7.868644748844357E-2</v>
      </c>
      <c r="N95" s="1"/>
      <c r="O95" s="55">
        <f t="shared" si="82"/>
        <v>0.977931186771127</v>
      </c>
      <c r="P95" s="54">
        <f t="shared" si="83"/>
        <v>0.9523071912296116</v>
      </c>
      <c r="Q95" s="1">
        <f t="shared" si="65"/>
        <v>0.94915441131362666</v>
      </c>
      <c r="R95" s="57">
        <f t="shared" si="66"/>
        <v>0.92033987050031207</v>
      </c>
      <c r="S95" s="1">
        <f t="shared" si="67"/>
        <v>0.88917722742469407</v>
      </c>
      <c r="T95" s="60">
        <f t="shared" si="68"/>
        <v>0.85555622001228004</v>
      </c>
      <c r="U95" s="58">
        <f t="shared" si="69"/>
        <v>0.81963010173686457</v>
      </c>
      <c r="V95" s="53">
        <f t="shared" si="70"/>
        <v>0.78173919628536892</v>
      </c>
      <c r="W95" s="58">
        <f t="shared" si="71"/>
        <v>0.74231359680817499</v>
      </c>
      <c r="Y95" s="24"/>
      <c r="Z95" s="24">
        <f t="shared" si="84"/>
        <v>4.8867616377684719E-2</v>
      </c>
      <c r="AA95" s="24">
        <f t="shared" si="85"/>
        <v>5.2183784109937827E-2</v>
      </c>
      <c r="AB95" s="24">
        <f t="shared" si="86"/>
        <v>5.534150180173588E-2</v>
      </c>
      <c r="AC95" s="24">
        <f t="shared" si="87"/>
        <v>5.8729353701848383E-2</v>
      </c>
      <c r="AD95" s="24">
        <f t="shared" si="88"/>
        <v>6.2401388735661166E-2</v>
      </c>
      <c r="AE95" s="24">
        <f t="shared" si="89"/>
        <v>6.6300711980281118E-2</v>
      </c>
      <c r="AF95" s="24">
        <f t="shared" si="90"/>
        <v>7.035260075704787E-2</v>
      </c>
      <c r="AG95" s="24">
        <f t="shared" si="91"/>
        <v>7.4495871973230529E-2</v>
      </c>
      <c r="AH95" s="24">
        <f t="shared" si="92"/>
        <v>7.868644748844357E-2</v>
      </c>
      <c r="AL95" s="23">
        <f t="shared" si="72"/>
        <v>0</v>
      </c>
      <c r="AM95" s="23">
        <f t="shared" si="73"/>
        <v>-9209.5455116615085</v>
      </c>
      <c r="AN95" s="23">
        <f t="shared" si="74"/>
        <v>-7389.2295262697735</v>
      </c>
      <c r="AO95" s="23">
        <f t="shared" si="75"/>
        <v>-5866.1853480095751</v>
      </c>
      <c r="AP95" s="23">
        <f t="shared" si="76"/>
        <v>-4129.1114164716819</v>
      </c>
      <c r="AQ95" s="23">
        <f t="shared" si="77"/>
        <v>-2356.7550300755875</v>
      </c>
      <c r="AR95" s="23">
        <f t="shared" si="78"/>
        <v>-599.59777033103774</v>
      </c>
      <c r="AS95" s="23">
        <f t="shared" si="79"/>
        <v>1086.1052651138832</v>
      </c>
      <c r="AT95" s="23">
        <f t="shared" si="80"/>
        <v>2655.3741612934118</v>
      </c>
      <c r="AU95" s="23">
        <f t="shared" si="81"/>
        <v>4076.8157699808876</v>
      </c>
      <c r="AW95" s="25"/>
      <c r="AX95" s="25">
        <f t="shared" si="93"/>
        <v>-21732.129406430984</v>
      </c>
      <c r="AY95" s="25">
        <f t="shared" si="94"/>
        <v>-12522.583894769472</v>
      </c>
      <c r="AZ95" s="25">
        <f t="shared" si="95"/>
        <v>-5133.3543684996985</v>
      </c>
      <c r="BA95" s="25">
        <f t="shared" si="96"/>
        <v>732.83097950987622</v>
      </c>
      <c r="BB95" s="25">
        <f t="shared" si="97"/>
        <v>4861.9423959815576</v>
      </c>
      <c r="BC95" s="25">
        <f t="shared" si="98"/>
        <v>7218.6974260571442</v>
      </c>
      <c r="BD95" s="25">
        <f t="shared" si="99"/>
        <v>7818.2951963881824</v>
      </c>
      <c r="BE95" s="25">
        <f t="shared" si="100"/>
        <v>6732.1899312742989</v>
      </c>
      <c r="BF95" s="25">
        <f t="shared" si="101"/>
        <v>4076.8157699808876</v>
      </c>
      <c r="BG95" s="25">
        <f t="shared" si="102"/>
        <v>0</v>
      </c>
      <c r="BI95" s="25"/>
      <c r="BJ95" s="25">
        <f t="shared" si="104"/>
        <v>0</v>
      </c>
      <c r="BK95" s="25">
        <f t="shared" si="105"/>
        <v>0</v>
      </c>
      <c r="BL95" s="25">
        <f t="shared" si="106"/>
        <v>0</v>
      </c>
      <c r="BM95" s="25">
        <f t="shared" si="107"/>
        <v>732.83097950987622</v>
      </c>
      <c r="BN95" s="25">
        <f t="shared" si="108"/>
        <v>4861.9423959815576</v>
      </c>
      <c r="BO95" s="25">
        <f t="shared" si="109"/>
        <v>7218.6974260571442</v>
      </c>
      <c r="BP95" s="25">
        <f t="shared" si="110"/>
        <v>7818.2951963881824</v>
      </c>
      <c r="BQ95" s="25">
        <f t="shared" si="111"/>
        <v>6732.1899312742989</v>
      </c>
      <c r="BR95" s="25">
        <f t="shared" si="112"/>
        <v>4076.8157699808876</v>
      </c>
      <c r="BS95" s="25">
        <f t="shared" si="113"/>
        <v>0</v>
      </c>
    </row>
    <row r="96" spans="1:71" x14ac:dyDescent="0.2">
      <c r="A96" s="29">
        <f t="shared" si="103"/>
        <v>0.88000000000000056</v>
      </c>
      <c r="B96" s="30">
        <v>4.1689694871407765E-2</v>
      </c>
      <c r="C96" s="30">
        <v>4.6470790190890426E-2</v>
      </c>
      <c r="D96" s="30">
        <v>5.0663827959332643E-2</v>
      </c>
      <c r="E96" s="30">
        <v>5.3952444206398366E-2</v>
      </c>
      <c r="F96" s="30">
        <v>5.7090301791865743E-2</v>
      </c>
      <c r="G96" s="30">
        <v>6.0459350764873493E-2</v>
      </c>
      <c r="H96" s="30">
        <v>6.4111475806143778E-2</v>
      </c>
      <c r="I96" s="30">
        <v>6.7989478599104536E-2</v>
      </c>
      <c r="J96" s="30">
        <v>7.2018959305304012E-2</v>
      </c>
      <c r="K96" s="30">
        <v>7.6139128181004989E-2</v>
      </c>
      <c r="L96" s="30">
        <v>8.0306189759415503E-2</v>
      </c>
      <c r="N96" s="1"/>
      <c r="O96" s="55">
        <f t="shared" si="82"/>
        <v>0.97703246805098276</v>
      </c>
      <c r="P96" s="54">
        <f t="shared" si="83"/>
        <v>0.95059818135459595</v>
      </c>
      <c r="Q96" s="1">
        <f t="shared" si="65"/>
        <v>0.9474771634588578</v>
      </c>
      <c r="R96" s="57">
        <f t="shared" si="66"/>
        <v>0.91792879870996813</v>
      </c>
      <c r="S96" s="1">
        <f t="shared" si="67"/>
        <v>0.88610599572655679</v>
      </c>
      <c r="T96" s="60">
        <f t="shared" si="68"/>
        <v>0.85190633851566011</v>
      </c>
      <c r="U96" s="58">
        <f t="shared" si="69"/>
        <v>0.81548811101308638</v>
      </c>
      <c r="V96" s="53">
        <f t="shared" si="70"/>
        <v>0.77719316370914215</v>
      </c>
      <c r="W96" s="58">
        <f t="shared" si="71"/>
        <v>0.73745035172878304</v>
      </c>
      <c r="Y96" s="24"/>
      <c r="Z96" s="24">
        <f t="shared" si="84"/>
        <v>5.0663827959332643E-2</v>
      </c>
      <c r="AA96" s="24">
        <f t="shared" si="85"/>
        <v>5.3952444206398366E-2</v>
      </c>
      <c r="AB96" s="24">
        <f t="shared" si="86"/>
        <v>5.7090301791865743E-2</v>
      </c>
      <c r="AC96" s="24">
        <f t="shared" si="87"/>
        <v>6.04593507648735E-2</v>
      </c>
      <c r="AD96" s="24">
        <f t="shared" si="88"/>
        <v>6.4111475806143778E-2</v>
      </c>
      <c r="AE96" s="24">
        <f t="shared" si="89"/>
        <v>6.7989478599104536E-2</v>
      </c>
      <c r="AF96" s="24">
        <f t="shared" si="90"/>
        <v>7.2018959305304012E-2</v>
      </c>
      <c r="AG96" s="24">
        <f t="shared" si="91"/>
        <v>7.6139128181004989E-2</v>
      </c>
      <c r="AH96" s="24">
        <f t="shared" si="92"/>
        <v>8.0306189759415503E-2</v>
      </c>
      <c r="AL96" s="23">
        <f t="shared" si="72"/>
        <v>0</v>
      </c>
      <c r="AM96" s="23">
        <f t="shared" si="73"/>
        <v>-8323.6034223380666</v>
      </c>
      <c r="AN96" s="23">
        <f t="shared" si="74"/>
        <v>-6535.3262841330143</v>
      </c>
      <c r="AO96" s="23">
        <f t="shared" si="75"/>
        <v>-5027.345202785571</v>
      </c>
      <c r="AP96" s="23">
        <f t="shared" si="76"/>
        <v>-3324.2870627094835</v>
      </c>
      <c r="AQ96" s="23">
        <f t="shared" si="77"/>
        <v>-1590.9555590907942</v>
      </c>
      <c r="AR96" s="23">
        <f t="shared" si="78"/>
        <v>122.29566231042594</v>
      </c>
      <c r="AS96" s="23">
        <f t="shared" si="79"/>
        <v>1760.0644377955857</v>
      </c>
      <c r="AT96" s="23">
        <f t="shared" si="80"/>
        <v>3278.4961616003411</v>
      </c>
      <c r="AU96" s="23">
        <f t="shared" si="81"/>
        <v>4647.3463884797966</v>
      </c>
      <c r="AW96" s="25"/>
      <c r="AX96" s="25">
        <f t="shared" si="93"/>
        <v>-14993.314880870777</v>
      </c>
      <c r="AY96" s="25">
        <f t="shared" si="94"/>
        <v>-6669.7114585327145</v>
      </c>
      <c r="AZ96" s="25">
        <f t="shared" si="95"/>
        <v>-134.38517439970019</v>
      </c>
      <c r="BA96" s="25">
        <f t="shared" si="96"/>
        <v>4892.9600283858717</v>
      </c>
      <c r="BB96" s="25">
        <f t="shared" si="97"/>
        <v>8217.2470910953562</v>
      </c>
      <c r="BC96" s="25">
        <f t="shared" si="98"/>
        <v>9808.2026501861492</v>
      </c>
      <c r="BD96" s="25">
        <f t="shared" si="99"/>
        <v>9685.9069878757236</v>
      </c>
      <c r="BE96" s="25">
        <f t="shared" si="100"/>
        <v>7925.8425500801377</v>
      </c>
      <c r="BF96" s="25">
        <f t="shared" si="101"/>
        <v>4647.3463884797966</v>
      </c>
      <c r="BG96" s="25">
        <f t="shared" si="102"/>
        <v>0</v>
      </c>
      <c r="BI96" s="25"/>
      <c r="BJ96" s="25">
        <f t="shared" si="104"/>
        <v>0</v>
      </c>
      <c r="BK96" s="25">
        <f t="shared" si="105"/>
        <v>0</v>
      </c>
      <c r="BL96" s="25">
        <f t="shared" si="106"/>
        <v>0</v>
      </c>
      <c r="BM96" s="25">
        <f t="shared" si="107"/>
        <v>4892.9600283858717</v>
      </c>
      <c r="BN96" s="25">
        <f t="shared" si="108"/>
        <v>8217.2470910953562</v>
      </c>
      <c r="BO96" s="25">
        <f t="shared" si="109"/>
        <v>9808.2026501861492</v>
      </c>
      <c r="BP96" s="25">
        <f t="shared" si="110"/>
        <v>9685.9069878757236</v>
      </c>
      <c r="BQ96" s="25">
        <f t="shared" si="111"/>
        <v>7925.8425500801377</v>
      </c>
      <c r="BR96" s="25">
        <f t="shared" si="112"/>
        <v>4647.3463884797966</v>
      </c>
      <c r="BS96" s="25">
        <f t="shared" si="113"/>
        <v>0</v>
      </c>
    </row>
    <row r="97" spans="1:71" x14ac:dyDescent="0.2">
      <c r="A97" s="29">
        <f t="shared" si="103"/>
        <v>0.89000000000000057</v>
      </c>
      <c r="B97" s="30">
        <v>4.0981908304745858E-2</v>
      </c>
      <c r="C97" s="30">
        <v>4.5786134968021065E-2</v>
      </c>
      <c r="D97" s="30">
        <v>4.9996334818819425E-2</v>
      </c>
      <c r="E97" s="30">
        <v>5.3317472738390277E-2</v>
      </c>
      <c r="F97" s="30">
        <v>5.6495702817219454E-2</v>
      </c>
      <c r="G97" s="30">
        <v>5.9906296957808844E-2</v>
      </c>
      <c r="H97" s="30">
        <v>6.3598879467131303E-2</v>
      </c>
      <c r="I97" s="30">
        <v>6.7515827813508178E-2</v>
      </c>
      <c r="J97" s="30">
        <v>7.1582933062766668E-2</v>
      </c>
      <c r="K97" s="30">
        <v>7.5739663260549844E-2</v>
      </c>
      <c r="L97" s="30">
        <v>7.9942370467636387E-2</v>
      </c>
      <c r="N97" s="1"/>
      <c r="O97" s="55">
        <f t="shared" si="82"/>
        <v>0.97736699049693299</v>
      </c>
      <c r="P97" s="54">
        <f t="shared" si="83"/>
        <v>0.95123291093528828</v>
      </c>
      <c r="Q97" s="1">
        <f t="shared" si="65"/>
        <v>0.94807897547075148</v>
      </c>
      <c r="R97" s="57">
        <f t="shared" si="66"/>
        <v>0.91874786320061874</v>
      </c>
      <c r="S97" s="1">
        <f t="shared" si="67"/>
        <v>0.88708666657911861</v>
      </c>
      <c r="T97" s="60">
        <f t="shared" si="68"/>
        <v>0.85299874849862123</v>
      </c>
      <c r="U97" s="58">
        <f t="shared" si="69"/>
        <v>0.81664770443475476</v>
      </c>
      <c r="V97" s="53">
        <f t="shared" si="70"/>
        <v>0.77838013734631328</v>
      </c>
      <c r="W97" s="58">
        <f t="shared" si="71"/>
        <v>0.73862963582750418</v>
      </c>
      <c r="Y97" s="24"/>
      <c r="Z97" s="24">
        <f t="shared" si="84"/>
        <v>4.9996334818819425E-2</v>
      </c>
      <c r="AA97" s="24">
        <f t="shared" si="85"/>
        <v>5.3317472738390277E-2</v>
      </c>
      <c r="AB97" s="24">
        <f t="shared" si="86"/>
        <v>5.6495702817219454E-2</v>
      </c>
      <c r="AC97" s="24">
        <f t="shared" si="87"/>
        <v>5.9906296957808844E-2</v>
      </c>
      <c r="AD97" s="24">
        <f t="shared" si="88"/>
        <v>6.3598879467131303E-2</v>
      </c>
      <c r="AE97" s="24">
        <f t="shared" si="89"/>
        <v>6.7515827813508178E-2</v>
      </c>
      <c r="AF97" s="24">
        <f t="shared" si="90"/>
        <v>7.1582933062766668E-2</v>
      </c>
      <c r="AG97" s="24">
        <f t="shared" si="91"/>
        <v>7.5739663260549844E-2</v>
      </c>
      <c r="AH97" s="24">
        <f t="shared" si="92"/>
        <v>7.9942370467636387E-2</v>
      </c>
      <c r="AL97" s="23">
        <f t="shared" si="72"/>
        <v>0</v>
      </c>
      <c r="AM97" s="23">
        <f t="shared" si="73"/>
        <v>-8652.6461903462205</v>
      </c>
      <c r="AN97" s="23">
        <f t="shared" si="74"/>
        <v>-6841.6929047575832</v>
      </c>
      <c r="AO97" s="23">
        <f t="shared" si="75"/>
        <v>-5312.4018305975715</v>
      </c>
      <c r="AP97" s="23">
        <f t="shared" si="76"/>
        <v>-3581.3118135655491</v>
      </c>
      <c r="AQ97" s="23">
        <f t="shared" si="77"/>
        <v>-1820.0749895914253</v>
      </c>
      <c r="AR97" s="23">
        <f t="shared" si="78"/>
        <v>-79.559280126145353</v>
      </c>
      <c r="AS97" s="23">
        <f t="shared" si="79"/>
        <v>1584.5272682057557</v>
      </c>
      <c r="AT97" s="23">
        <f t="shared" si="80"/>
        <v>3128.0354877247009</v>
      </c>
      <c r="AU97" s="23">
        <f t="shared" si="81"/>
        <v>4520.4142762647662</v>
      </c>
      <c r="AW97" s="25"/>
      <c r="AX97" s="25">
        <f t="shared" si="93"/>
        <v>-17054.709976789272</v>
      </c>
      <c r="AY97" s="25">
        <f t="shared" si="94"/>
        <v>-8402.0637864430519</v>
      </c>
      <c r="AZ97" s="25">
        <f t="shared" si="95"/>
        <v>-1560.3708816854687</v>
      </c>
      <c r="BA97" s="25">
        <f t="shared" si="96"/>
        <v>3752.0309489121028</v>
      </c>
      <c r="BB97" s="25">
        <f t="shared" si="97"/>
        <v>7333.3427624776523</v>
      </c>
      <c r="BC97" s="25">
        <f t="shared" si="98"/>
        <v>9153.4177520690773</v>
      </c>
      <c r="BD97" s="25">
        <f t="shared" si="99"/>
        <v>9232.9770321952237</v>
      </c>
      <c r="BE97" s="25">
        <f t="shared" si="100"/>
        <v>7648.4497639894671</v>
      </c>
      <c r="BF97" s="25">
        <f t="shared" si="101"/>
        <v>4520.4142762647662</v>
      </c>
      <c r="BG97" s="25">
        <f t="shared" si="102"/>
        <v>0</v>
      </c>
      <c r="BI97" s="25"/>
      <c r="BJ97" s="25">
        <f t="shared" si="104"/>
        <v>0</v>
      </c>
      <c r="BK97" s="25">
        <f t="shared" si="105"/>
        <v>0</v>
      </c>
      <c r="BL97" s="25">
        <f t="shared" si="106"/>
        <v>0</v>
      </c>
      <c r="BM97" s="25">
        <f t="shared" si="107"/>
        <v>3752.0309489121028</v>
      </c>
      <c r="BN97" s="25">
        <f t="shared" si="108"/>
        <v>7333.3427624776523</v>
      </c>
      <c r="BO97" s="25">
        <f t="shared" si="109"/>
        <v>9153.4177520690773</v>
      </c>
      <c r="BP97" s="25">
        <f t="shared" si="110"/>
        <v>9232.9770321952237</v>
      </c>
      <c r="BQ97" s="25">
        <f t="shared" si="111"/>
        <v>7648.4497639894671</v>
      </c>
      <c r="BR97" s="25">
        <f t="shared" si="112"/>
        <v>4520.4142762647662</v>
      </c>
      <c r="BS97" s="25">
        <f t="shared" si="113"/>
        <v>0</v>
      </c>
    </row>
    <row r="98" spans="1:71" x14ac:dyDescent="0.2">
      <c r="A98" s="29">
        <f t="shared" si="103"/>
        <v>0.90000000000000058</v>
      </c>
      <c r="B98" s="30">
        <v>4.0556137969320914E-2</v>
      </c>
      <c r="C98" s="30">
        <v>4.5355042846120762E-2</v>
      </c>
      <c r="D98" s="30">
        <v>4.9550927982037217E-2</v>
      </c>
      <c r="E98" s="30">
        <v>5.2869751484168705E-2</v>
      </c>
      <c r="F98" s="30">
        <v>5.605041641284312E-2</v>
      </c>
      <c r="G98" s="30">
        <v>5.9461846006064523E-2</v>
      </c>
      <c r="H98" s="30">
        <v>6.3151682046910573E-2</v>
      </c>
      <c r="I98" s="30">
        <v>6.7062131217664994E-2</v>
      </c>
      <c r="J98" s="30">
        <v>7.1119417952817218E-2</v>
      </c>
      <c r="K98" s="30">
        <v>7.5263507008835676E-2</v>
      </c>
      <c r="L98" s="30">
        <v>7.9451137312494993E-2</v>
      </c>
      <c r="N98" s="1"/>
      <c r="O98" s="55">
        <f t="shared" si="82"/>
        <v>0.97757768080775487</v>
      </c>
      <c r="P98" s="54">
        <f t="shared" si="83"/>
        <v>0.95165669094744243</v>
      </c>
      <c r="Q98" s="1">
        <f t="shared" si="65"/>
        <v>0.9485035456161971</v>
      </c>
      <c r="R98" s="57">
        <f t="shared" si="66"/>
        <v>0.91936172708552799</v>
      </c>
      <c r="S98" s="1">
        <f t="shared" si="67"/>
        <v>0.88787555017372011</v>
      </c>
      <c r="T98" s="60">
        <f t="shared" si="68"/>
        <v>0.85395292888244245</v>
      </c>
      <c r="U98" s="58">
        <f t="shared" si="69"/>
        <v>0.81775999207522909</v>
      </c>
      <c r="V98" s="53">
        <f t="shared" si="70"/>
        <v>0.77964393053911252</v>
      </c>
      <c r="W98" s="58">
        <f t="shared" si="71"/>
        <v>0.74003778887878002</v>
      </c>
      <c r="Y98" s="24"/>
      <c r="Z98" s="24">
        <f t="shared" si="84"/>
        <v>4.9550927982037217E-2</v>
      </c>
      <c r="AA98" s="24">
        <f t="shared" si="85"/>
        <v>5.2869751484168705E-2</v>
      </c>
      <c r="AB98" s="24">
        <f t="shared" si="86"/>
        <v>5.605041641284312E-2</v>
      </c>
      <c r="AC98" s="24">
        <f t="shared" si="87"/>
        <v>5.9461846006064523E-2</v>
      </c>
      <c r="AD98" s="24">
        <f t="shared" si="88"/>
        <v>6.3151682046910573E-2</v>
      </c>
      <c r="AE98" s="24">
        <f t="shared" si="89"/>
        <v>6.7062131217664994E-2</v>
      </c>
      <c r="AF98" s="24">
        <f t="shared" si="90"/>
        <v>7.1119417952817218E-2</v>
      </c>
      <c r="AG98" s="24">
        <f t="shared" si="91"/>
        <v>7.5263507008835676E-2</v>
      </c>
      <c r="AH98" s="24">
        <f t="shared" si="92"/>
        <v>7.9451137312494993E-2</v>
      </c>
      <c r="AL98" s="23">
        <f t="shared" si="72"/>
        <v>0</v>
      </c>
      <c r="AM98" s="23">
        <f t="shared" si="73"/>
        <v>-8872.2213264239472</v>
      </c>
      <c r="AN98" s="23">
        <f t="shared" si="74"/>
        <v>-7057.779383935288</v>
      </c>
      <c r="AO98" s="23">
        <f t="shared" si="75"/>
        <v>-5525.9587050173386</v>
      </c>
      <c r="AP98" s="23">
        <f t="shared" si="76"/>
        <v>-3788.0102740995399</v>
      </c>
      <c r="AQ98" s="23">
        <f t="shared" si="77"/>
        <v>-2020.221404747673</v>
      </c>
      <c r="AR98" s="23">
        <f t="shared" si="78"/>
        <v>-273.36604504984081</v>
      </c>
      <c r="AS98" s="23">
        <f t="shared" si="79"/>
        <v>1397.1633641553974</v>
      </c>
      <c r="AT98" s="23">
        <f t="shared" si="80"/>
        <v>2947.4980614146607</v>
      </c>
      <c r="AU98" s="23">
        <f t="shared" si="81"/>
        <v>4347.2666256865114</v>
      </c>
      <c r="AW98" s="25"/>
      <c r="AX98" s="25">
        <f t="shared" si="93"/>
        <v>-18845.629088017056</v>
      </c>
      <c r="AY98" s="25">
        <f t="shared" si="94"/>
        <v>-9973.4077615931128</v>
      </c>
      <c r="AZ98" s="25">
        <f t="shared" si="95"/>
        <v>-2915.628377657823</v>
      </c>
      <c r="BA98" s="25">
        <f t="shared" si="96"/>
        <v>2610.3303273595156</v>
      </c>
      <c r="BB98" s="25">
        <f t="shared" si="97"/>
        <v>6398.3406014590555</v>
      </c>
      <c r="BC98" s="25">
        <f t="shared" si="98"/>
        <v>8418.5620062067283</v>
      </c>
      <c r="BD98" s="25">
        <f t="shared" si="99"/>
        <v>8691.9280512565692</v>
      </c>
      <c r="BE98" s="25">
        <f t="shared" si="100"/>
        <v>7294.7646871011721</v>
      </c>
      <c r="BF98" s="25">
        <f t="shared" si="101"/>
        <v>4347.2666256865114</v>
      </c>
      <c r="BG98" s="25">
        <f t="shared" si="102"/>
        <v>0</v>
      </c>
      <c r="BI98" s="25"/>
      <c r="BJ98" s="25">
        <f t="shared" si="104"/>
        <v>0</v>
      </c>
      <c r="BK98" s="25">
        <f t="shared" si="105"/>
        <v>0</v>
      </c>
      <c r="BL98" s="25">
        <f t="shared" si="106"/>
        <v>0</v>
      </c>
      <c r="BM98" s="25">
        <f t="shared" si="107"/>
        <v>2610.3303273595156</v>
      </c>
      <c r="BN98" s="25">
        <f t="shared" si="108"/>
        <v>6398.3406014590555</v>
      </c>
      <c r="BO98" s="25">
        <f t="shared" si="109"/>
        <v>8418.5620062067283</v>
      </c>
      <c r="BP98" s="25">
        <f t="shared" si="110"/>
        <v>8691.9280512565692</v>
      </c>
      <c r="BQ98" s="25">
        <f t="shared" si="111"/>
        <v>7294.7646871011721</v>
      </c>
      <c r="BR98" s="25">
        <f t="shared" si="112"/>
        <v>4347.2666256865114</v>
      </c>
      <c r="BS98" s="25">
        <f t="shared" si="113"/>
        <v>0</v>
      </c>
    </row>
    <row r="99" spans="1:71" x14ac:dyDescent="0.2">
      <c r="A99" s="29">
        <f t="shared" si="103"/>
        <v>0.91000000000000059</v>
      </c>
      <c r="B99" s="30">
        <v>3.9867511804852221E-2</v>
      </c>
      <c r="C99" s="30">
        <v>4.4675151291351439E-2</v>
      </c>
      <c r="D99" s="30">
        <v>4.8873143861827485E-2</v>
      </c>
      <c r="E99" s="30">
        <v>5.2207742997237232E-2</v>
      </c>
      <c r="F99" s="30">
        <v>5.5410485808193327E-2</v>
      </c>
      <c r="G99" s="30">
        <v>5.8843901224143555E-2</v>
      </c>
      <c r="H99" s="30">
        <v>6.255355177215699E-2</v>
      </c>
      <c r="I99" s="30">
        <v>6.6481352464703256E-2</v>
      </c>
      <c r="J99" s="30">
        <v>7.0553829404906787E-2</v>
      </c>
      <c r="K99" s="30">
        <v>7.4711308896294237E-2</v>
      </c>
      <c r="L99" s="30">
        <v>7.8910781988153433E-2</v>
      </c>
      <c r="N99" s="1"/>
      <c r="O99" s="55">
        <f t="shared" si="82"/>
        <v>0.97791006070478126</v>
      </c>
      <c r="P99" s="54">
        <f t="shared" si="83"/>
        <v>0.95230192738126096</v>
      </c>
      <c r="Q99" s="1">
        <f t="shared" si="65"/>
        <v>0.94913167090247486</v>
      </c>
      <c r="R99" s="57">
        <f t="shared" si="66"/>
        <v>0.92024464232995806</v>
      </c>
      <c r="S99" s="1">
        <f t="shared" si="67"/>
        <v>0.88897354466037537</v>
      </c>
      <c r="T99" s="60">
        <f t="shared" si="68"/>
        <v>0.855230821827349</v>
      </c>
      <c r="U99" s="58">
        <f t="shared" si="69"/>
        <v>0.81918604693327013</v>
      </c>
      <c r="V99" s="53">
        <f t="shared" si="70"/>
        <v>0.78118881100130755</v>
      </c>
      <c r="W99" s="58">
        <f t="shared" si="71"/>
        <v>0.74167418532445084</v>
      </c>
      <c r="Y99" s="24"/>
      <c r="Z99" s="24">
        <f t="shared" si="84"/>
        <v>4.8873143861827485E-2</v>
      </c>
      <c r="AA99" s="24">
        <f t="shared" si="85"/>
        <v>5.2207742997237232E-2</v>
      </c>
      <c r="AB99" s="24">
        <f t="shared" si="86"/>
        <v>5.5410485808193327E-2</v>
      </c>
      <c r="AC99" s="24">
        <f t="shared" si="87"/>
        <v>5.8843901224143555E-2</v>
      </c>
      <c r="AD99" s="24">
        <f t="shared" si="88"/>
        <v>6.255355177215699E-2</v>
      </c>
      <c r="AE99" s="24">
        <f t="shared" si="89"/>
        <v>6.6481352464703256E-2</v>
      </c>
      <c r="AF99" s="24">
        <f t="shared" si="90"/>
        <v>7.0553829404906787E-2</v>
      </c>
      <c r="AG99" s="24">
        <f t="shared" si="91"/>
        <v>7.4711308896294237E-2</v>
      </c>
      <c r="AH99" s="24">
        <f t="shared" si="92"/>
        <v>7.8910781988153433E-2</v>
      </c>
      <c r="AL99" s="23">
        <f t="shared" si="72"/>
        <v>0</v>
      </c>
      <c r="AM99" s="23">
        <f t="shared" si="73"/>
        <v>-9206.6438683783399</v>
      </c>
      <c r="AN99" s="23">
        <f t="shared" si="74"/>
        <v>-7377.7806352570551</v>
      </c>
      <c r="AO99" s="23">
        <f t="shared" si="75"/>
        <v>-5833.3073497623591</v>
      </c>
      <c r="AP99" s="23">
        <f t="shared" si="76"/>
        <v>-4075.9783027616272</v>
      </c>
      <c r="AQ99" s="23">
        <f t="shared" si="77"/>
        <v>-2288.5807140587731</v>
      </c>
      <c r="AR99" s="23">
        <f t="shared" si="78"/>
        <v>-522.12506719207272</v>
      </c>
      <c r="AS99" s="23">
        <f t="shared" si="79"/>
        <v>1167.9386911091228</v>
      </c>
      <c r="AT99" s="23">
        <f t="shared" si="80"/>
        <v>2737.6530958780513</v>
      </c>
      <c r="AU99" s="23">
        <f t="shared" si="81"/>
        <v>4156.4956503610874</v>
      </c>
      <c r="AW99" s="25"/>
      <c r="AX99" s="25">
        <f t="shared" si="93"/>
        <v>-21242.328500061965</v>
      </c>
      <c r="AY99" s="25">
        <f t="shared" si="94"/>
        <v>-12035.684631683627</v>
      </c>
      <c r="AZ99" s="25">
        <f t="shared" si="95"/>
        <v>-4657.9039964265712</v>
      </c>
      <c r="BA99" s="25">
        <f t="shared" si="96"/>
        <v>1175.4033533357897</v>
      </c>
      <c r="BB99" s="25">
        <f t="shared" si="97"/>
        <v>5251.3816560974155</v>
      </c>
      <c r="BC99" s="25">
        <f t="shared" si="98"/>
        <v>7539.9623701561886</v>
      </c>
      <c r="BD99" s="25">
        <f t="shared" si="99"/>
        <v>8062.087437348262</v>
      </c>
      <c r="BE99" s="25">
        <f t="shared" si="100"/>
        <v>6894.1487462391387</v>
      </c>
      <c r="BF99" s="25">
        <f t="shared" si="101"/>
        <v>4156.4956503610874</v>
      </c>
      <c r="BG99" s="25">
        <f t="shared" si="102"/>
        <v>0</v>
      </c>
      <c r="BI99" s="25"/>
      <c r="BJ99" s="25">
        <f t="shared" si="104"/>
        <v>0</v>
      </c>
      <c r="BK99" s="25">
        <f t="shared" si="105"/>
        <v>0</v>
      </c>
      <c r="BL99" s="25">
        <f t="shared" si="106"/>
        <v>0</v>
      </c>
      <c r="BM99" s="25">
        <f t="shared" si="107"/>
        <v>1175.4033533357897</v>
      </c>
      <c r="BN99" s="25">
        <f t="shared" si="108"/>
        <v>5251.3816560974155</v>
      </c>
      <c r="BO99" s="25">
        <f t="shared" si="109"/>
        <v>7539.9623701561886</v>
      </c>
      <c r="BP99" s="25">
        <f t="shared" si="110"/>
        <v>8062.087437348262</v>
      </c>
      <c r="BQ99" s="25">
        <f t="shared" si="111"/>
        <v>6894.1487462391387</v>
      </c>
      <c r="BR99" s="25">
        <f t="shared" si="112"/>
        <v>4156.4956503610874</v>
      </c>
      <c r="BS99" s="25">
        <f t="shared" si="113"/>
        <v>0</v>
      </c>
    </row>
    <row r="100" spans="1:71" x14ac:dyDescent="0.2">
      <c r="A100" s="29">
        <f t="shared" si="103"/>
        <v>0.9200000000000006</v>
      </c>
      <c r="B100" s="30">
        <v>3.9572303627834343E-2</v>
      </c>
      <c r="C100" s="30">
        <v>4.4320725004859174E-2</v>
      </c>
      <c r="D100" s="30">
        <v>4.8457288816068658E-2</v>
      </c>
      <c r="E100" s="30">
        <v>5.1747885214962583E-2</v>
      </c>
      <c r="F100" s="30">
        <v>5.491659932041746E-2</v>
      </c>
      <c r="G100" s="30">
        <v>5.8319546579531707E-2</v>
      </c>
      <c r="H100" s="30">
        <v>6.2000140540245656E-2</v>
      </c>
      <c r="I100" s="30">
        <v>6.5899910937139733E-2</v>
      </c>
      <c r="J100" s="30">
        <v>6.994558126469777E-2</v>
      </c>
      <c r="K100" s="30">
        <v>7.4077731710169736E-2</v>
      </c>
      <c r="L100" s="30">
        <v>7.825349820552506E-2</v>
      </c>
      <c r="N100" s="1"/>
      <c r="O100" s="55">
        <f t="shared" si="82"/>
        <v>0.97808337457674521</v>
      </c>
      <c r="P100" s="54">
        <f t="shared" si="83"/>
        <v>0.95269802929763026</v>
      </c>
      <c r="Q100" s="1">
        <f t="shared" si="65"/>
        <v>0.94956823685917569</v>
      </c>
      <c r="R100" s="57">
        <f t="shared" si="66"/>
        <v>0.92092663951210352</v>
      </c>
      <c r="S100" s="1">
        <f t="shared" si="67"/>
        <v>0.88990630848809305</v>
      </c>
      <c r="T100" s="60">
        <f t="shared" si="68"/>
        <v>0.85641487658166782</v>
      </c>
      <c r="U100" s="58">
        <f t="shared" si="69"/>
        <v>0.82061622027336167</v>
      </c>
      <c r="V100" s="53">
        <f t="shared" si="70"/>
        <v>0.78285363070871106</v>
      </c>
      <c r="W100" s="58">
        <f t="shared" si="71"/>
        <v>0.74355620049433346</v>
      </c>
      <c r="Y100" s="24"/>
      <c r="Z100" s="24">
        <f t="shared" si="84"/>
        <v>4.8457288816068658E-2</v>
      </c>
      <c r="AA100" s="24">
        <f t="shared" si="85"/>
        <v>5.1747885214962576E-2</v>
      </c>
      <c r="AB100" s="24">
        <f t="shared" si="86"/>
        <v>5.491659932041746E-2</v>
      </c>
      <c r="AC100" s="24">
        <f t="shared" si="87"/>
        <v>5.8319546579531714E-2</v>
      </c>
      <c r="AD100" s="24">
        <f t="shared" si="88"/>
        <v>6.2000140540245656E-2</v>
      </c>
      <c r="AE100" s="24">
        <f t="shared" si="89"/>
        <v>6.5899910937139733E-2</v>
      </c>
      <c r="AF100" s="24">
        <f t="shared" si="90"/>
        <v>6.994558126469777E-2</v>
      </c>
      <c r="AG100" s="24">
        <f t="shared" si="91"/>
        <v>7.4077731710169736E-2</v>
      </c>
      <c r="AH100" s="24">
        <f t="shared" si="92"/>
        <v>7.825349820552506E-2</v>
      </c>
      <c r="AL100" s="23">
        <f t="shared" si="72"/>
        <v>0</v>
      </c>
      <c r="AM100" s="23">
        <f t="shared" si="73"/>
        <v>-9411.6460044958385</v>
      </c>
      <c r="AN100" s="23">
        <f t="shared" si="74"/>
        <v>-7599.9021620540825</v>
      </c>
      <c r="AO100" s="23">
        <f t="shared" si="75"/>
        <v>-6070.4799191234124</v>
      </c>
      <c r="AP100" s="23">
        <f t="shared" si="76"/>
        <v>-4320.4451078445809</v>
      </c>
      <c r="AQ100" s="23">
        <f t="shared" si="77"/>
        <v>-2537.2241020662527</v>
      </c>
      <c r="AR100" s="23">
        <f t="shared" si="78"/>
        <v>-771.8255288609447</v>
      </c>
      <c r="AS100" s="23">
        <f t="shared" si="79"/>
        <v>920.40858823434439</v>
      </c>
      <c r="AT100" s="23">
        <f t="shared" si="80"/>
        <v>2495.488307083976</v>
      </c>
      <c r="AU100" s="23">
        <f t="shared" si="81"/>
        <v>3922.679136894114</v>
      </c>
      <c r="AW100" s="25"/>
      <c r="AX100" s="25">
        <f t="shared" si="93"/>
        <v>-23372.946792232673</v>
      </c>
      <c r="AY100" s="25">
        <f t="shared" si="94"/>
        <v>-13961.300787736835</v>
      </c>
      <c r="AZ100" s="25">
        <f t="shared" si="95"/>
        <v>-6361.3986256827575</v>
      </c>
      <c r="BA100" s="25">
        <f t="shared" si="96"/>
        <v>-290.91870655934326</v>
      </c>
      <c r="BB100" s="25">
        <f t="shared" si="97"/>
        <v>4029.5264012852367</v>
      </c>
      <c r="BC100" s="25">
        <f t="shared" si="98"/>
        <v>6566.7505033514899</v>
      </c>
      <c r="BD100" s="25">
        <f t="shared" si="99"/>
        <v>7338.5760322124343</v>
      </c>
      <c r="BE100" s="25">
        <f t="shared" si="100"/>
        <v>6418.16744397809</v>
      </c>
      <c r="BF100" s="25">
        <f t="shared" si="101"/>
        <v>3922.679136894114</v>
      </c>
      <c r="BG100" s="25">
        <f t="shared" si="102"/>
        <v>0</v>
      </c>
      <c r="BI100" s="25"/>
      <c r="BJ100" s="25">
        <f t="shared" si="104"/>
        <v>0</v>
      </c>
      <c r="BK100" s="25">
        <f t="shared" si="105"/>
        <v>0</v>
      </c>
      <c r="BL100" s="25">
        <f t="shared" si="106"/>
        <v>0</v>
      </c>
      <c r="BM100" s="25">
        <f t="shared" si="107"/>
        <v>0</v>
      </c>
      <c r="BN100" s="25">
        <f t="shared" si="108"/>
        <v>4029.5264012852367</v>
      </c>
      <c r="BO100" s="25">
        <f t="shared" si="109"/>
        <v>6566.7505033514899</v>
      </c>
      <c r="BP100" s="25">
        <f t="shared" si="110"/>
        <v>7338.5760322124343</v>
      </c>
      <c r="BQ100" s="25">
        <f t="shared" si="111"/>
        <v>6418.16744397809</v>
      </c>
      <c r="BR100" s="25">
        <f t="shared" si="112"/>
        <v>3922.679136894114</v>
      </c>
      <c r="BS100" s="25">
        <f t="shared" si="113"/>
        <v>0</v>
      </c>
    </row>
    <row r="101" spans="1:71" x14ac:dyDescent="0.2">
      <c r="A101" s="29">
        <f t="shared" si="103"/>
        <v>0.9300000000000006</v>
      </c>
      <c r="B101" s="30">
        <v>3.9841432282360693E-2</v>
      </c>
      <c r="C101" s="30">
        <v>4.4583936394645321E-2</v>
      </c>
      <c r="D101" s="30">
        <v>4.8714720240763794E-2</v>
      </c>
      <c r="E101" s="30">
        <v>5.2018567532576131E-2</v>
      </c>
      <c r="F101" s="30">
        <v>5.5211930826513329E-2</v>
      </c>
      <c r="G101" s="30">
        <v>5.8644396036491755E-2</v>
      </c>
      <c r="H101" s="30">
        <v>6.235706166445066E-2</v>
      </c>
      <c r="I101" s="30">
        <v>6.6290882479569158E-2</v>
      </c>
      <c r="J101" s="30">
        <v>7.0372579156640649E-2</v>
      </c>
      <c r="K101" s="30">
        <v>7.4542782245720446E-2</v>
      </c>
      <c r="L101" s="30">
        <v>7.875856946717949E-2</v>
      </c>
      <c r="N101" s="1"/>
      <c r="O101" s="55">
        <f t="shared" si="82"/>
        <v>0.97795466170442991</v>
      </c>
      <c r="P101" s="54">
        <f t="shared" si="83"/>
        <v>0.95245280645203134</v>
      </c>
      <c r="Q101" s="1">
        <f t="shared" si="65"/>
        <v>0.94931124031187009</v>
      </c>
      <c r="R101" s="57">
        <f t="shared" si="66"/>
        <v>0.92051876188593273</v>
      </c>
      <c r="S101" s="1">
        <f t="shared" si="67"/>
        <v>0.88932832510389714</v>
      </c>
      <c r="T101" s="60">
        <f t="shared" si="68"/>
        <v>0.8556510360195505</v>
      </c>
      <c r="U101" s="58">
        <f t="shared" si="69"/>
        <v>0.81965427175723737</v>
      </c>
      <c r="V101" s="53">
        <f t="shared" si="70"/>
        <v>0.78168453555330808</v>
      </c>
      <c r="W101" s="58">
        <f t="shared" si="71"/>
        <v>0.7421743213430867</v>
      </c>
      <c r="Y101" s="24"/>
      <c r="Z101" s="24">
        <f t="shared" si="84"/>
        <v>4.8714720240763794E-2</v>
      </c>
      <c r="AA101" s="24">
        <f t="shared" si="85"/>
        <v>5.2018567532576131E-2</v>
      </c>
      <c r="AB101" s="24">
        <f t="shared" si="86"/>
        <v>5.5211930826513329E-2</v>
      </c>
      <c r="AC101" s="24">
        <f t="shared" si="87"/>
        <v>5.8644396036491755E-2</v>
      </c>
      <c r="AD101" s="24">
        <f t="shared" si="88"/>
        <v>6.235706166445066E-2</v>
      </c>
      <c r="AE101" s="24">
        <f t="shared" si="89"/>
        <v>6.6290882479569158E-2</v>
      </c>
      <c r="AF101" s="24">
        <f t="shared" si="90"/>
        <v>7.0372579156640649E-2</v>
      </c>
      <c r="AG101" s="24">
        <f t="shared" si="91"/>
        <v>7.4542782245720446E-2</v>
      </c>
      <c r="AH101" s="24">
        <f t="shared" si="92"/>
        <v>7.875856946717949E-2</v>
      </c>
      <c r="AL101" s="23">
        <f t="shared" si="72"/>
        <v>0</v>
      </c>
      <c r="AM101" s="23">
        <f t="shared" si="73"/>
        <v>-9284.5293288599751</v>
      </c>
      <c r="AN101" s="23">
        <f t="shared" si="74"/>
        <v>-7469.0398936836909</v>
      </c>
      <c r="AO101" s="23">
        <f t="shared" si="75"/>
        <v>-5928.6562107410373</v>
      </c>
      <c r="AP101" s="23">
        <f t="shared" si="76"/>
        <v>-4169.0165764171124</v>
      </c>
      <c r="AQ101" s="23">
        <f t="shared" si="77"/>
        <v>-2376.8661729072564</v>
      </c>
      <c r="AR101" s="23">
        <f t="shared" si="78"/>
        <v>-603.86953127940103</v>
      </c>
      <c r="AS101" s="23">
        <f t="shared" si="79"/>
        <v>1094.3249834880885</v>
      </c>
      <c r="AT101" s="23">
        <f t="shared" si="80"/>
        <v>2673.5230096256432</v>
      </c>
      <c r="AU101" s="23">
        <f t="shared" si="81"/>
        <v>4102.8144039035487</v>
      </c>
      <c r="AW101" s="25"/>
      <c r="AX101" s="25">
        <f t="shared" si="93"/>
        <v>-21961.315316871187</v>
      </c>
      <c r="AY101" s="25">
        <f t="shared" si="94"/>
        <v>-12676.785988011217</v>
      </c>
      <c r="AZ101" s="25">
        <f t="shared" si="95"/>
        <v>-5207.7460943275255</v>
      </c>
      <c r="BA101" s="25">
        <f t="shared" si="96"/>
        <v>720.91011641351133</v>
      </c>
      <c r="BB101" s="25">
        <f t="shared" si="97"/>
        <v>4889.9266928306224</v>
      </c>
      <c r="BC101" s="25">
        <f t="shared" si="98"/>
        <v>7266.7928657378798</v>
      </c>
      <c r="BD101" s="25">
        <f t="shared" si="99"/>
        <v>7870.6623970172805</v>
      </c>
      <c r="BE101" s="25">
        <f t="shared" si="100"/>
        <v>6776.3374135291924</v>
      </c>
      <c r="BF101" s="25">
        <f t="shared" si="101"/>
        <v>4102.8144039035487</v>
      </c>
      <c r="BG101" s="25">
        <f t="shared" si="102"/>
        <v>0</v>
      </c>
      <c r="BI101" s="25"/>
      <c r="BJ101" s="25">
        <f t="shared" si="104"/>
        <v>0</v>
      </c>
      <c r="BK101" s="25">
        <f t="shared" si="105"/>
        <v>0</v>
      </c>
      <c r="BL101" s="25">
        <f t="shared" si="106"/>
        <v>0</v>
      </c>
      <c r="BM101" s="25">
        <f t="shared" si="107"/>
        <v>720.91011641351133</v>
      </c>
      <c r="BN101" s="25">
        <f t="shared" si="108"/>
        <v>4889.9266928306224</v>
      </c>
      <c r="BO101" s="25">
        <f t="shared" si="109"/>
        <v>7266.7928657378798</v>
      </c>
      <c r="BP101" s="25">
        <f t="shared" si="110"/>
        <v>7870.6623970172805</v>
      </c>
      <c r="BQ101" s="25">
        <f t="shared" si="111"/>
        <v>6776.3374135291924</v>
      </c>
      <c r="BR101" s="25">
        <f t="shared" si="112"/>
        <v>4102.8144039035487</v>
      </c>
      <c r="BS101" s="25">
        <f t="shared" si="113"/>
        <v>0</v>
      </c>
    </row>
    <row r="102" spans="1:71" x14ac:dyDescent="0.2">
      <c r="A102" s="29">
        <f t="shared" si="103"/>
        <v>0.94000000000000061</v>
      </c>
      <c r="B102" s="30">
        <v>3.9579459578860311E-2</v>
      </c>
      <c r="C102" s="30">
        <v>4.4236043140917822E-2</v>
      </c>
      <c r="D102" s="30">
        <v>4.828483128195446E-2</v>
      </c>
      <c r="E102" s="30">
        <v>5.1528919853442878E-2</v>
      </c>
      <c r="F102" s="30">
        <v>5.4677100013622387E-2</v>
      </c>
      <c r="G102" s="30">
        <v>5.8072461536639461E-2</v>
      </c>
      <c r="H102" s="30">
        <v>6.1753771783712809E-2</v>
      </c>
      <c r="I102" s="30">
        <v>6.5661371105203009E-2</v>
      </c>
      <c r="J102" s="30">
        <v>6.9721927523531457E-2</v>
      </c>
      <c r="K102" s="30">
        <v>7.3876068883739307E-2</v>
      </c>
      <c r="L102" s="30">
        <v>7.808076205646769E-2</v>
      </c>
      <c r="N102" s="1"/>
      <c r="O102" s="55">
        <f t="shared" si="82"/>
        <v>0.97812478841511385</v>
      </c>
      <c r="P102" s="54">
        <f t="shared" si="83"/>
        <v>0.95286234341871512</v>
      </c>
      <c r="Q102" s="1">
        <f t="shared" si="65"/>
        <v>0.9497761821770272</v>
      </c>
      <c r="R102" s="57">
        <f t="shared" si="66"/>
        <v>0.92125754088418998</v>
      </c>
      <c r="S102" s="1">
        <f t="shared" si="67"/>
        <v>0.89034618224217266</v>
      </c>
      <c r="T102" s="60">
        <f t="shared" si="68"/>
        <v>0.85694252373025115</v>
      </c>
      <c r="U102" s="58">
        <f t="shared" si="69"/>
        <v>0.82120367941270356</v>
      </c>
      <c r="V102" s="53">
        <f t="shared" si="70"/>
        <v>0.78346667912243428</v>
      </c>
      <c r="W102" s="58">
        <f t="shared" si="71"/>
        <v>0.74415623305032597</v>
      </c>
      <c r="Y102" s="24"/>
      <c r="Z102" s="24">
        <f t="shared" si="84"/>
        <v>4.828483128195446E-2</v>
      </c>
      <c r="AA102" s="24">
        <f t="shared" si="85"/>
        <v>5.1528919853442878E-2</v>
      </c>
      <c r="AB102" s="24">
        <f t="shared" si="86"/>
        <v>5.4677100013622387E-2</v>
      </c>
      <c r="AC102" s="24">
        <f t="shared" si="87"/>
        <v>5.8072461536639461E-2</v>
      </c>
      <c r="AD102" s="24">
        <f t="shared" si="88"/>
        <v>6.1753771783712809E-2</v>
      </c>
      <c r="AE102" s="24">
        <f t="shared" si="89"/>
        <v>6.5661371105203009E-2</v>
      </c>
      <c r="AF102" s="24">
        <f t="shared" si="90"/>
        <v>6.9721927523531457E-2</v>
      </c>
      <c r="AG102" s="24">
        <f t="shared" si="91"/>
        <v>7.3876068883739307E-2</v>
      </c>
      <c r="AH102" s="24">
        <f t="shared" si="92"/>
        <v>7.808076205646769E-2</v>
      </c>
      <c r="AL102" s="23">
        <f t="shared" si="72"/>
        <v>0</v>
      </c>
      <c r="AM102" s="23">
        <f t="shared" si="73"/>
        <v>-9496.3870053285718</v>
      </c>
      <c r="AN102" s="23">
        <f t="shared" si="74"/>
        <v>-7705.5348592161781</v>
      </c>
      <c r="AO102" s="23">
        <f t="shared" si="75"/>
        <v>-6185.544658112156</v>
      </c>
      <c r="AP102" s="23">
        <f t="shared" si="76"/>
        <v>-4435.8119815905466</v>
      </c>
      <c r="AQ102" s="23">
        <f t="shared" si="77"/>
        <v>-2648.1549730710799</v>
      </c>
      <c r="AR102" s="23">
        <f t="shared" si="78"/>
        <v>-874.50852232532372</v>
      </c>
      <c r="AS102" s="23">
        <f t="shared" si="79"/>
        <v>829.23484871612993</v>
      </c>
      <c r="AT102" s="23">
        <f t="shared" si="80"/>
        <v>2418.4444579204865</v>
      </c>
      <c r="AU102" s="23">
        <f t="shared" si="81"/>
        <v>3861.5733067048081</v>
      </c>
      <c r="AW102" s="25"/>
      <c r="AX102" s="25">
        <f t="shared" si="93"/>
        <v>-24236.689386302427</v>
      </c>
      <c r="AY102" s="25">
        <f t="shared" si="94"/>
        <v>-14740.302380973857</v>
      </c>
      <c r="AZ102" s="25">
        <f t="shared" si="95"/>
        <v>-7034.7675217576816</v>
      </c>
      <c r="BA102" s="25">
        <f t="shared" si="96"/>
        <v>-849.22286364552519</v>
      </c>
      <c r="BB102" s="25">
        <f t="shared" si="97"/>
        <v>3586.5891179450209</v>
      </c>
      <c r="BC102" s="25">
        <f t="shared" si="98"/>
        <v>6234.7440910161004</v>
      </c>
      <c r="BD102" s="25">
        <f t="shared" si="99"/>
        <v>7109.2526133414249</v>
      </c>
      <c r="BE102" s="25">
        <f t="shared" si="100"/>
        <v>6280.0177646252941</v>
      </c>
      <c r="BF102" s="25">
        <f t="shared" si="101"/>
        <v>3861.5733067048081</v>
      </c>
      <c r="BG102" s="25">
        <f t="shared" si="102"/>
        <v>0</v>
      </c>
      <c r="BI102" s="25"/>
      <c r="BJ102" s="25">
        <f t="shared" si="104"/>
        <v>0</v>
      </c>
      <c r="BK102" s="25">
        <f t="shared" si="105"/>
        <v>0</v>
      </c>
      <c r="BL102" s="25">
        <f t="shared" si="106"/>
        <v>0</v>
      </c>
      <c r="BM102" s="25">
        <f t="shared" si="107"/>
        <v>0</v>
      </c>
      <c r="BN102" s="25">
        <f t="shared" si="108"/>
        <v>3586.5891179450209</v>
      </c>
      <c r="BO102" s="25">
        <f t="shared" si="109"/>
        <v>6234.7440910161004</v>
      </c>
      <c r="BP102" s="25">
        <f t="shared" si="110"/>
        <v>7109.2526133414249</v>
      </c>
      <c r="BQ102" s="25">
        <f t="shared" si="111"/>
        <v>6280.0177646252941</v>
      </c>
      <c r="BR102" s="25">
        <f t="shared" si="112"/>
        <v>3861.5733067048081</v>
      </c>
      <c r="BS102" s="25">
        <f t="shared" si="113"/>
        <v>0</v>
      </c>
    </row>
    <row r="103" spans="1:71" x14ac:dyDescent="0.2">
      <c r="A103" s="29">
        <f t="shared" si="103"/>
        <v>0.95000000000000062</v>
      </c>
      <c r="B103" s="30">
        <v>4.052493491025734E-2</v>
      </c>
      <c r="C103" s="30">
        <v>4.5199306460932662E-2</v>
      </c>
      <c r="D103" s="30">
        <v>4.9253292983187105E-2</v>
      </c>
      <c r="E103" s="30">
        <v>5.2508542413779634E-2</v>
      </c>
      <c r="F103" s="30">
        <v>5.5666967234356074E-2</v>
      </c>
      <c r="G103" s="30">
        <v>5.9066003795703745E-2</v>
      </c>
      <c r="H103" s="30">
        <v>6.2742882069188613E-2</v>
      </c>
      <c r="I103" s="30">
        <v>6.6638098638111432E-2</v>
      </c>
      <c r="J103" s="30">
        <v>7.0679029287898501E-2</v>
      </c>
      <c r="K103" s="30">
        <v>7.4807056412112258E-2</v>
      </c>
      <c r="L103" s="30">
        <v>7.8979793717854671E-2</v>
      </c>
      <c r="N103" s="1"/>
      <c r="O103" s="55">
        <f t="shared" si="82"/>
        <v>0.97765380597870588</v>
      </c>
      <c r="P103" s="54">
        <f t="shared" si="83"/>
        <v>0.95193997944175235</v>
      </c>
      <c r="Q103" s="1">
        <f t="shared" si="65"/>
        <v>0.94884621558419446</v>
      </c>
      <c r="R103" s="57">
        <f t="shared" si="66"/>
        <v>0.91989067193702234</v>
      </c>
      <c r="S103" s="1">
        <f t="shared" si="67"/>
        <v>0.88857874573208817</v>
      </c>
      <c r="T103" s="60">
        <f t="shared" si="68"/>
        <v>0.8548261148502021</v>
      </c>
      <c r="U103" s="58">
        <f t="shared" si="69"/>
        <v>0.81880092465553334</v>
      </c>
      <c r="V103" s="53">
        <f t="shared" si="70"/>
        <v>0.78084656937479291</v>
      </c>
      <c r="W103" s="58">
        <f t="shared" si="71"/>
        <v>0.74139018586924221</v>
      </c>
      <c r="Y103" s="24"/>
      <c r="Z103" s="24">
        <f t="shared" si="84"/>
        <v>4.9253292983187105E-2</v>
      </c>
      <c r="AA103" s="24">
        <f t="shared" si="85"/>
        <v>5.2508542413779634E-2</v>
      </c>
      <c r="AB103" s="24">
        <f t="shared" si="86"/>
        <v>5.5666967234356074E-2</v>
      </c>
      <c r="AC103" s="24">
        <f t="shared" si="87"/>
        <v>5.9066003795703745E-2</v>
      </c>
      <c r="AD103" s="24">
        <f t="shared" si="88"/>
        <v>6.2742882069188613E-2</v>
      </c>
      <c r="AE103" s="24">
        <f t="shared" si="89"/>
        <v>6.6638098638111432E-2</v>
      </c>
      <c r="AF103" s="24">
        <f t="shared" si="90"/>
        <v>7.0679029287898501E-2</v>
      </c>
      <c r="AG103" s="24">
        <f t="shared" si="91"/>
        <v>7.4807056412112258E-2</v>
      </c>
      <c r="AH103" s="24">
        <f t="shared" si="92"/>
        <v>7.8979793717854671E-2</v>
      </c>
      <c r="AL103" s="23">
        <f t="shared" si="72"/>
        <v>0</v>
      </c>
      <c r="AM103" s="23">
        <f t="shared" si="73"/>
        <v>-9018.4042118709258</v>
      </c>
      <c r="AN103" s="23">
        <f t="shared" si="74"/>
        <v>-7231.8050162576137</v>
      </c>
      <c r="AO103" s="23">
        <f t="shared" si="75"/>
        <v>-5709.8722428971678</v>
      </c>
      <c r="AP103" s="23">
        <f t="shared" si="76"/>
        <v>-3972.2554433801411</v>
      </c>
      <c r="AQ103" s="23">
        <f t="shared" si="77"/>
        <v>-2203.4469015583159</v>
      </c>
      <c r="AR103" s="23">
        <f t="shared" si="78"/>
        <v>-454.88262921935882</v>
      </c>
      <c r="AS103" s="23">
        <f t="shared" si="79"/>
        <v>1218.6465004370473</v>
      </c>
      <c r="AT103" s="23">
        <f t="shared" si="80"/>
        <v>2773.8357798410702</v>
      </c>
      <c r="AU103" s="23">
        <f t="shared" si="81"/>
        <v>4180.4863681855077</v>
      </c>
      <c r="AW103" s="25"/>
      <c r="AX103" s="25">
        <f t="shared" si="93"/>
        <v>-20417.697796719898</v>
      </c>
      <c r="AY103" s="25">
        <f t="shared" si="94"/>
        <v>-11399.293584848972</v>
      </c>
      <c r="AZ103" s="25">
        <f t="shared" si="95"/>
        <v>-4167.4885685913578</v>
      </c>
      <c r="BA103" s="25">
        <f t="shared" si="96"/>
        <v>1542.3836743058096</v>
      </c>
      <c r="BB103" s="25">
        <f t="shared" si="97"/>
        <v>5514.6391176859506</v>
      </c>
      <c r="BC103" s="25">
        <f t="shared" si="98"/>
        <v>7718.0860192442669</v>
      </c>
      <c r="BD103" s="25">
        <f t="shared" si="99"/>
        <v>8172.968648463625</v>
      </c>
      <c r="BE103" s="25">
        <f t="shared" si="100"/>
        <v>6954.3221480265784</v>
      </c>
      <c r="BF103" s="25">
        <f t="shared" si="101"/>
        <v>4180.4863681855077</v>
      </c>
      <c r="BG103" s="25">
        <f t="shared" si="102"/>
        <v>0</v>
      </c>
      <c r="BI103" s="25"/>
      <c r="BJ103" s="25">
        <f t="shared" si="104"/>
        <v>0</v>
      </c>
      <c r="BK103" s="25">
        <f t="shared" si="105"/>
        <v>0</v>
      </c>
      <c r="BL103" s="25">
        <f t="shared" si="106"/>
        <v>0</v>
      </c>
      <c r="BM103" s="25">
        <f t="shared" si="107"/>
        <v>1542.3836743058096</v>
      </c>
      <c r="BN103" s="25">
        <f t="shared" si="108"/>
        <v>5514.6391176859506</v>
      </c>
      <c r="BO103" s="25">
        <f t="shared" si="109"/>
        <v>7718.0860192442669</v>
      </c>
      <c r="BP103" s="25">
        <f t="shared" si="110"/>
        <v>8172.968648463625</v>
      </c>
      <c r="BQ103" s="25">
        <f t="shared" si="111"/>
        <v>6954.3221480265784</v>
      </c>
      <c r="BR103" s="25">
        <f t="shared" si="112"/>
        <v>4180.4863681855077</v>
      </c>
      <c r="BS103" s="25">
        <f t="shared" si="113"/>
        <v>0</v>
      </c>
    </row>
    <row r="104" spans="1:71" x14ac:dyDescent="0.2">
      <c r="A104" s="29">
        <f t="shared" si="103"/>
        <v>0.96000000000000063</v>
      </c>
      <c r="B104" s="30">
        <v>4.1165824808879307E-2</v>
      </c>
      <c r="C104" s="30">
        <v>4.5864662817148294E-2</v>
      </c>
      <c r="D104" s="30">
        <v>4.9932696210350534E-2</v>
      </c>
      <c r="E104" s="30">
        <v>5.3209504278412631E-2</v>
      </c>
      <c r="F104" s="30">
        <v>5.6390033214570527E-2</v>
      </c>
      <c r="G104" s="30">
        <v>5.9806036150041424E-2</v>
      </c>
      <c r="H104" s="30">
        <v>6.3493127421913348E-2</v>
      </c>
      <c r="I104" s="30">
        <v>6.7391858760147402E-2</v>
      </c>
      <c r="J104" s="30">
        <v>7.143020253200405E-2</v>
      </c>
      <c r="K104" s="30">
        <v>7.5550181408444744E-2</v>
      </c>
      <c r="L104" s="30">
        <v>7.9709942097449277E-2</v>
      </c>
      <c r="N104" s="1"/>
      <c r="O104" s="55">
        <f t="shared" si="82"/>
        <v>0.97732861598651899</v>
      </c>
      <c r="P104" s="54">
        <f t="shared" si="83"/>
        <v>0.95129344800029692</v>
      </c>
      <c r="Q104" s="1">
        <f t="shared" si="65"/>
        <v>0.94818134362383666</v>
      </c>
      <c r="R104" s="57">
        <f t="shared" si="66"/>
        <v>0.91889350032483508</v>
      </c>
      <c r="S104" s="1">
        <f t="shared" si="67"/>
        <v>0.88726456446621016</v>
      </c>
      <c r="T104" s="60">
        <f t="shared" si="68"/>
        <v>0.85322429421776402</v>
      </c>
      <c r="U104" s="58">
        <f t="shared" si="69"/>
        <v>0.81695147804758839</v>
      </c>
      <c r="V104" s="53">
        <f t="shared" si="70"/>
        <v>0.77879633701788875</v>
      </c>
      <c r="W104" s="58">
        <f t="shared" si="71"/>
        <v>0.73918967568113714</v>
      </c>
      <c r="Y104" s="24"/>
      <c r="Z104" s="24">
        <f t="shared" si="84"/>
        <v>4.9932696210350534E-2</v>
      </c>
      <c r="AA104" s="24">
        <f t="shared" si="85"/>
        <v>5.3209504278412624E-2</v>
      </c>
      <c r="AB104" s="24">
        <f t="shared" si="86"/>
        <v>5.6390033214570527E-2</v>
      </c>
      <c r="AC104" s="24">
        <f t="shared" si="87"/>
        <v>5.9806036150041417E-2</v>
      </c>
      <c r="AD104" s="24">
        <f t="shared" si="88"/>
        <v>6.3493127421913348E-2</v>
      </c>
      <c r="AE104" s="24">
        <f t="shared" si="89"/>
        <v>6.7391858760147402E-2</v>
      </c>
      <c r="AF104" s="24">
        <f t="shared" si="90"/>
        <v>7.143020253200405E-2</v>
      </c>
      <c r="AG104" s="24">
        <f t="shared" si="91"/>
        <v>7.5550181408444744E-2</v>
      </c>
      <c r="AH104" s="24">
        <f t="shared" si="92"/>
        <v>7.9709942097449277E-2</v>
      </c>
      <c r="AL104" s="23">
        <f t="shared" si="72"/>
        <v>0</v>
      </c>
      <c r="AM104" s="23">
        <f t="shared" si="73"/>
        <v>-8683.4043767376461</v>
      </c>
      <c r="AN104" s="23">
        <f t="shared" si="74"/>
        <v>-6893.4831587116114</v>
      </c>
      <c r="AO104" s="23">
        <f t="shared" si="75"/>
        <v>-5363.07240631688</v>
      </c>
      <c r="AP104" s="23">
        <f t="shared" si="76"/>
        <v>-3627.9440145475864</v>
      </c>
      <c r="AQ104" s="23">
        <f t="shared" si="77"/>
        <v>-1867.3550117336617</v>
      </c>
      <c r="AR104" s="23">
        <f t="shared" si="78"/>
        <v>-132.4670208276313</v>
      </c>
      <c r="AS104" s="23">
        <f t="shared" si="79"/>
        <v>1522.7299584128702</v>
      </c>
      <c r="AT104" s="23">
        <f t="shared" si="80"/>
        <v>3055.9241613696213</v>
      </c>
      <c r="AU104" s="23">
        <f t="shared" si="81"/>
        <v>4437.9373950663321</v>
      </c>
      <c r="AW104" s="25"/>
      <c r="AX104" s="25">
        <f t="shared" si="93"/>
        <v>-17551.134474026192</v>
      </c>
      <c r="AY104" s="25">
        <f t="shared" si="94"/>
        <v>-8867.7300972885496</v>
      </c>
      <c r="AZ104" s="25">
        <f t="shared" si="95"/>
        <v>-1974.2469385769364</v>
      </c>
      <c r="BA104" s="25">
        <f t="shared" si="96"/>
        <v>3388.8254677399445</v>
      </c>
      <c r="BB104" s="25">
        <f t="shared" si="97"/>
        <v>7016.769482287531</v>
      </c>
      <c r="BC104" s="25">
        <f t="shared" si="98"/>
        <v>8884.1244940211927</v>
      </c>
      <c r="BD104" s="25">
        <f t="shared" si="99"/>
        <v>9016.5915148488239</v>
      </c>
      <c r="BE104" s="25">
        <f t="shared" si="100"/>
        <v>7493.8615564359534</v>
      </c>
      <c r="BF104" s="25">
        <f t="shared" si="101"/>
        <v>4437.9373950663321</v>
      </c>
      <c r="BG104" s="25">
        <f t="shared" si="102"/>
        <v>0</v>
      </c>
      <c r="BI104" s="25"/>
      <c r="BJ104" s="25">
        <f t="shared" si="104"/>
        <v>0</v>
      </c>
      <c r="BK104" s="25">
        <f t="shared" si="105"/>
        <v>0</v>
      </c>
      <c r="BL104" s="25">
        <f t="shared" si="106"/>
        <v>0</v>
      </c>
      <c r="BM104" s="25">
        <f t="shared" si="107"/>
        <v>3388.8254677399445</v>
      </c>
      <c r="BN104" s="25">
        <f t="shared" si="108"/>
        <v>7016.769482287531</v>
      </c>
      <c r="BO104" s="25">
        <f t="shared" si="109"/>
        <v>8884.1244940211927</v>
      </c>
      <c r="BP104" s="25">
        <f t="shared" si="110"/>
        <v>9016.5915148488239</v>
      </c>
      <c r="BQ104" s="25">
        <f t="shared" si="111"/>
        <v>7493.8615564359534</v>
      </c>
      <c r="BR104" s="25">
        <f t="shared" si="112"/>
        <v>4437.9373950663321</v>
      </c>
      <c r="BS104" s="25">
        <f t="shared" si="113"/>
        <v>0</v>
      </c>
    </row>
    <row r="105" spans="1:71" x14ac:dyDescent="0.2">
      <c r="A105" s="29">
        <f t="shared" si="103"/>
        <v>0.97000000000000064</v>
      </c>
      <c r="B105" s="30">
        <v>4.2594559658119258E-2</v>
      </c>
      <c r="C105" s="30">
        <v>4.7340497574653799E-2</v>
      </c>
      <c r="D105" s="30">
        <v>5.1444073927743528E-2</v>
      </c>
      <c r="E105" s="30">
        <v>5.4762345010994966E-2</v>
      </c>
      <c r="F105" s="30">
        <v>5.7983359993954792E-2</v>
      </c>
      <c r="G105" s="30">
        <v>6.1433313743319763E-2</v>
      </c>
      <c r="H105" s="30">
        <v>6.5146281980862544E-2</v>
      </c>
      <c r="I105" s="30">
        <v>6.9062926015251894E-2</v>
      </c>
      <c r="J105" s="30">
        <v>7.3111859272837559E-2</v>
      </c>
      <c r="K105" s="30">
        <v>7.7235786159793388E-2</v>
      </c>
      <c r="L105" s="30">
        <v>8.1393428281131636E-2</v>
      </c>
      <c r="N105" s="1"/>
      <c r="O105" s="55">
        <f t="shared" si="82"/>
        <v>0.97660769423908633</v>
      </c>
      <c r="P105" s="54">
        <f t="shared" si="83"/>
        <v>0.94985677023514703</v>
      </c>
      <c r="Q105" s="1">
        <f t="shared" si="65"/>
        <v>0.94671011160172203</v>
      </c>
      <c r="R105" s="57">
        <f t="shared" si="66"/>
        <v>0.9166999761873198</v>
      </c>
      <c r="S105" s="1">
        <f t="shared" si="67"/>
        <v>0.88438160689306111</v>
      </c>
      <c r="T105" s="60">
        <f t="shared" si="68"/>
        <v>0.84970529196548539</v>
      </c>
      <c r="U105" s="58">
        <f t="shared" si="69"/>
        <v>0.81286618421282564</v>
      </c>
      <c r="V105" s="53">
        <f t="shared" si="70"/>
        <v>0.77422596198092208</v>
      </c>
      <c r="W105" s="58">
        <f t="shared" si="71"/>
        <v>0.73422251332550903</v>
      </c>
      <c r="Y105" s="24"/>
      <c r="Z105" s="24">
        <f t="shared" si="84"/>
        <v>5.1444073927743528E-2</v>
      </c>
      <c r="AA105" s="24">
        <f t="shared" si="85"/>
        <v>5.4762345010994966E-2</v>
      </c>
      <c r="AB105" s="24">
        <f t="shared" si="86"/>
        <v>5.7983359993954792E-2</v>
      </c>
      <c r="AC105" s="24">
        <f t="shared" si="87"/>
        <v>6.1433313743319763E-2</v>
      </c>
      <c r="AD105" s="24">
        <f t="shared" si="88"/>
        <v>6.5146281980862544E-2</v>
      </c>
      <c r="AE105" s="24">
        <f t="shared" si="89"/>
        <v>6.9062926015251894E-2</v>
      </c>
      <c r="AF105" s="24">
        <f t="shared" si="90"/>
        <v>7.3111859272837559E-2</v>
      </c>
      <c r="AG105" s="24">
        <f t="shared" si="91"/>
        <v>7.7235786159793388E-2</v>
      </c>
      <c r="AH105" s="24">
        <f t="shared" si="92"/>
        <v>8.1393428281131636E-2</v>
      </c>
      <c r="AL105" s="23">
        <f t="shared" si="72"/>
        <v>0</v>
      </c>
      <c r="AM105" s="23">
        <f t="shared" si="73"/>
        <v>-7938.987551458762</v>
      </c>
      <c r="AN105" s="23">
        <f t="shared" si="74"/>
        <v>-6145.5842296980936</v>
      </c>
      <c r="AO105" s="23">
        <f t="shared" si="75"/>
        <v>-4600.5415851492162</v>
      </c>
      <c r="AP105" s="23">
        <f t="shared" si="76"/>
        <v>-2873.4209517692084</v>
      </c>
      <c r="AQ105" s="23">
        <f t="shared" si="77"/>
        <v>-1130.2777380649979</v>
      </c>
      <c r="AR105" s="23">
        <f t="shared" si="78"/>
        <v>578.03666550600587</v>
      </c>
      <c r="AS105" s="23">
        <f t="shared" si="79"/>
        <v>2198.5962577711539</v>
      </c>
      <c r="AT105" s="23">
        <f t="shared" si="80"/>
        <v>3690.5099162267093</v>
      </c>
      <c r="AU105" s="23">
        <f t="shared" si="81"/>
        <v>5026.1423385553117</v>
      </c>
      <c r="AW105" s="25"/>
      <c r="AX105" s="25">
        <f t="shared" si="93"/>
        <v>-11195.526878081095</v>
      </c>
      <c r="AY105" s="25">
        <f t="shared" si="94"/>
        <v>-3256.5393266223364</v>
      </c>
      <c r="AZ105" s="25">
        <f t="shared" si="95"/>
        <v>2889.0449030757577</v>
      </c>
      <c r="BA105" s="25">
        <f t="shared" si="96"/>
        <v>7489.5864882249743</v>
      </c>
      <c r="BB105" s="25">
        <f t="shared" si="97"/>
        <v>10363.007439994182</v>
      </c>
      <c r="BC105" s="25">
        <f t="shared" si="98"/>
        <v>11493.285178059181</v>
      </c>
      <c r="BD105" s="25">
        <f t="shared" si="99"/>
        <v>10915.248512553175</v>
      </c>
      <c r="BE105" s="25">
        <f t="shared" si="100"/>
        <v>8716.6522547820205</v>
      </c>
      <c r="BF105" s="25">
        <f t="shared" si="101"/>
        <v>5026.1423385553117</v>
      </c>
      <c r="BG105" s="25">
        <f t="shared" si="102"/>
        <v>0</v>
      </c>
      <c r="BI105" s="25"/>
      <c r="BJ105" s="25">
        <f t="shared" si="104"/>
        <v>0</v>
      </c>
      <c r="BK105" s="25">
        <f t="shared" si="105"/>
        <v>0</v>
      </c>
      <c r="BL105" s="25">
        <f t="shared" si="106"/>
        <v>2889.0449030757577</v>
      </c>
      <c r="BM105" s="25">
        <f t="shared" si="107"/>
        <v>7489.5864882249743</v>
      </c>
      <c r="BN105" s="25">
        <f t="shared" si="108"/>
        <v>10363.007439994182</v>
      </c>
      <c r="BO105" s="25">
        <f t="shared" si="109"/>
        <v>11493.285178059181</v>
      </c>
      <c r="BP105" s="25">
        <f t="shared" si="110"/>
        <v>10915.248512553175</v>
      </c>
      <c r="BQ105" s="25">
        <f t="shared" si="111"/>
        <v>8716.6522547820205</v>
      </c>
      <c r="BR105" s="25">
        <f t="shared" si="112"/>
        <v>5026.1423385553117</v>
      </c>
      <c r="BS105" s="25">
        <f t="shared" si="113"/>
        <v>0</v>
      </c>
    </row>
    <row r="106" spans="1:71" x14ac:dyDescent="0.2">
      <c r="A106" s="29">
        <f t="shared" si="103"/>
        <v>0.98000000000000065</v>
      </c>
      <c r="B106" s="30">
        <v>4.3285716716838486E-2</v>
      </c>
      <c r="C106" s="30">
        <v>4.7985594472732471E-2</v>
      </c>
      <c r="D106" s="30">
        <v>5.2040325430571611E-2</v>
      </c>
      <c r="E106" s="30">
        <v>5.5323648044051883E-2</v>
      </c>
      <c r="F106" s="30">
        <v>5.8516433871171017E-2</v>
      </c>
      <c r="G106" s="30">
        <v>6.1939092544046351E-2</v>
      </c>
      <c r="H106" s="30">
        <v>6.5623886769972578E-2</v>
      </c>
      <c r="I106" s="30">
        <v>6.9511290702890652E-2</v>
      </c>
      <c r="J106" s="30">
        <v>7.3530252278719052E-2</v>
      </c>
      <c r="K106" s="30">
        <v>7.7623848139037305E-2</v>
      </c>
      <c r="L106" s="30">
        <v>8.1751065727144939E-2</v>
      </c>
      <c r="N106" s="1"/>
      <c r="O106" s="55">
        <f t="shared" si="82"/>
        <v>0.97629274173844049</v>
      </c>
      <c r="P106" s="54">
        <f t="shared" si="83"/>
        <v>0.94929058551944068</v>
      </c>
      <c r="Q106" s="1">
        <f t="shared" si="65"/>
        <v>0.94617886945251695</v>
      </c>
      <c r="R106" s="57">
        <f t="shared" si="66"/>
        <v>0.9159672659520488</v>
      </c>
      <c r="S106" s="1">
        <f t="shared" si="67"/>
        <v>0.88348745627469538</v>
      </c>
      <c r="T106" s="60">
        <f t="shared" si="68"/>
        <v>0.84869133912992401</v>
      </c>
      <c r="U106" s="58">
        <f t="shared" si="69"/>
        <v>0.81177353775536876</v>
      </c>
      <c r="V106" s="53">
        <f t="shared" si="70"/>
        <v>0.77309303415313813</v>
      </c>
      <c r="W106" s="58">
        <f t="shared" si="71"/>
        <v>0.73308370204598239</v>
      </c>
      <c r="Y106" s="24"/>
      <c r="Z106" s="24">
        <f t="shared" si="84"/>
        <v>5.2040325430571611E-2</v>
      </c>
      <c r="AA106" s="24">
        <f t="shared" si="85"/>
        <v>5.5323648044051883E-2</v>
      </c>
      <c r="AB106" s="24">
        <f t="shared" si="86"/>
        <v>5.8516433871171017E-2</v>
      </c>
      <c r="AC106" s="24">
        <f t="shared" si="87"/>
        <v>6.1939092544046351E-2</v>
      </c>
      <c r="AD106" s="24">
        <f t="shared" si="88"/>
        <v>6.5623886769972578E-2</v>
      </c>
      <c r="AE106" s="24">
        <f t="shared" si="89"/>
        <v>6.9511290702890652E-2</v>
      </c>
      <c r="AF106" s="24">
        <f t="shared" si="90"/>
        <v>7.3530252278719052E-2</v>
      </c>
      <c r="AG106" s="24">
        <f t="shared" si="91"/>
        <v>7.7623848139037305E-2</v>
      </c>
      <c r="AH106" s="24">
        <f t="shared" si="92"/>
        <v>8.1751065727144939E-2</v>
      </c>
      <c r="AL106" s="23">
        <f t="shared" si="72"/>
        <v>0</v>
      </c>
      <c r="AM106" s="23">
        <f t="shared" si="73"/>
        <v>-7645.3692490380663</v>
      </c>
      <c r="AN106" s="23">
        <f t="shared" si="74"/>
        <v>-5875.501165622386</v>
      </c>
      <c r="AO106" s="23">
        <f t="shared" si="75"/>
        <v>-4345.7683925544643</v>
      </c>
      <c r="AP106" s="23">
        <f t="shared" si="76"/>
        <v>-2639.4858390142363</v>
      </c>
      <c r="AQ106" s="23">
        <f t="shared" si="77"/>
        <v>-918.1560549923081</v>
      </c>
      <c r="AR106" s="23">
        <f t="shared" si="78"/>
        <v>767.60850827129991</v>
      </c>
      <c r="AS106" s="23">
        <f t="shared" si="79"/>
        <v>2365.4611123208306</v>
      </c>
      <c r="AT106" s="23">
        <f t="shared" si="80"/>
        <v>3835.1135853594355</v>
      </c>
      <c r="AU106" s="23">
        <f t="shared" si="81"/>
        <v>5149.4356630835136</v>
      </c>
      <c r="AW106" s="25"/>
      <c r="AX106" s="25">
        <f t="shared" si="93"/>
        <v>-9306.6618321863825</v>
      </c>
      <c r="AY106" s="25">
        <f t="shared" si="94"/>
        <v>-1661.2925831483153</v>
      </c>
      <c r="AZ106" s="25">
        <f t="shared" si="95"/>
        <v>4214.2085824740716</v>
      </c>
      <c r="BA106" s="25">
        <f t="shared" si="96"/>
        <v>8559.9769750285359</v>
      </c>
      <c r="BB106" s="25">
        <f t="shared" si="97"/>
        <v>11199.462814042772</v>
      </c>
      <c r="BC106" s="25">
        <f t="shared" si="98"/>
        <v>12117.618869035079</v>
      </c>
      <c r="BD106" s="25">
        <f t="shared" si="99"/>
        <v>11350.010360763779</v>
      </c>
      <c r="BE106" s="25">
        <f t="shared" si="100"/>
        <v>8984.5492484429487</v>
      </c>
      <c r="BF106" s="25">
        <f t="shared" si="101"/>
        <v>5149.4356630835136</v>
      </c>
      <c r="BG106" s="25">
        <f t="shared" si="102"/>
        <v>0</v>
      </c>
      <c r="BI106" s="25"/>
      <c r="BJ106" s="25">
        <f t="shared" si="104"/>
        <v>0</v>
      </c>
      <c r="BK106" s="25">
        <f t="shared" si="105"/>
        <v>0</v>
      </c>
      <c r="BL106" s="25">
        <f t="shared" si="106"/>
        <v>4214.2085824740716</v>
      </c>
      <c r="BM106" s="25">
        <f t="shared" si="107"/>
        <v>8559.9769750285359</v>
      </c>
      <c r="BN106" s="25">
        <f t="shared" si="108"/>
        <v>11199.462814042772</v>
      </c>
      <c r="BO106" s="25">
        <f t="shared" si="109"/>
        <v>12117.618869035079</v>
      </c>
      <c r="BP106" s="25">
        <f t="shared" si="110"/>
        <v>11350.010360763779</v>
      </c>
      <c r="BQ106" s="25">
        <f t="shared" si="111"/>
        <v>8984.5492484429487</v>
      </c>
      <c r="BR106" s="25">
        <f t="shared" si="112"/>
        <v>5149.4356630835136</v>
      </c>
      <c r="BS106" s="25">
        <f t="shared" si="113"/>
        <v>0</v>
      </c>
    </row>
    <row r="107" spans="1:71" x14ac:dyDescent="0.2">
      <c r="A107" s="29">
        <f t="shared" si="103"/>
        <v>0.99000000000000066</v>
      </c>
      <c r="B107" s="30">
        <v>4.3286064408676279E-2</v>
      </c>
      <c r="C107" s="30">
        <v>4.7938833035529378E-2</v>
      </c>
      <c r="D107" s="30">
        <v>5.1944273011063219E-2</v>
      </c>
      <c r="E107" s="30">
        <v>5.5192314469127472E-2</v>
      </c>
      <c r="F107" s="30">
        <v>5.835666591920731E-2</v>
      </c>
      <c r="G107" s="30">
        <v>6.1752017918739688E-2</v>
      </c>
      <c r="H107" s="30">
        <v>6.5408839393233345E-2</v>
      </c>
      <c r="I107" s="30">
        <v>6.9267414490684368E-2</v>
      </c>
      <c r="J107" s="30">
        <v>7.3257013126593704E-2</v>
      </c>
      <c r="K107" s="30">
        <v>7.7321068765501211E-2</v>
      </c>
      <c r="L107" s="30">
        <v>8.1418819720249169E-2</v>
      </c>
      <c r="N107" s="1"/>
      <c r="O107" s="55">
        <f t="shared" si="82"/>
        <v>0.97631556843115908</v>
      </c>
      <c r="P107" s="54">
        <f t="shared" si="83"/>
        <v>0.94938177155624603</v>
      </c>
      <c r="Q107" s="1">
        <f t="shared" si="65"/>
        <v>0.94630314266640414</v>
      </c>
      <c r="R107" s="57">
        <f t="shared" si="66"/>
        <v>0.91618680557876597</v>
      </c>
      <c r="S107" s="1">
        <f t="shared" si="67"/>
        <v>0.88381807429077142</v>
      </c>
      <c r="T107" s="60">
        <f t="shared" si="68"/>
        <v>0.8491477339174115</v>
      </c>
      <c r="U107" s="58">
        <f t="shared" si="69"/>
        <v>0.81236767183829217</v>
      </c>
      <c r="V107" s="53">
        <f t="shared" si="70"/>
        <v>0.77383272529185798</v>
      </c>
      <c r="W107" s="58">
        <f t="shared" si="71"/>
        <v>0.73397209040495293</v>
      </c>
      <c r="Y107" s="24"/>
      <c r="Z107" s="24">
        <f t="shared" si="84"/>
        <v>5.1944273011063219E-2</v>
      </c>
      <c r="AA107" s="24">
        <f t="shared" si="85"/>
        <v>5.5192314469127472E-2</v>
      </c>
      <c r="AB107" s="24">
        <f t="shared" si="86"/>
        <v>5.835666591920731E-2</v>
      </c>
      <c r="AC107" s="24">
        <f t="shared" si="87"/>
        <v>6.1752017918739688E-2</v>
      </c>
      <c r="AD107" s="24">
        <f t="shared" si="88"/>
        <v>6.5408839393233345E-2</v>
      </c>
      <c r="AE107" s="24">
        <f t="shared" si="89"/>
        <v>6.9267414490684368E-2</v>
      </c>
      <c r="AF107" s="24">
        <f t="shared" si="90"/>
        <v>7.3257013126593704E-2</v>
      </c>
      <c r="AG107" s="24">
        <f t="shared" si="91"/>
        <v>7.7321068765501211E-2</v>
      </c>
      <c r="AH107" s="24">
        <f t="shared" si="92"/>
        <v>8.1418819720249169E-2</v>
      </c>
      <c r="AL107" s="23">
        <f t="shared" si="72"/>
        <v>0</v>
      </c>
      <c r="AM107" s="23">
        <f t="shared" si="73"/>
        <v>-7692.436741630564</v>
      </c>
      <c r="AN107" s="23">
        <f t="shared" si="74"/>
        <v>-5938.4083998431979</v>
      </c>
      <c r="AO107" s="23">
        <f t="shared" si="75"/>
        <v>-4421.9336328542186</v>
      </c>
      <c r="AP107" s="23">
        <f t="shared" si="76"/>
        <v>-2725.8161243695313</v>
      </c>
      <c r="AQ107" s="23">
        <f t="shared" si="77"/>
        <v>-1013.5310258609802</v>
      </c>
      <c r="AR107" s="23">
        <f t="shared" si="78"/>
        <v>664.47783323800536</v>
      </c>
      <c r="AS107" s="23">
        <f t="shared" si="79"/>
        <v>2256.2070577228264</v>
      </c>
      <c r="AT107" s="23">
        <f t="shared" si="80"/>
        <v>3721.6327069312092</v>
      </c>
      <c r="AU107" s="23">
        <f t="shared" si="81"/>
        <v>5033.7463647306477</v>
      </c>
      <c r="AW107" s="25"/>
      <c r="AX107" s="25">
        <f t="shared" si="93"/>
        <v>-10116.061961935804</v>
      </c>
      <c r="AY107" s="25">
        <f t="shared" si="94"/>
        <v>-2423.6252203052409</v>
      </c>
      <c r="AZ107" s="25">
        <f t="shared" si="95"/>
        <v>3514.7831795379589</v>
      </c>
      <c r="BA107" s="25">
        <f t="shared" si="96"/>
        <v>7936.7168123921765</v>
      </c>
      <c r="BB107" s="25">
        <f t="shared" si="97"/>
        <v>10662.532936761709</v>
      </c>
      <c r="BC107" s="25">
        <f t="shared" si="98"/>
        <v>11676.063962622688</v>
      </c>
      <c r="BD107" s="25">
        <f t="shared" si="99"/>
        <v>11011.586129384683</v>
      </c>
      <c r="BE107" s="25">
        <f t="shared" si="100"/>
        <v>8755.3790716618569</v>
      </c>
      <c r="BF107" s="25">
        <f t="shared" si="101"/>
        <v>5033.7463647306477</v>
      </c>
      <c r="BG107" s="25">
        <f t="shared" si="102"/>
        <v>0</v>
      </c>
      <c r="BI107" s="25"/>
      <c r="BJ107" s="25">
        <f t="shared" si="104"/>
        <v>0</v>
      </c>
      <c r="BK107" s="25">
        <f t="shared" si="105"/>
        <v>0</v>
      </c>
      <c r="BL107" s="25">
        <f t="shared" si="106"/>
        <v>3514.7831795379589</v>
      </c>
      <c r="BM107" s="25">
        <f t="shared" si="107"/>
        <v>7936.7168123921765</v>
      </c>
      <c r="BN107" s="25">
        <f t="shared" si="108"/>
        <v>10662.532936761709</v>
      </c>
      <c r="BO107" s="25">
        <f t="shared" si="109"/>
        <v>11676.063962622688</v>
      </c>
      <c r="BP107" s="25">
        <f t="shared" si="110"/>
        <v>11011.586129384683</v>
      </c>
      <c r="BQ107" s="25">
        <f t="shared" si="111"/>
        <v>8755.3790716618569</v>
      </c>
      <c r="BR107" s="25">
        <f t="shared" si="112"/>
        <v>5033.7463647306477</v>
      </c>
      <c r="BS107" s="25">
        <f t="shared" si="113"/>
        <v>0</v>
      </c>
    </row>
    <row r="108" spans="1:71" x14ac:dyDescent="0.2">
      <c r="A108" s="29">
        <f t="shared" si="103"/>
        <v>1.0000000000000007</v>
      </c>
      <c r="B108" s="30">
        <v>4.3525413785435028E-2</v>
      </c>
      <c r="C108" s="30">
        <v>4.8083049993608462E-2</v>
      </c>
      <c r="D108" s="30">
        <v>5.1999821668482812E-2</v>
      </c>
      <c r="E108" s="30">
        <v>5.5181003743818055E-2</v>
      </c>
      <c r="F108" s="30">
        <v>5.8292790774393373E-2</v>
      </c>
      <c r="G108" s="30">
        <v>6.1643852963153167E-2</v>
      </c>
      <c r="H108" s="30">
        <v>6.5262517743666967E-2</v>
      </c>
      <c r="I108" s="30">
        <v>6.9088509712026486E-2</v>
      </c>
      <c r="J108" s="30">
        <v>7.3051041674512596E-2</v>
      </c>
      <c r="K108" s="30">
        <v>7.7093522013887084E-2</v>
      </c>
      <c r="L108" s="30">
        <v>8.1175058454056537E-2</v>
      </c>
      <c r="N108" s="1"/>
      <c r="O108" s="55">
        <f t="shared" si="82"/>
        <v>0.976245170338637</v>
      </c>
      <c r="P108" s="54">
        <f t="shared" si="83"/>
        <v>0.94932903613816177</v>
      </c>
      <c r="Q108" s="1">
        <f t="shared" si="65"/>
        <v>0.94631384610184199</v>
      </c>
      <c r="R108" s="57">
        <f t="shared" si="66"/>
        <v>0.91627459213155726</v>
      </c>
      <c r="S108" s="1">
        <f t="shared" si="67"/>
        <v>0.88400929125850503</v>
      </c>
      <c r="T108" s="60">
        <f t="shared" si="68"/>
        <v>0.84945841248057774</v>
      </c>
      <c r="U108" s="58">
        <f t="shared" si="69"/>
        <v>0.81280379824102633</v>
      </c>
      <c r="V108" s="53">
        <f t="shared" si="70"/>
        <v>0.77439078249476812</v>
      </c>
      <c r="W108" s="58">
        <f t="shared" si="71"/>
        <v>0.73464044638306358</v>
      </c>
      <c r="Y108" s="24"/>
      <c r="Z108" s="24">
        <f t="shared" si="84"/>
        <v>5.1999821668482812E-2</v>
      </c>
      <c r="AA108" s="24">
        <f t="shared" si="85"/>
        <v>5.5181003743818048E-2</v>
      </c>
      <c r="AB108" s="24">
        <f t="shared" si="86"/>
        <v>5.8292790774393373E-2</v>
      </c>
      <c r="AC108" s="24">
        <f t="shared" si="87"/>
        <v>6.1643852963153167E-2</v>
      </c>
      <c r="AD108" s="24">
        <f t="shared" si="88"/>
        <v>6.5262517743666967E-2</v>
      </c>
      <c r="AE108" s="24">
        <f t="shared" si="89"/>
        <v>6.9088509712026486E-2</v>
      </c>
      <c r="AF108" s="24">
        <f t="shared" si="90"/>
        <v>7.3051041674512596E-2</v>
      </c>
      <c r="AG108" s="24">
        <f t="shared" si="91"/>
        <v>7.7093522013887084E-2</v>
      </c>
      <c r="AH108" s="24">
        <f t="shared" si="92"/>
        <v>8.1175058454056537E-2</v>
      </c>
      <c r="AL108" s="23">
        <f t="shared" si="72"/>
        <v>0</v>
      </c>
      <c r="AM108" s="23">
        <f t="shared" si="73"/>
        <v>-7664.7675174531223</v>
      </c>
      <c r="AN108" s="23">
        <f t="shared" si="74"/>
        <v>-5943.447338369152</v>
      </c>
      <c r="AO108" s="23">
        <f t="shared" si="75"/>
        <v>-4452.2066153933265</v>
      </c>
      <c r="AP108" s="23">
        <f t="shared" si="76"/>
        <v>-2775.6317050125353</v>
      </c>
      <c r="AQ108" s="23">
        <f t="shared" si="77"/>
        <v>-1078.4251555198925</v>
      </c>
      <c r="AR108" s="23">
        <f t="shared" si="78"/>
        <v>588.73486180089151</v>
      </c>
      <c r="AS108" s="23">
        <f t="shared" si="79"/>
        <v>2173.7111321274774</v>
      </c>
      <c r="AT108" s="23">
        <f t="shared" si="80"/>
        <v>3636.2115460305331</v>
      </c>
      <c r="AU108" s="23">
        <f t="shared" si="81"/>
        <v>4948.7916582744347</v>
      </c>
      <c r="AW108" s="25"/>
      <c r="AX108" s="25">
        <f t="shared" si="93"/>
        <v>-10567.029133514696</v>
      </c>
      <c r="AY108" s="25">
        <f t="shared" si="94"/>
        <v>-2902.2616160615717</v>
      </c>
      <c r="AZ108" s="25">
        <f t="shared" si="95"/>
        <v>3041.1857223075831</v>
      </c>
      <c r="BA108" s="25">
        <f t="shared" si="96"/>
        <v>7493.3923377009087</v>
      </c>
      <c r="BB108" s="25">
        <f t="shared" si="97"/>
        <v>10269.024042713445</v>
      </c>
      <c r="BC108" s="25">
        <f t="shared" si="98"/>
        <v>11347.449198233337</v>
      </c>
      <c r="BD108" s="25">
        <f t="shared" si="99"/>
        <v>10758.714336432446</v>
      </c>
      <c r="BE108" s="25">
        <f t="shared" si="100"/>
        <v>8585.0032043049687</v>
      </c>
      <c r="BF108" s="25">
        <f t="shared" si="101"/>
        <v>4948.7916582744347</v>
      </c>
      <c r="BG108" s="25">
        <f t="shared" si="102"/>
        <v>0</v>
      </c>
      <c r="BI108" s="25"/>
      <c r="BJ108" s="25">
        <f t="shared" si="104"/>
        <v>0</v>
      </c>
      <c r="BK108" s="25">
        <f t="shared" si="105"/>
        <v>0</v>
      </c>
      <c r="BL108" s="25">
        <f t="shared" si="106"/>
        <v>3041.1857223075831</v>
      </c>
      <c r="BM108" s="25">
        <f t="shared" si="107"/>
        <v>7493.3923377009087</v>
      </c>
      <c r="BN108" s="25">
        <f t="shared" si="108"/>
        <v>10269.024042713445</v>
      </c>
      <c r="BO108" s="25">
        <f t="shared" si="109"/>
        <v>11347.449198233337</v>
      </c>
      <c r="BP108" s="25">
        <f t="shared" si="110"/>
        <v>10758.714336432446</v>
      </c>
      <c r="BQ108" s="25">
        <f t="shared" si="111"/>
        <v>8585.0032043049687</v>
      </c>
      <c r="BR108" s="25">
        <f t="shared" si="112"/>
        <v>4948.7916582744347</v>
      </c>
      <c r="BS108" s="25">
        <f t="shared" si="113"/>
        <v>0</v>
      </c>
    </row>
    <row r="109" spans="1:71" x14ac:dyDescent="0.2">
      <c r="A109" s="29">
        <f t="shared" si="103"/>
        <v>1.0100000000000007</v>
      </c>
      <c r="B109" s="30">
        <v>4.3850507232792539E-2</v>
      </c>
      <c r="C109" s="30">
        <v>4.8360274155308455E-2</v>
      </c>
      <c r="D109" s="30">
        <v>5.2231119771892716E-2</v>
      </c>
      <c r="E109" s="30">
        <v>5.5383393473542548E-2</v>
      </c>
      <c r="F109" s="30">
        <v>5.8475992564754706E-2</v>
      </c>
      <c r="G109" s="30">
        <v>6.1811831303651386E-2</v>
      </c>
      <c r="H109" s="30">
        <v>6.5417314103082908E-2</v>
      </c>
      <c r="I109" s="30">
        <v>6.9231802888509567E-2</v>
      </c>
      <c r="J109" s="30">
        <v>7.3184640829960276E-2</v>
      </c>
      <c r="K109" s="30">
        <v>7.7219395950694922E-2</v>
      </c>
      <c r="L109" s="30">
        <v>8.1295230556699974E-2</v>
      </c>
      <c r="N109" s="1"/>
      <c r="O109" s="1"/>
      <c r="P109" s="54">
        <f>EXP(-D109*($P$7-$O$7))</f>
        <v>0.97422250206234795</v>
      </c>
      <c r="Q109" s="54">
        <f>EXP(-E109*($Q$7-$P$7))</f>
        <v>0.97268820352580265</v>
      </c>
      <c r="R109" s="1">
        <f>EXP(-F109*($R$7-$P$7))</f>
        <v>0.94320088396200363</v>
      </c>
      <c r="S109" s="1">
        <f>EXP(-G109*($S$7-$P$7))</f>
        <v>0.9114507237350904</v>
      </c>
      <c r="T109" s="61">
        <f>EXP(-H109*($T$7-$P$7))</f>
        <v>0.8773628534636404</v>
      </c>
      <c r="U109" s="62">
        <f>EXP(-I109*($U$7-$P$7))</f>
        <v>0.84107074098867041</v>
      </c>
      <c r="V109" s="63">
        <f>EXP(-J109*($V$7-$P$7))</f>
        <v>0.80287686340623077</v>
      </c>
      <c r="W109" s="68">
        <f>EXP(-K109*($W$7-$P$7))</f>
        <v>0.76317502317805352</v>
      </c>
      <c r="Y109" s="24"/>
      <c r="Z109" s="24"/>
      <c r="AA109" s="24">
        <f t="shared" si="85"/>
        <v>5.5383393473542548E-2</v>
      </c>
      <c r="AB109" s="24">
        <f t="shared" si="86"/>
        <v>5.8475992564754706E-2</v>
      </c>
      <c r="AC109" s="24">
        <f t="shared" si="87"/>
        <v>6.1811831303651386E-2</v>
      </c>
      <c r="AD109" s="24">
        <f t="shared" si="88"/>
        <v>6.5417314103082908E-2</v>
      </c>
      <c r="AE109" s="24">
        <f t="shared" si="89"/>
        <v>6.9231802888509567E-2</v>
      </c>
      <c r="AF109" s="24">
        <f t="shared" si="90"/>
        <v>7.3184640829960276E-2</v>
      </c>
      <c r="AG109" s="24">
        <f t="shared" si="91"/>
        <v>7.7219395950694922E-2</v>
      </c>
      <c r="AH109" s="24">
        <f t="shared" si="92"/>
        <v>8.1295230556699974E-2</v>
      </c>
      <c r="AL109" s="23">
        <f t="shared" si="72"/>
        <v>0</v>
      </c>
      <c r="AM109" s="23">
        <f t="shared" si="73"/>
        <v>0</v>
      </c>
      <c r="AN109" s="23">
        <f t="shared" si="74"/>
        <v>-6000.7111013584617</v>
      </c>
      <c r="AO109" s="23">
        <f t="shared" si="75"/>
        <v>-4487.1932819231206</v>
      </c>
      <c r="AP109" s="23">
        <f t="shared" si="76"/>
        <v>-2777.9797175918939</v>
      </c>
      <c r="AQ109" s="23">
        <f t="shared" si="77"/>
        <v>-1041.3570218756845</v>
      </c>
      <c r="AR109" s="23">
        <f t="shared" si="78"/>
        <v>670.93467146082696</v>
      </c>
      <c r="AS109" s="23">
        <f t="shared" si="79"/>
        <v>2305.4896284856291</v>
      </c>
      <c r="AT109" s="23">
        <f t="shared" si="80"/>
        <v>3820.5007681164784</v>
      </c>
      <c r="AU109" s="23">
        <f t="shared" si="81"/>
        <v>5186.8665918380639</v>
      </c>
      <c r="AW109" s="25"/>
      <c r="AX109" s="25"/>
      <c r="AY109" s="25">
        <f>SUM(AN109:AU109)</f>
        <v>-2323.4494628481616</v>
      </c>
      <c r="AZ109" s="25">
        <f t="shared" si="95"/>
        <v>3677.2616385102997</v>
      </c>
      <c r="BA109" s="25">
        <f t="shared" si="96"/>
        <v>8164.4549204334198</v>
      </c>
      <c r="BB109" s="25">
        <f t="shared" si="97"/>
        <v>10942.434638025314</v>
      </c>
      <c r="BC109" s="25">
        <f t="shared" si="98"/>
        <v>11983.791659900999</v>
      </c>
      <c r="BD109" s="25">
        <f t="shared" si="99"/>
        <v>11312.856988440171</v>
      </c>
      <c r="BE109" s="25">
        <f t="shared" si="100"/>
        <v>9007.3673599545418</v>
      </c>
      <c r="BF109" s="25">
        <f t="shared" si="101"/>
        <v>5186.8665918380639</v>
      </c>
      <c r="BG109" s="25">
        <f t="shared" si="102"/>
        <v>0</v>
      </c>
      <c r="BI109" s="25"/>
      <c r="BJ109" s="25"/>
      <c r="BK109" s="25">
        <f t="shared" si="105"/>
        <v>0</v>
      </c>
      <c r="BL109" s="25">
        <f t="shared" si="106"/>
        <v>3677.2616385102997</v>
      </c>
      <c r="BM109" s="25">
        <f t="shared" si="107"/>
        <v>8164.4549204334198</v>
      </c>
      <c r="BN109" s="25">
        <f t="shared" si="108"/>
        <v>10942.434638025314</v>
      </c>
      <c r="BO109" s="25">
        <f t="shared" si="109"/>
        <v>11983.791659900999</v>
      </c>
      <c r="BP109" s="25">
        <f t="shared" si="110"/>
        <v>11312.856988440171</v>
      </c>
      <c r="BQ109" s="25">
        <f t="shared" si="111"/>
        <v>9007.3673599545418</v>
      </c>
      <c r="BR109" s="25">
        <f t="shared" si="112"/>
        <v>5186.8665918380639</v>
      </c>
      <c r="BS109" s="25">
        <f t="shared" si="113"/>
        <v>0</v>
      </c>
    </row>
    <row r="110" spans="1:71" x14ac:dyDescent="0.2">
      <c r="A110" s="29">
        <f t="shared" si="103"/>
        <v>1.0200000000000007</v>
      </c>
      <c r="B110" s="30">
        <v>4.4490123971935323E-2</v>
      </c>
      <c r="C110" s="30">
        <v>4.8905236709777436E-2</v>
      </c>
      <c r="D110" s="30">
        <v>5.2687178887858066E-2</v>
      </c>
      <c r="E110" s="30">
        <v>5.5770813090518796E-2</v>
      </c>
      <c r="F110" s="30">
        <v>5.8807656368340636E-2</v>
      </c>
      <c r="G110" s="30">
        <v>6.2094829863363121E-2</v>
      </c>
      <c r="H110" s="30">
        <v>6.5656732344976571E-2</v>
      </c>
      <c r="I110" s="30">
        <v>6.9432259098954938E-2</v>
      </c>
      <c r="J110" s="30">
        <v>7.3350770414867691E-2</v>
      </c>
      <c r="K110" s="30">
        <v>7.7355878025561903E-2</v>
      </c>
      <c r="L110" s="30">
        <v>8.1406683339333166E-2</v>
      </c>
      <c r="N110" s="1"/>
      <c r="O110" s="1"/>
      <c r="P110" s="54">
        <f t="shared" ref="P110:P158" si="114">EXP(-D110*($P$7-$O$7))</f>
        <v>0.97400037586245791</v>
      </c>
      <c r="Q110" s="54">
        <f t="shared" ref="Q110:Q173" si="115">EXP(-E110*($Q$7-$P$7))</f>
        <v>0.97249980252832879</v>
      </c>
      <c r="R110" s="1">
        <f t="shared" ref="R110:R173" si="116">EXP(-F110*($R$7-$P$7))</f>
        <v>0.9428881102400114</v>
      </c>
      <c r="S110" s="1">
        <f t="shared" ref="S110:S158" si="117">EXP(-G110*($S$7-$P$7))</f>
        <v>0.91106389698136192</v>
      </c>
      <c r="T110" s="61">
        <f t="shared" ref="T110:T158" si="118">EXP(-H110*($T$7-$P$7))</f>
        <v>0.8769428406866282</v>
      </c>
      <c r="U110" s="62">
        <f t="shared" ref="U110:U158" si="119">EXP(-I110*($U$7-$P$7))</f>
        <v>0.84064935195141366</v>
      </c>
      <c r="V110" s="63">
        <f t="shared" ref="V110:V158" si="120">EXP(-J110*($V$7-$P$7))</f>
        <v>0.80247681830335338</v>
      </c>
      <c r="W110" s="68">
        <f t="shared" ref="W110:W158" si="121">EXP(-K110*($W$7-$P$7))</f>
        <v>0.76281055124950792</v>
      </c>
      <c r="Y110" s="24"/>
      <c r="Z110" s="24"/>
      <c r="AA110" s="24">
        <f t="shared" si="85"/>
        <v>5.5770813090518796E-2</v>
      </c>
      <c r="AB110" s="24">
        <f t="shared" si="86"/>
        <v>5.8807656368340636E-2</v>
      </c>
      <c r="AC110" s="24">
        <f t="shared" si="87"/>
        <v>6.2094829863363121E-2</v>
      </c>
      <c r="AD110" s="24">
        <f t="shared" si="88"/>
        <v>6.5656732344976571E-2</v>
      </c>
      <c r="AE110" s="24">
        <f t="shared" si="89"/>
        <v>6.9432259098954938E-2</v>
      </c>
      <c r="AF110" s="24">
        <f t="shared" si="90"/>
        <v>7.3350770414867691E-2</v>
      </c>
      <c r="AG110" s="24">
        <f t="shared" si="91"/>
        <v>7.7355878025561903E-2</v>
      </c>
      <c r="AH110" s="24">
        <f t="shared" si="92"/>
        <v>8.1406683339333166E-2</v>
      </c>
      <c r="AL110" s="23">
        <f t="shared" si="72"/>
        <v>0</v>
      </c>
      <c r="AM110" s="23">
        <f t="shared" si="73"/>
        <v>0</v>
      </c>
      <c r="AN110" s="23">
        <f t="shared" si="74"/>
        <v>-5810.6694915818271</v>
      </c>
      <c r="AO110" s="23">
        <f t="shared" si="75"/>
        <v>-4325.0526610074148</v>
      </c>
      <c r="AP110" s="23">
        <f t="shared" si="76"/>
        <v>-2643.6405264620653</v>
      </c>
      <c r="AQ110" s="23">
        <f t="shared" si="77"/>
        <v>-931.8524036478143</v>
      </c>
      <c r="AR110" s="23">
        <f t="shared" si="78"/>
        <v>758.50779967765789</v>
      </c>
      <c r="AS110" s="23">
        <f t="shared" si="79"/>
        <v>2374.1629076005333</v>
      </c>
      <c r="AT110" s="23">
        <f t="shared" si="80"/>
        <v>3873.3589985044455</v>
      </c>
      <c r="AU110" s="23">
        <f t="shared" si="81"/>
        <v>5226.8981627053008</v>
      </c>
      <c r="AW110" s="25"/>
      <c r="AX110" s="25"/>
      <c r="AY110" s="25">
        <f t="shared" si="94"/>
        <v>-1478.2872142111837</v>
      </c>
      <c r="AZ110" s="25">
        <f t="shared" si="95"/>
        <v>4332.3822773706443</v>
      </c>
      <c r="BA110" s="25">
        <f t="shared" si="96"/>
        <v>8657.4349383780573</v>
      </c>
      <c r="BB110" s="25">
        <f t="shared" si="97"/>
        <v>11301.075464840123</v>
      </c>
      <c r="BC110" s="25">
        <f t="shared" si="98"/>
        <v>12232.927868487937</v>
      </c>
      <c r="BD110" s="25">
        <f t="shared" si="99"/>
        <v>11474.420068810279</v>
      </c>
      <c r="BE110" s="25">
        <f t="shared" si="100"/>
        <v>9100.2571612097454</v>
      </c>
      <c r="BF110" s="25">
        <f t="shared" si="101"/>
        <v>5226.8981627053008</v>
      </c>
      <c r="BG110" s="25">
        <f t="shared" si="102"/>
        <v>0</v>
      </c>
      <c r="BI110" s="25"/>
      <c r="BJ110" s="25"/>
      <c r="BK110" s="25">
        <f t="shared" si="105"/>
        <v>0</v>
      </c>
      <c r="BL110" s="25">
        <f t="shared" si="106"/>
        <v>4332.3822773706443</v>
      </c>
      <c r="BM110" s="25">
        <f t="shared" si="107"/>
        <v>8657.4349383780573</v>
      </c>
      <c r="BN110" s="25">
        <f t="shared" si="108"/>
        <v>11301.075464840123</v>
      </c>
      <c r="BO110" s="25">
        <f t="shared" si="109"/>
        <v>12232.927868487937</v>
      </c>
      <c r="BP110" s="25">
        <f t="shared" si="110"/>
        <v>11474.420068810279</v>
      </c>
      <c r="BQ110" s="25">
        <f t="shared" si="111"/>
        <v>9100.2571612097454</v>
      </c>
      <c r="BR110" s="25">
        <f t="shared" si="112"/>
        <v>5226.8981627053008</v>
      </c>
      <c r="BS110" s="25">
        <f t="shared" si="113"/>
        <v>0</v>
      </c>
    </row>
    <row r="111" spans="1:71" x14ac:dyDescent="0.2">
      <c r="A111" s="29">
        <f t="shared" si="103"/>
        <v>1.0300000000000007</v>
      </c>
      <c r="B111" s="30">
        <v>4.5146282775186272E-2</v>
      </c>
      <c r="C111" s="30">
        <v>4.9509208526315393E-2</v>
      </c>
      <c r="D111" s="30">
        <v>5.3238937068923665E-2</v>
      </c>
      <c r="E111" s="30">
        <v>5.6284670425254438E-2</v>
      </c>
      <c r="F111" s="30">
        <v>5.9290841248232223E-2</v>
      </c>
      <c r="G111" s="30">
        <v>6.2549117426768955E-2</v>
      </c>
      <c r="H111" s="30">
        <v>6.6082186980373048E-2</v>
      </c>
      <c r="I111" s="30">
        <v>6.9828752343819245E-2</v>
      </c>
      <c r="J111" s="30">
        <v>7.371845557152111E-2</v>
      </c>
      <c r="K111" s="30">
        <v>7.7695214127269929E-2</v>
      </c>
      <c r="L111" s="30">
        <v>8.1718330996490063E-2</v>
      </c>
      <c r="N111" s="1"/>
      <c r="O111" s="1"/>
      <c r="P111" s="54">
        <f t="shared" si="114"/>
        <v>0.97373170658640817</v>
      </c>
      <c r="Q111" s="54">
        <f t="shared" si="115"/>
        <v>0.97224997154579473</v>
      </c>
      <c r="R111" s="1">
        <f t="shared" si="116"/>
        <v>0.9424326310109139</v>
      </c>
      <c r="S111" s="1">
        <f t="shared" si="117"/>
        <v>0.91044328096218141</v>
      </c>
      <c r="T111" s="61">
        <f t="shared" si="118"/>
        <v>0.87619695927723984</v>
      </c>
      <c r="U111" s="62">
        <f t="shared" si="119"/>
        <v>0.8398164853287241</v>
      </c>
      <c r="V111" s="63">
        <f t="shared" si="120"/>
        <v>0.80159212987931261</v>
      </c>
      <c r="W111" s="68">
        <f t="shared" si="121"/>
        <v>0.76190511698156616</v>
      </c>
      <c r="Y111" s="24"/>
      <c r="Z111" s="24"/>
      <c r="AA111" s="24">
        <f t="shared" si="85"/>
        <v>5.6284670425254445E-2</v>
      </c>
      <c r="AB111" s="24">
        <f t="shared" si="86"/>
        <v>5.9290841248232223E-2</v>
      </c>
      <c r="AC111" s="24">
        <f t="shared" si="87"/>
        <v>6.2549117426768955E-2</v>
      </c>
      <c r="AD111" s="24">
        <f t="shared" si="88"/>
        <v>6.6082186980373048E-2</v>
      </c>
      <c r="AE111" s="24">
        <f t="shared" si="89"/>
        <v>6.9828752343819245E-2</v>
      </c>
      <c r="AF111" s="24">
        <f t="shared" si="90"/>
        <v>7.371845557152111E-2</v>
      </c>
      <c r="AG111" s="24">
        <f t="shared" si="91"/>
        <v>7.7695214127269929E-2</v>
      </c>
      <c r="AH111" s="24">
        <f t="shared" si="92"/>
        <v>8.1718330996490063E-2</v>
      </c>
      <c r="AL111" s="23">
        <f t="shared" si="72"/>
        <v>0</v>
      </c>
      <c r="AM111" s="23">
        <f t="shared" si="73"/>
        <v>0</v>
      </c>
      <c r="AN111" s="23">
        <f t="shared" si="74"/>
        <v>-5558.8870807226403</v>
      </c>
      <c r="AO111" s="23">
        <f t="shared" si="75"/>
        <v>-4089.0533308691483</v>
      </c>
      <c r="AP111" s="23">
        <f t="shared" si="76"/>
        <v>-2428.2957560763061</v>
      </c>
      <c r="AQ111" s="23">
        <f t="shared" si="77"/>
        <v>-737.5414694385662</v>
      </c>
      <c r="AR111" s="23">
        <f t="shared" si="78"/>
        <v>931.56574064060192</v>
      </c>
      <c r="AS111" s="23">
        <f t="shared" si="79"/>
        <v>2526.2047526703523</v>
      </c>
      <c r="AT111" s="23">
        <f t="shared" si="80"/>
        <v>4005.0933984830845</v>
      </c>
      <c r="AU111" s="23">
        <f t="shared" si="81"/>
        <v>5339.4169566911869</v>
      </c>
      <c r="AW111" s="25"/>
      <c r="AX111" s="25"/>
      <c r="AY111" s="25">
        <f t="shared" si="94"/>
        <v>-11.496788621435371</v>
      </c>
      <c r="AZ111" s="25">
        <f t="shared" si="95"/>
        <v>5547.390292101205</v>
      </c>
      <c r="BA111" s="25">
        <f t="shared" si="96"/>
        <v>9636.4436229703533</v>
      </c>
      <c r="BB111" s="25">
        <f t="shared" si="97"/>
        <v>12064.739379046659</v>
      </c>
      <c r="BC111" s="25">
        <f t="shared" si="98"/>
        <v>12802.280848485225</v>
      </c>
      <c r="BD111" s="25">
        <f t="shared" si="99"/>
        <v>11870.715107844622</v>
      </c>
      <c r="BE111" s="25">
        <f t="shared" si="100"/>
        <v>9344.5103551742723</v>
      </c>
      <c r="BF111" s="25">
        <f t="shared" si="101"/>
        <v>5339.4169566911869</v>
      </c>
      <c r="BG111" s="25">
        <f t="shared" si="102"/>
        <v>0</v>
      </c>
      <c r="BI111" s="25"/>
      <c r="BJ111" s="25"/>
      <c r="BK111" s="25">
        <f t="shared" si="105"/>
        <v>0</v>
      </c>
      <c r="BL111" s="25">
        <f t="shared" si="106"/>
        <v>5547.390292101205</v>
      </c>
      <c r="BM111" s="25">
        <f t="shared" si="107"/>
        <v>9636.4436229703533</v>
      </c>
      <c r="BN111" s="25">
        <f t="shared" si="108"/>
        <v>12064.739379046659</v>
      </c>
      <c r="BO111" s="25">
        <f t="shared" si="109"/>
        <v>12802.280848485225</v>
      </c>
      <c r="BP111" s="25">
        <f t="shared" si="110"/>
        <v>11870.715107844622</v>
      </c>
      <c r="BQ111" s="25">
        <f t="shared" si="111"/>
        <v>9344.5103551742723</v>
      </c>
      <c r="BR111" s="25">
        <f t="shared" si="112"/>
        <v>5339.4169566911869</v>
      </c>
      <c r="BS111" s="25">
        <f t="shared" si="113"/>
        <v>0</v>
      </c>
    </row>
    <row r="112" spans="1:71" x14ac:dyDescent="0.2">
      <c r="A112" s="29">
        <f t="shared" si="103"/>
        <v>1.0400000000000007</v>
      </c>
      <c r="B112" s="30">
        <v>4.589770773724159E-2</v>
      </c>
      <c r="C112" s="30">
        <v>5.0130112205610193E-2</v>
      </c>
      <c r="D112" s="30">
        <v>5.3739672988030208E-2</v>
      </c>
      <c r="E112" s="30">
        <v>5.6689077398096741E-2</v>
      </c>
      <c r="F112" s="30">
        <v>5.9615280644129562E-2</v>
      </c>
      <c r="G112" s="30">
        <v>6.2804146542139075E-2</v>
      </c>
      <c r="H112" s="30">
        <v>6.6276257049890624E-2</v>
      </c>
      <c r="I112" s="30">
        <v>6.9969705573637755E-2</v>
      </c>
      <c r="J112" s="30">
        <v>7.3813990742121305E-2</v>
      </c>
      <c r="K112" s="30">
        <v>7.7752907997161627E-2</v>
      </c>
      <c r="L112" s="30">
        <v>8.1745534604104345E-2</v>
      </c>
      <c r="N112" s="1"/>
      <c r="O112" s="1"/>
      <c r="P112" s="54">
        <f t="shared" si="114"/>
        <v>0.9734879458820862</v>
      </c>
      <c r="Q112" s="54">
        <f t="shared" si="115"/>
        <v>0.97205339908636335</v>
      </c>
      <c r="R112" s="1">
        <f t="shared" si="116"/>
        <v>0.94212691833273465</v>
      </c>
      <c r="S112" s="1">
        <f t="shared" si="117"/>
        <v>0.9100950632538608</v>
      </c>
      <c r="T112" s="61">
        <f t="shared" si="118"/>
        <v>0.87585693805985387</v>
      </c>
      <c r="U112" s="62">
        <f t="shared" si="119"/>
        <v>0.83952060034906051</v>
      </c>
      <c r="V112" s="63">
        <f t="shared" si="120"/>
        <v>0.80136242207600683</v>
      </c>
      <c r="W112" s="68">
        <f t="shared" si="121"/>
        <v>0.7617512821225022</v>
      </c>
      <c r="Y112" s="24"/>
      <c r="Z112" s="24"/>
      <c r="AA112" s="24">
        <f t="shared" si="85"/>
        <v>5.6689077398096734E-2</v>
      </c>
      <c r="AB112" s="24">
        <f t="shared" si="86"/>
        <v>5.9615280644129562E-2</v>
      </c>
      <c r="AC112" s="24">
        <f t="shared" si="87"/>
        <v>6.2804146542139075E-2</v>
      </c>
      <c r="AD112" s="24">
        <f t="shared" si="88"/>
        <v>6.6276257049890624E-2</v>
      </c>
      <c r="AE112" s="24">
        <f t="shared" si="89"/>
        <v>6.9969705573637755E-2</v>
      </c>
      <c r="AF112" s="24">
        <f t="shared" si="90"/>
        <v>7.3813990742121305E-2</v>
      </c>
      <c r="AG112" s="24">
        <f t="shared" si="91"/>
        <v>7.7752907997161627E-2</v>
      </c>
      <c r="AH112" s="24">
        <f t="shared" si="92"/>
        <v>8.1745534604104345E-2</v>
      </c>
      <c r="AL112" s="23">
        <f t="shared" si="72"/>
        <v>0</v>
      </c>
      <c r="AM112" s="23">
        <f t="shared" si="73"/>
        <v>0</v>
      </c>
      <c r="AN112" s="23">
        <f t="shared" si="74"/>
        <v>-5360.6528310729573</v>
      </c>
      <c r="AO112" s="23">
        <f t="shared" si="75"/>
        <v>-3930.5403848271117</v>
      </c>
      <c r="AP112" s="23">
        <f t="shared" si="76"/>
        <v>-2307.3731517822612</v>
      </c>
      <c r="AQ112" s="23">
        <f t="shared" si="77"/>
        <v>-648.9482754780804</v>
      </c>
      <c r="AR112" s="23">
        <f t="shared" si="78"/>
        <v>992.93166488615361</v>
      </c>
      <c r="AS112" s="23">
        <f t="shared" si="79"/>
        <v>2565.4165895868755</v>
      </c>
      <c r="AT112" s="23">
        <f t="shared" si="80"/>
        <v>4027.0625307763949</v>
      </c>
      <c r="AU112" s="23">
        <f t="shared" si="81"/>
        <v>5348.7000763356691</v>
      </c>
      <c r="AW112" s="25"/>
      <c r="AX112" s="25"/>
      <c r="AY112" s="25">
        <f t="shared" si="94"/>
        <v>686.59621842468277</v>
      </c>
      <c r="AZ112" s="25">
        <f t="shared" si="95"/>
        <v>6047.24904949764</v>
      </c>
      <c r="BA112" s="25">
        <f t="shared" si="96"/>
        <v>9977.7894343247499</v>
      </c>
      <c r="BB112" s="25">
        <f t="shared" si="97"/>
        <v>12285.162586107013</v>
      </c>
      <c r="BC112" s="25">
        <f t="shared" si="98"/>
        <v>12934.110861585094</v>
      </c>
      <c r="BD112" s="25">
        <f t="shared" si="99"/>
        <v>11941.17919669894</v>
      </c>
      <c r="BE112" s="25">
        <f t="shared" si="100"/>
        <v>9375.7626071120649</v>
      </c>
      <c r="BF112" s="25">
        <f t="shared" si="101"/>
        <v>5348.7000763356691</v>
      </c>
      <c r="BG112" s="25">
        <f t="shared" si="102"/>
        <v>0</v>
      </c>
      <c r="BI112" s="25"/>
      <c r="BJ112" s="25"/>
      <c r="BK112" s="25">
        <f t="shared" si="105"/>
        <v>686.59621842468277</v>
      </c>
      <c r="BL112" s="25">
        <f t="shared" si="106"/>
        <v>6047.24904949764</v>
      </c>
      <c r="BM112" s="25">
        <f t="shared" si="107"/>
        <v>9977.7894343247499</v>
      </c>
      <c r="BN112" s="25">
        <f t="shared" si="108"/>
        <v>12285.162586107013</v>
      </c>
      <c r="BO112" s="25">
        <f t="shared" si="109"/>
        <v>12934.110861585094</v>
      </c>
      <c r="BP112" s="25">
        <f t="shared" si="110"/>
        <v>11941.17919669894</v>
      </c>
      <c r="BQ112" s="25">
        <f t="shared" si="111"/>
        <v>9375.7626071120649</v>
      </c>
      <c r="BR112" s="25">
        <f t="shared" si="112"/>
        <v>5348.7000763356691</v>
      </c>
      <c r="BS112" s="25">
        <f t="shared" si="113"/>
        <v>0</v>
      </c>
    </row>
    <row r="113" spans="1:71" x14ac:dyDescent="0.2">
      <c r="A113" s="29">
        <f t="shared" si="103"/>
        <v>1.0500000000000007</v>
      </c>
      <c r="B113" s="30">
        <v>4.4570595532081224E-2</v>
      </c>
      <c r="C113" s="30">
        <v>4.881246354889951E-2</v>
      </c>
      <c r="D113" s="30">
        <v>5.2429029192402443E-2</v>
      </c>
      <c r="E113" s="30">
        <v>5.5396531153036457E-2</v>
      </c>
      <c r="F113" s="30">
        <v>5.8344966002169374E-2</v>
      </c>
      <c r="G113" s="30">
        <v>6.1554952783351963E-2</v>
      </c>
      <c r="H113" s="30">
        <v>6.5045482673489627E-2</v>
      </c>
      <c r="I113" s="30">
        <v>6.8754534702590422E-2</v>
      </c>
      <c r="J113" s="30">
        <v>7.2611949842015217E-2</v>
      </c>
      <c r="K113" s="30">
        <v>7.6561884777869973E-2</v>
      </c>
      <c r="L113" s="30">
        <v>8.0563674779554076E-2</v>
      </c>
      <c r="N113" s="1"/>
      <c r="O113" s="1"/>
      <c r="P113" s="54">
        <f t="shared" si="114"/>
        <v>0.97412610292658552</v>
      </c>
      <c r="Q113" s="54">
        <f t="shared" si="115"/>
        <v>0.97268181411385557</v>
      </c>
      <c r="R113" s="1">
        <f t="shared" si="116"/>
        <v>0.94332447642842787</v>
      </c>
      <c r="S113" s="1">
        <f t="shared" si="117"/>
        <v>0.91180198957508962</v>
      </c>
      <c r="T113" s="61">
        <f t="shared" si="118"/>
        <v>0.87801555829788225</v>
      </c>
      <c r="U113" s="62">
        <f t="shared" si="119"/>
        <v>0.84207488069141256</v>
      </c>
      <c r="V113" s="63">
        <f t="shared" si="120"/>
        <v>0.80425745007325278</v>
      </c>
      <c r="W113" s="68">
        <f t="shared" si="121"/>
        <v>0.76493333195644253</v>
      </c>
      <c r="Y113" s="24"/>
      <c r="Z113" s="24"/>
      <c r="AA113" s="24">
        <f t="shared" si="85"/>
        <v>5.5396531153036464E-2</v>
      </c>
      <c r="AB113" s="24">
        <f t="shared" si="86"/>
        <v>5.8344966002169374E-2</v>
      </c>
      <c r="AC113" s="24">
        <f t="shared" si="87"/>
        <v>6.155495278335197E-2</v>
      </c>
      <c r="AD113" s="24">
        <f t="shared" si="88"/>
        <v>6.5045482673489627E-2</v>
      </c>
      <c r="AE113" s="24">
        <f t="shared" si="89"/>
        <v>6.8754534702590422E-2</v>
      </c>
      <c r="AF113" s="24">
        <f t="shared" si="90"/>
        <v>7.2611949842015217E-2</v>
      </c>
      <c r="AG113" s="24">
        <f t="shared" si="91"/>
        <v>7.6561884777869973E-2</v>
      </c>
      <c r="AH113" s="24">
        <f t="shared" si="92"/>
        <v>8.0563674779554076E-2</v>
      </c>
      <c r="AL113" s="23">
        <f t="shared" si="72"/>
        <v>0</v>
      </c>
      <c r="AM113" s="23">
        <f t="shared" si="73"/>
        <v>0</v>
      </c>
      <c r="AN113" s="23">
        <f t="shared" si="74"/>
        <v>-5993.7184538452657</v>
      </c>
      <c r="AO113" s="23">
        <f t="shared" si="75"/>
        <v>-4550.8873836626508</v>
      </c>
      <c r="AP113" s="23">
        <f t="shared" si="76"/>
        <v>-2899.5036284059638</v>
      </c>
      <c r="AQ113" s="23">
        <f t="shared" si="77"/>
        <v>-1211.2766712118205</v>
      </c>
      <c r="AR113" s="23">
        <f t="shared" si="78"/>
        <v>461.90935986911637</v>
      </c>
      <c r="AS113" s="23">
        <f t="shared" si="79"/>
        <v>2067.1177647084905</v>
      </c>
      <c r="AT113" s="23">
        <f t="shared" si="80"/>
        <v>3562.6661794284087</v>
      </c>
      <c r="AU113" s="23">
        <f t="shared" si="81"/>
        <v>4919.0211175393279</v>
      </c>
      <c r="AW113" s="25"/>
      <c r="AX113" s="25"/>
      <c r="AY113" s="25">
        <f t="shared" si="94"/>
        <v>-3644.671715580359</v>
      </c>
      <c r="AZ113" s="25">
        <f t="shared" si="95"/>
        <v>2349.0467382649081</v>
      </c>
      <c r="BA113" s="25">
        <f t="shared" si="96"/>
        <v>6899.9341219275593</v>
      </c>
      <c r="BB113" s="25">
        <f t="shared" si="97"/>
        <v>9799.4377503335236</v>
      </c>
      <c r="BC113" s="25">
        <f t="shared" si="98"/>
        <v>11010.714421545345</v>
      </c>
      <c r="BD113" s="25">
        <f t="shared" si="99"/>
        <v>10548.805061676227</v>
      </c>
      <c r="BE113" s="25">
        <f t="shared" si="100"/>
        <v>8481.687296967737</v>
      </c>
      <c r="BF113" s="25">
        <f t="shared" si="101"/>
        <v>4919.0211175393279</v>
      </c>
      <c r="BG113" s="25">
        <f t="shared" si="102"/>
        <v>0</v>
      </c>
      <c r="BI113" s="25"/>
      <c r="BJ113" s="25"/>
      <c r="BK113" s="25">
        <f t="shared" si="105"/>
        <v>0</v>
      </c>
      <c r="BL113" s="25">
        <f t="shared" si="106"/>
        <v>2349.0467382649081</v>
      </c>
      <c r="BM113" s="25">
        <f t="shared" si="107"/>
        <v>6899.9341219275593</v>
      </c>
      <c r="BN113" s="25">
        <f t="shared" si="108"/>
        <v>9799.4377503335236</v>
      </c>
      <c r="BO113" s="25">
        <f t="shared" si="109"/>
        <v>11010.714421545345</v>
      </c>
      <c r="BP113" s="25">
        <f t="shared" si="110"/>
        <v>10548.805061676227</v>
      </c>
      <c r="BQ113" s="25">
        <f t="shared" si="111"/>
        <v>8481.687296967737</v>
      </c>
      <c r="BR113" s="25">
        <f t="shared" si="112"/>
        <v>4919.0211175393279</v>
      </c>
      <c r="BS113" s="25">
        <f t="shared" si="113"/>
        <v>0</v>
      </c>
    </row>
    <row r="114" spans="1:71" x14ac:dyDescent="0.2">
      <c r="A114" s="29">
        <f t="shared" si="103"/>
        <v>1.0600000000000007</v>
      </c>
      <c r="B114" s="30">
        <v>4.4400975860260844E-2</v>
      </c>
      <c r="C114" s="30">
        <v>4.8681286937645361E-2</v>
      </c>
      <c r="D114" s="30">
        <v>5.2335612237756277E-2</v>
      </c>
      <c r="E114" s="30">
        <v>5.5353197567213713E-2</v>
      </c>
      <c r="F114" s="30">
        <v>5.8356981077321797E-2</v>
      </c>
      <c r="G114" s="30">
        <v>6.1622276058602078E-2</v>
      </c>
      <c r="H114" s="30">
        <v>6.5166378374790723E-2</v>
      </c>
      <c r="I114" s="30">
        <v>6.8927027753626038E-2</v>
      </c>
      <c r="J114" s="30">
        <v>7.2834273826720614E-2</v>
      </c>
      <c r="K114" s="30">
        <v>7.6832498399259846E-2</v>
      </c>
      <c r="L114" s="30">
        <v>8.0881159079458906E-2</v>
      </c>
      <c r="N114" s="1"/>
      <c r="O114" s="1"/>
      <c r="P114" s="54">
        <f t="shared" si="114"/>
        <v>0.97417160393620705</v>
      </c>
      <c r="Q114" s="54">
        <f t="shared" si="115"/>
        <v>0.97270288923760495</v>
      </c>
      <c r="R114" s="1">
        <f t="shared" si="116"/>
        <v>0.94331314238204023</v>
      </c>
      <c r="S114" s="1">
        <f t="shared" si="117"/>
        <v>0.91170991597971318</v>
      </c>
      <c r="T114" s="61">
        <f t="shared" si="118"/>
        <v>0.87780328734821433</v>
      </c>
      <c r="U114" s="62">
        <f t="shared" si="119"/>
        <v>0.84171182881351903</v>
      </c>
      <c r="V114" s="63">
        <f t="shared" si="120"/>
        <v>0.80372121175800237</v>
      </c>
      <c r="W114" s="68">
        <f t="shared" si="121"/>
        <v>0.76420917012788614</v>
      </c>
      <c r="Y114" s="24"/>
      <c r="Z114" s="24"/>
      <c r="AA114" s="24">
        <f t="shared" si="85"/>
        <v>5.5353197567213713E-2</v>
      </c>
      <c r="AB114" s="24">
        <f t="shared" si="86"/>
        <v>5.8356981077321797E-2</v>
      </c>
      <c r="AC114" s="24">
        <f t="shared" si="87"/>
        <v>6.1622276058602078E-2</v>
      </c>
      <c r="AD114" s="24">
        <f t="shared" si="88"/>
        <v>6.5166378374790723E-2</v>
      </c>
      <c r="AE114" s="24">
        <f t="shared" si="89"/>
        <v>6.8927027753626038E-2</v>
      </c>
      <c r="AF114" s="24">
        <f t="shared" si="90"/>
        <v>7.2834273826720614E-2</v>
      </c>
      <c r="AG114" s="24">
        <f t="shared" si="91"/>
        <v>7.6832498399259846E-2</v>
      </c>
      <c r="AH114" s="24">
        <f t="shared" si="92"/>
        <v>8.0881159079458906E-2</v>
      </c>
      <c r="AL114" s="23">
        <f t="shared" si="72"/>
        <v>0</v>
      </c>
      <c r="AM114" s="23">
        <f t="shared" si="73"/>
        <v>0</v>
      </c>
      <c r="AN114" s="23">
        <f t="shared" si="74"/>
        <v>-6015.1055922486721</v>
      </c>
      <c r="AO114" s="23">
        <f t="shared" si="75"/>
        <v>-4545.142438707785</v>
      </c>
      <c r="AP114" s="23">
        <f t="shared" si="76"/>
        <v>-2867.7153256954361</v>
      </c>
      <c r="AQ114" s="23">
        <f t="shared" si="77"/>
        <v>-1156.043451881008</v>
      </c>
      <c r="AR114" s="23">
        <f t="shared" si="78"/>
        <v>537.50517128024637</v>
      </c>
      <c r="AS114" s="23">
        <f t="shared" si="79"/>
        <v>2159.7929121356406</v>
      </c>
      <c r="AT114" s="23">
        <f t="shared" si="80"/>
        <v>3669.039727108403</v>
      </c>
      <c r="AU114" s="23">
        <f t="shared" si="81"/>
        <v>5035.676490507436</v>
      </c>
      <c r="AW114" s="25"/>
      <c r="AX114" s="25"/>
      <c r="AY114" s="25">
        <f t="shared" si="94"/>
        <v>-3181.9925075011724</v>
      </c>
      <c r="AZ114" s="25">
        <f t="shared" si="95"/>
        <v>2833.1130847474951</v>
      </c>
      <c r="BA114" s="25">
        <f t="shared" si="96"/>
        <v>7378.2555234552819</v>
      </c>
      <c r="BB114" s="25">
        <f t="shared" si="97"/>
        <v>10245.970849150719</v>
      </c>
      <c r="BC114" s="25">
        <f t="shared" si="98"/>
        <v>11402.014301031726</v>
      </c>
      <c r="BD114" s="25">
        <f t="shared" si="99"/>
        <v>10864.509129751479</v>
      </c>
      <c r="BE114" s="25">
        <f t="shared" si="100"/>
        <v>8704.7162176158381</v>
      </c>
      <c r="BF114" s="25">
        <f t="shared" si="101"/>
        <v>5035.676490507436</v>
      </c>
      <c r="BG114" s="25">
        <f t="shared" si="102"/>
        <v>0</v>
      </c>
      <c r="BI114" s="25"/>
      <c r="BJ114" s="25"/>
      <c r="BK114" s="25">
        <f t="shared" si="105"/>
        <v>0</v>
      </c>
      <c r="BL114" s="25">
        <f t="shared" si="106"/>
        <v>2833.1130847474951</v>
      </c>
      <c r="BM114" s="25">
        <f t="shared" si="107"/>
        <v>7378.2555234552819</v>
      </c>
      <c r="BN114" s="25">
        <f t="shared" si="108"/>
        <v>10245.970849150719</v>
      </c>
      <c r="BO114" s="25">
        <f t="shared" si="109"/>
        <v>11402.014301031726</v>
      </c>
      <c r="BP114" s="25">
        <f t="shared" si="110"/>
        <v>10864.509129751479</v>
      </c>
      <c r="BQ114" s="25">
        <f t="shared" si="111"/>
        <v>8704.7162176158381</v>
      </c>
      <c r="BR114" s="25">
        <f t="shared" si="112"/>
        <v>5035.676490507436</v>
      </c>
      <c r="BS114" s="25">
        <f t="shared" si="113"/>
        <v>0</v>
      </c>
    </row>
    <row r="115" spans="1:71" x14ac:dyDescent="0.2">
      <c r="A115" s="29">
        <f t="shared" si="103"/>
        <v>1.0700000000000007</v>
      </c>
      <c r="B115" s="30">
        <v>4.288108297440843E-2</v>
      </c>
      <c r="C115" s="30">
        <v>4.7120537284223586E-2</v>
      </c>
      <c r="D115" s="30">
        <v>5.0742484080706571E-2</v>
      </c>
      <c r="E115" s="30">
        <v>5.3748417271764312E-2</v>
      </c>
      <c r="F115" s="30">
        <v>5.675389393781579E-2</v>
      </c>
      <c r="G115" s="30">
        <v>6.0028636120988396E-2</v>
      </c>
      <c r="H115" s="30">
        <v>6.3587915787904931E-2</v>
      </c>
      <c r="I115" s="30">
        <v>6.7368884619122216E-2</v>
      </c>
      <c r="J115" s="30">
        <v>7.1301443531519001E-2</v>
      </c>
      <c r="K115" s="30">
        <v>7.5329839689592684E-2</v>
      </c>
      <c r="L115" s="30">
        <v>7.9413293742592275E-2</v>
      </c>
      <c r="N115" s="1"/>
      <c r="O115" s="1"/>
      <c r="P115" s="54">
        <f t="shared" si="114"/>
        <v>0.97494790318722258</v>
      </c>
      <c r="Q115" s="54">
        <f t="shared" si="115"/>
        <v>0.97348368966398535</v>
      </c>
      <c r="R115" s="1">
        <f t="shared" si="116"/>
        <v>0.94482656830182288</v>
      </c>
      <c r="S115" s="1">
        <f t="shared" si="117"/>
        <v>0.91389192894835114</v>
      </c>
      <c r="T115" s="61">
        <f t="shared" si="118"/>
        <v>0.88057882542154575</v>
      </c>
      <c r="U115" s="62">
        <f t="shared" si="119"/>
        <v>0.84499699187055255</v>
      </c>
      <c r="V115" s="63">
        <f t="shared" si="120"/>
        <v>0.80742562725746236</v>
      </c>
      <c r="W115" s="68">
        <f t="shared" si="121"/>
        <v>0.76823896728550467</v>
      </c>
      <c r="Y115" s="24"/>
      <c r="Z115" s="24"/>
      <c r="AA115" s="24">
        <f t="shared" si="85"/>
        <v>5.3748417271764305E-2</v>
      </c>
      <c r="AB115" s="24">
        <f t="shared" si="86"/>
        <v>5.675389393781579E-2</v>
      </c>
      <c r="AC115" s="24">
        <f t="shared" si="87"/>
        <v>6.0028636120988396E-2</v>
      </c>
      <c r="AD115" s="24">
        <f t="shared" si="88"/>
        <v>6.3587915787904931E-2</v>
      </c>
      <c r="AE115" s="24">
        <f t="shared" si="89"/>
        <v>6.7368884619122216E-2</v>
      </c>
      <c r="AF115" s="24">
        <f t="shared" si="90"/>
        <v>7.1301443531519001E-2</v>
      </c>
      <c r="AG115" s="24">
        <f t="shared" si="91"/>
        <v>7.5329839689592684E-2</v>
      </c>
      <c r="AH115" s="24">
        <f t="shared" si="92"/>
        <v>7.9413293742592275E-2</v>
      </c>
      <c r="AL115" s="23">
        <f t="shared" si="72"/>
        <v>0</v>
      </c>
      <c r="AM115" s="23">
        <f t="shared" si="73"/>
        <v>0</v>
      </c>
      <c r="AN115" s="23">
        <f t="shared" si="74"/>
        <v>-6802.1875101964333</v>
      </c>
      <c r="AO115" s="23">
        <f t="shared" si="75"/>
        <v>-5329.0804714710357</v>
      </c>
      <c r="AP115" s="23">
        <f t="shared" si="76"/>
        <v>-3625.172886759935</v>
      </c>
      <c r="AQ115" s="23">
        <f t="shared" si="77"/>
        <v>-1880.0823421759201</v>
      </c>
      <c r="AR115" s="23">
        <f t="shared" si="78"/>
        <v>-146.82920946703376</v>
      </c>
      <c r="AS115" s="23">
        <f t="shared" si="79"/>
        <v>1520.6039915778199</v>
      </c>
      <c r="AT115" s="23">
        <f t="shared" si="80"/>
        <v>3079.3080497547408</v>
      </c>
      <c r="AU115" s="23">
        <f t="shared" si="81"/>
        <v>4498.3947426349987</v>
      </c>
      <c r="AW115" s="25"/>
      <c r="AX115" s="25"/>
      <c r="AY115" s="25">
        <f t="shared" si="94"/>
        <v>-8685.0456361027937</v>
      </c>
      <c r="AZ115" s="25">
        <f t="shared" si="95"/>
        <v>-1882.858125906364</v>
      </c>
      <c r="BA115" s="25">
        <f t="shared" si="96"/>
        <v>3446.2223455646699</v>
      </c>
      <c r="BB115" s="25">
        <f t="shared" si="97"/>
        <v>7071.3952323246058</v>
      </c>
      <c r="BC115" s="25">
        <f t="shared" si="98"/>
        <v>8951.4775745005245</v>
      </c>
      <c r="BD115" s="25">
        <f t="shared" si="99"/>
        <v>9098.3067839675605</v>
      </c>
      <c r="BE115" s="25">
        <f t="shared" si="100"/>
        <v>7577.7027923897394</v>
      </c>
      <c r="BF115" s="25">
        <f t="shared" si="101"/>
        <v>4498.3947426349987</v>
      </c>
      <c r="BG115" s="25">
        <f t="shared" si="102"/>
        <v>0</v>
      </c>
      <c r="BI115" s="25"/>
      <c r="BJ115" s="25"/>
      <c r="BK115" s="25">
        <f t="shared" si="105"/>
        <v>0</v>
      </c>
      <c r="BL115" s="25">
        <f t="shared" si="106"/>
        <v>0</v>
      </c>
      <c r="BM115" s="25">
        <f t="shared" si="107"/>
        <v>3446.2223455646699</v>
      </c>
      <c r="BN115" s="25">
        <f t="shared" si="108"/>
        <v>7071.3952323246058</v>
      </c>
      <c r="BO115" s="25">
        <f t="shared" si="109"/>
        <v>8951.4775745005245</v>
      </c>
      <c r="BP115" s="25">
        <f t="shared" si="110"/>
        <v>9098.3067839675605</v>
      </c>
      <c r="BQ115" s="25">
        <f t="shared" si="111"/>
        <v>7577.7027923897394</v>
      </c>
      <c r="BR115" s="25">
        <f t="shared" si="112"/>
        <v>4498.3947426349987</v>
      </c>
      <c r="BS115" s="25">
        <f t="shared" si="113"/>
        <v>0</v>
      </c>
    </row>
    <row r="116" spans="1:71" x14ac:dyDescent="0.2">
      <c r="A116" s="29">
        <f t="shared" si="103"/>
        <v>1.0800000000000007</v>
      </c>
      <c r="B116" s="30">
        <v>4.2638857688465197E-2</v>
      </c>
      <c r="C116" s="30">
        <v>4.6752177845480504E-2</v>
      </c>
      <c r="D116" s="30">
        <v>5.0263176692342093E-2</v>
      </c>
      <c r="E116" s="30">
        <v>5.3184992317193515E-2</v>
      </c>
      <c r="F116" s="30">
        <v>5.6125625188411681E-2</v>
      </c>
      <c r="G116" s="30">
        <v>5.9349066109148689E-2</v>
      </c>
      <c r="H116" s="30">
        <v>6.2868380528305845E-2</v>
      </c>
      <c r="I116" s="30">
        <v>6.6619929528300731E-2</v>
      </c>
      <c r="J116" s="30">
        <v>7.0533254255152417E-2</v>
      </c>
      <c r="K116" s="30">
        <v>7.4552253848698E-2</v>
      </c>
      <c r="L116" s="30">
        <v>7.86356990791761E-2</v>
      </c>
      <c r="N116" s="1"/>
      <c r="O116" s="1"/>
      <c r="P116" s="54">
        <f t="shared" si="114"/>
        <v>0.97518158105362018</v>
      </c>
      <c r="Q116" s="54">
        <f t="shared" si="115"/>
        <v>0.97375797079819248</v>
      </c>
      <c r="R116" s="1">
        <f t="shared" si="116"/>
        <v>0.94542035981908878</v>
      </c>
      <c r="S116" s="1">
        <f t="shared" si="117"/>
        <v>0.91482398423872602</v>
      </c>
      <c r="T116" s="61">
        <f t="shared" si="118"/>
        <v>0.88184695269247559</v>
      </c>
      <c r="U116" s="62">
        <f t="shared" si="119"/>
        <v>0.84658063600278055</v>
      </c>
      <c r="V116" s="63">
        <f t="shared" si="120"/>
        <v>0.80928854016250606</v>
      </c>
      <c r="W116" s="68">
        <f t="shared" si="121"/>
        <v>0.77033261608047809</v>
      </c>
      <c r="Y116" s="24"/>
      <c r="Z116" s="24"/>
      <c r="AA116" s="24">
        <f t="shared" si="85"/>
        <v>5.3184992317193515E-2</v>
      </c>
      <c r="AB116" s="24">
        <f t="shared" si="86"/>
        <v>5.6125625188411681E-2</v>
      </c>
      <c r="AC116" s="24">
        <f t="shared" si="87"/>
        <v>5.9349066109148682E-2</v>
      </c>
      <c r="AD116" s="24">
        <f t="shared" si="88"/>
        <v>6.2868380528305845E-2</v>
      </c>
      <c r="AE116" s="24">
        <f t="shared" si="89"/>
        <v>6.6619929528300731E-2</v>
      </c>
      <c r="AF116" s="24">
        <f t="shared" si="90"/>
        <v>7.0533254255152417E-2</v>
      </c>
      <c r="AG116" s="24">
        <f t="shared" si="91"/>
        <v>7.4552253848698E-2</v>
      </c>
      <c r="AH116" s="24">
        <f t="shared" si="92"/>
        <v>7.86356990791761E-2</v>
      </c>
      <c r="AL116" s="23">
        <f t="shared" si="72"/>
        <v>0</v>
      </c>
      <c r="AM116" s="23">
        <f t="shared" si="73"/>
        <v>0</v>
      </c>
      <c r="AN116" s="23">
        <f t="shared" si="74"/>
        <v>-7078.5386939171367</v>
      </c>
      <c r="AO116" s="23">
        <f t="shared" si="75"/>
        <v>-5636.4728026830262</v>
      </c>
      <c r="AP116" s="23">
        <f t="shared" si="76"/>
        <v>-3948.6908477706747</v>
      </c>
      <c r="AQ116" s="23">
        <f t="shared" si="77"/>
        <v>-2211.1238471528927</v>
      </c>
      <c r="AR116" s="23">
        <f t="shared" si="78"/>
        <v>-477.27254143497657</v>
      </c>
      <c r="AS116" s="23">
        <f t="shared" si="79"/>
        <v>1198.2867359092374</v>
      </c>
      <c r="AT116" s="23">
        <f t="shared" si="80"/>
        <v>2771.7670524461173</v>
      </c>
      <c r="AU116" s="23">
        <f t="shared" si="81"/>
        <v>4211.1507597417449</v>
      </c>
      <c r="AW116" s="25"/>
      <c r="AX116" s="25"/>
      <c r="AY116" s="25">
        <f t="shared" si="94"/>
        <v>-11170.894184861609</v>
      </c>
      <c r="AZ116" s="25">
        <f t="shared" si="95"/>
        <v>-4092.3554909444711</v>
      </c>
      <c r="BA116" s="25">
        <f t="shared" si="96"/>
        <v>1544.1173117385561</v>
      </c>
      <c r="BB116" s="25">
        <f t="shared" si="97"/>
        <v>5492.8081595092299</v>
      </c>
      <c r="BC116" s="25">
        <f t="shared" si="98"/>
        <v>7703.9320066621231</v>
      </c>
      <c r="BD116" s="25">
        <f t="shared" si="99"/>
        <v>8181.2045480970992</v>
      </c>
      <c r="BE116" s="25">
        <f t="shared" si="100"/>
        <v>6982.9178121878622</v>
      </c>
      <c r="BF116" s="25">
        <f t="shared" si="101"/>
        <v>4211.1507597417449</v>
      </c>
      <c r="BG116" s="25">
        <f t="shared" si="102"/>
        <v>0</v>
      </c>
      <c r="BI116" s="25"/>
      <c r="BJ116" s="25"/>
      <c r="BK116" s="25">
        <f t="shared" si="105"/>
        <v>0</v>
      </c>
      <c r="BL116" s="25">
        <f t="shared" si="106"/>
        <v>0</v>
      </c>
      <c r="BM116" s="25">
        <f t="shared" si="107"/>
        <v>1544.1173117385561</v>
      </c>
      <c r="BN116" s="25">
        <f t="shared" si="108"/>
        <v>5492.8081595092299</v>
      </c>
      <c r="BO116" s="25">
        <f t="shared" si="109"/>
        <v>7703.9320066621231</v>
      </c>
      <c r="BP116" s="25">
        <f t="shared" si="110"/>
        <v>8181.2045480970992</v>
      </c>
      <c r="BQ116" s="25">
        <f t="shared" si="111"/>
        <v>6982.9178121878622</v>
      </c>
      <c r="BR116" s="25">
        <f t="shared" si="112"/>
        <v>4211.1507597417449</v>
      </c>
      <c r="BS116" s="25">
        <f t="shared" si="113"/>
        <v>0</v>
      </c>
    </row>
    <row r="117" spans="1:71" x14ac:dyDescent="0.2">
      <c r="A117" s="29">
        <f t="shared" si="103"/>
        <v>1.0900000000000007</v>
      </c>
      <c r="B117" s="30">
        <v>4.3334502937475546E-2</v>
      </c>
      <c r="C117" s="30">
        <v>4.7441135806725147E-2</v>
      </c>
      <c r="D117" s="30">
        <v>5.0941722885892118E-2</v>
      </c>
      <c r="E117" s="30">
        <v>5.3861520831159013E-2</v>
      </c>
      <c r="F117" s="30">
        <v>5.6801868409969966E-2</v>
      </c>
      <c r="G117" s="30">
        <v>6.0021954084574815E-2</v>
      </c>
      <c r="H117" s="30">
        <v>6.3533523508192982E-2</v>
      </c>
      <c r="I117" s="30">
        <v>6.7273014185296298E-2</v>
      </c>
      <c r="J117" s="30">
        <v>7.1170466129616167E-2</v>
      </c>
      <c r="K117" s="30">
        <v>7.5170286822890273E-2</v>
      </c>
      <c r="L117" s="30">
        <v>7.9231653988705061E-2</v>
      </c>
      <c r="N117" s="1"/>
      <c r="O117" s="1"/>
      <c r="P117" s="54">
        <f t="shared" si="114"/>
        <v>0.97485078429709127</v>
      </c>
      <c r="Q117" s="54">
        <f t="shared" si="115"/>
        <v>0.97342863898545018</v>
      </c>
      <c r="R117" s="1">
        <f t="shared" si="116"/>
        <v>0.94478124183319678</v>
      </c>
      <c r="S117" s="1">
        <f t="shared" si="117"/>
        <v>0.91390108898297773</v>
      </c>
      <c r="T117" s="61">
        <f t="shared" si="118"/>
        <v>0.88067462401171648</v>
      </c>
      <c r="U117" s="62">
        <f t="shared" si="119"/>
        <v>0.84519954171324019</v>
      </c>
      <c r="V117" s="63">
        <f t="shared" si="120"/>
        <v>0.80774295312982092</v>
      </c>
      <c r="W117" s="68">
        <f t="shared" si="121"/>
        <v>0.76866809864874641</v>
      </c>
      <c r="Y117" s="24"/>
      <c r="Z117" s="24"/>
      <c r="AA117" s="24">
        <f t="shared" si="85"/>
        <v>5.3861520831159006E-2</v>
      </c>
      <c r="AB117" s="24">
        <f t="shared" si="86"/>
        <v>5.6801868409969966E-2</v>
      </c>
      <c r="AC117" s="24">
        <f t="shared" si="87"/>
        <v>6.0021954084574815E-2</v>
      </c>
      <c r="AD117" s="24">
        <f t="shared" si="88"/>
        <v>6.3533523508192982E-2</v>
      </c>
      <c r="AE117" s="24">
        <f t="shared" si="89"/>
        <v>6.7273014185296298E-2</v>
      </c>
      <c r="AF117" s="24">
        <f t="shared" si="90"/>
        <v>7.1170466129616167E-2</v>
      </c>
      <c r="AG117" s="24">
        <f t="shared" si="91"/>
        <v>7.5170286822890273E-2</v>
      </c>
      <c r="AH117" s="24">
        <f t="shared" si="92"/>
        <v>7.9231653988705061E-2</v>
      </c>
      <c r="AL117" s="23">
        <f t="shared" si="72"/>
        <v>0</v>
      </c>
      <c r="AM117" s="23">
        <f t="shared" si="73"/>
        <v>0</v>
      </c>
      <c r="AN117" s="23">
        <f t="shared" si="74"/>
        <v>-6746.3803673004049</v>
      </c>
      <c r="AO117" s="23">
        <f t="shared" si="75"/>
        <v>-5305.4292484399975</v>
      </c>
      <c r="AP117" s="23">
        <f t="shared" si="76"/>
        <v>-3628.1555065063153</v>
      </c>
      <c r="AQ117" s="23">
        <f t="shared" si="77"/>
        <v>-1904.9557682688728</v>
      </c>
      <c r="AR117" s="23">
        <f t="shared" si="78"/>
        <v>-189.06051221846207</v>
      </c>
      <c r="AS117" s="23">
        <f t="shared" si="79"/>
        <v>1465.6174676359146</v>
      </c>
      <c r="AT117" s="23">
        <f t="shared" si="80"/>
        <v>3016.0793949406475</v>
      </c>
      <c r="AU117" s="23">
        <f t="shared" si="81"/>
        <v>4431.0971632659339</v>
      </c>
      <c r="AW117" s="25"/>
      <c r="AX117" s="25"/>
      <c r="AY117" s="25">
        <f t="shared" si="94"/>
        <v>-8861.1873768915539</v>
      </c>
      <c r="AZ117" s="25">
        <f t="shared" si="95"/>
        <v>-2114.8070095911526</v>
      </c>
      <c r="BA117" s="25">
        <f t="shared" si="96"/>
        <v>3190.6222388488454</v>
      </c>
      <c r="BB117" s="25">
        <f t="shared" si="97"/>
        <v>6818.7777453551607</v>
      </c>
      <c r="BC117" s="25">
        <f t="shared" si="98"/>
        <v>8723.7335136240326</v>
      </c>
      <c r="BD117" s="25">
        <f t="shared" si="99"/>
        <v>8912.7940258424969</v>
      </c>
      <c r="BE117" s="25">
        <f t="shared" si="100"/>
        <v>7447.1765582065818</v>
      </c>
      <c r="BF117" s="25">
        <f t="shared" si="101"/>
        <v>4431.0971632659339</v>
      </c>
      <c r="BG117" s="25">
        <f t="shared" si="102"/>
        <v>0</v>
      </c>
      <c r="BI117" s="25"/>
      <c r="BJ117" s="25"/>
      <c r="BK117" s="25">
        <f t="shared" si="105"/>
        <v>0</v>
      </c>
      <c r="BL117" s="25">
        <f t="shared" si="106"/>
        <v>0</v>
      </c>
      <c r="BM117" s="25">
        <f t="shared" si="107"/>
        <v>3190.6222388488454</v>
      </c>
      <c r="BN117" s="25">
        <f t="shared" si="108"/>
        <v>6818.7777453551607</v>
      </c>
      <c r="BO117" s="25">
        <f t="shared" si="109"/>
        <v>8723.7335136240326</v>
      </c>
      <c r="BP117" s="25">
        <f t="shared" si="110"/>
        <v>8912.7940258424969</v>
      </c>
      <c r="BQ117" s="25">
        <f t="shared" si="111"/>
        <v>7447.1765582065818</v>
      </c>
      <c r="BR117" s="25">
        <f t="shared" si="112"/>
        <v>4431.0971632659339</v>
      </c>
      <c r="BS117" s="25">
        <f t="shared" si="113"/>
        <v>0</v>
      </c>
    </row>
    <row r="118" spans="1:71" x14ac:dyDescent="0.2">
      <c r="A118" s="29">
        <f t="shared" si="103"/>
        <v>1.1000000000000008</v>
      </c>
      <c r="B118" s="30">
        <v>4.5323391329717175E-2</v>
      </c>
      <c r="C118" s="30">
        <v>4.949299739511042E-2</v>
      </c>
      <c r="D118" s="30">
        <v>5.3045039854335299E-2</v>
      </c>
      <c r="E118" s="30">
        <v>5.601684442913072E-2</v>
      </c>
      <c r="F118" s="30">
        <v>5.9003451476105431E-2</v>
      </c>
      <c r="G118" s="30">
        <v>6.2259642870408208E-2</v>
      </c>
      <c r="H118" s="30">
        <v>6.5796198496828107E-2</v>
      </c>
      <c r="I118" s="30">
        <v>6.9549966833701155E-2</v>
      </c>
      <c r="J118" s="30">
        <v>7.3451813054851614E-2</v>
      </c>
      <c r="K118" s="30">
        <v>7.7446977059043534E-2</v>
      </c>
      <c r="L118" s="30">
        <v>8.1495368065930204E-2</v>
      </c>
      <c r="N118" s="1"/>
      <c r="O118" s="1"/>
      <c r="P118" s="54">
        <f t="shared" si="114"/>
        <v>0.97382611309545575</v>
      </c>
      <c r="Q118" s="54">
        <f t="shared" si="115"/>
        <v>0.97238017717226832</v>
      </c>
      <c r="R118" s="1">
        <f t="shared" si="116"/>
        <v>0.94270351543282671</v>
      </c>
      <c r="S118" s="1">
        <f t="shared" si="117"/>
        <v>0.91083869204932788</v>
      </c>
      <c r="T118" s="61">
        <f t="shared" si="118"/>
        <v>0.8766982671111806</v>
      </c>
      <c r="U118" s="62">
        <f t="shared" si="119"/>
        <v>0.84040201101828949</v>
      </c>
      <c r="V118" s="63">
        <f t="shared" si="120"/>
        <v>0.80223360203929406</v>
      </c>
      <c r="W118" s="68">
        <f t="shared" si="121"/>
        <v>0.7625673704564353</v>
      </c>
      <c r="Y118" s="24"/>
      <c r="Z118" s="24"/>
      <c r="AA118" s="24">
        <f t="shared" si="85"/>
        <v>5.601684442913072E-2</v>
      </c>
      <c r="AB118" s="24">
        <f t="shared" si="86"/>
        <v>5.9003451476105431E-2</v>
      </c>
      <c r="AC118" s="24">
        <f t="shared" si="87"/>
        <v>6.2259642870408208E-2</v>
      </c>
      <c r="AD118" s="24">
        <f t="shared" si="88"/>
        <v>6.5796198496828107E-2</v>
      </c>
      <c r="AE118" s="24">
        <f t="shared" si="89"/>
        <v>6.9549966833701155E-2</v>
      </c>
      <c r="AF118" s="24">
        <f t="shared" si="90"/>
        <v>7.3451813054851614E-2</v>
      </c>
      <c r="AG118" s="24">
        <f t="shared" si="91"/>
        <v>7.7446977059043534E-2</v>
      </c>
      <c r="AH118" s="24">
        <f t="shared" si="92"/>
        <v>8.1495368065930204E-2</v>
      </c>
      <c r="AL118" s="23">
        <f t="shared" si="72"/>
        <v>0</v>
      </c>
      <c r="AM118" s="23">
        <f t="shared" si="73"/>
        <v>0</v>
      </c>
      <c r="AN118" s="23">
        <f t="shared" si="74"/>
        <v>-5689.8340076036893</v>
      </c>
      <c r="AO118" s="23">
        <f t="shared" si="75"/>
        <v>-4229.327003694495</v>
      </c>
      <c r="AP118" s="23">
        <f t="shared" si="76"/>
        <v>-2565.4380646846967</v>
      </c>
      <c r="AQ118" s="23">
        <f t="shared" si="77"/>
        <v>-868.10647635775194</v>
      </c>
      <c r="AR118" s="23">
        <f t="shared" si="78"/>
        <v>809.89334039294749</v>
      </c>
      <c r="AS118" s="23">
        <f t="shared" si="79"/>
        <v>2415.9225859612202</v>
      </c>
      <c r="AT118" s="23">
        <f t="shared" si="80"/>
        <v>3908.7264060709267</v>
      </c>
      <c r="AU118" s="23">
        <f t="shared" si="81"/>
        <v>5259.045888951393</v>
      </c>
      <c r="AW118" s="25"/>
      <c r="AX118" s="25"/>
      <c r="AY118" s="25">
        <f t="shared" si="94"/>
        <v>-959.11733096414537</v>
      </c>
      <c r="AZ118" s="25">
        <f t="shared" si="95"/>
        <v>4730.7166766395439</v>
      </c>
      <c r="BA118" s="25">
        <f t="shared" si="96"/>
        <v>8960.0436803340381</v>
      </c>
      <c r="BB118" s="25">
        <f t="shared" si="97"/>
        <v>11525.481745018737</v>
      </c>
      <c r="BC118" s="25">
        <f t="shared" si="98"/>
        <v>12393.588221376487</v>
      </c>
      <c r="BD118" s="25">
        <f t="shared" si="99"/>
        <v>11583.694880983541</v>
      </c>
      <c r="BE118" s="25">
        <f t="shared" si="100"/>
        <v>9167.7722950223197</v>
      </c>
      <c r="BF118" s="25">
        <f t="shared" si="101"/>
        <v>5259.045888951393</v>
      </c>
      <c r="BG118" s="25">
        <f t="shared" si="102"/>
        <v>0</v>
      </c>
      <c r="BI118" s="25"/>
      <c r="BJ118" s="25"/>
      <c r="BK118" s="25">
        <f t="shared" si="105"/>
        <v>0</v>
      </c>
      <c r="BL118" s="25">
        <f t="shared" si="106"/>
        <v>4730.7166766395439</v>
      </c>
      <c r="BM118" s="25">
        <f t="shared" si="107"/>
        <v>8960.0436803340381</v>
      </c>
      <c r="BN118" s="25">
        <f t="shared" si="108"/>
        <v>11525.481745018737</v>
      </c>
      <c r="BO118" s="25">
        <f t="shared" si="109"/>
        <v>12393.588221376487</v>
      </c>
      <c r="BP118" s="25">
        <f t="shared" si="110"/>
        <v>11583.694880983541</v>
      </c>
      <c r="BQ118" s="25">
        <f t="shared" si="111"/>
        <v>9167.7722950223197</v>
      </c>
      <c r="BR118" s="25">
        <f t="shared" si="112"/>
        <v>5259.045888951393</v>
      </c>
      <c r="BS118" s="25">
        <f t="shared" si="113"/>
        <v>0</v>
      </c>
    </row>
    <row r="119" spans="1:71" x14ac:dyDescent="0.2">
      <c r="A119" s="29">
        <f t="shared" si="103"/>
        <v>1.1100000000000008</v>
      </c>
      <c r="B119" s="30">
        <v>4.5475323343793998E-2</v>
      </c>
      <c r="C119" s="30">
        <v>4.9693320975179547E-2</v>
      </c>
      <c r="D119" s="30">
        <v>5.3286570433699734E-2</v>
      </c>
      <c r="E119" s="30">
        <v>5.6303896391310809E-2</v>
      </c>
      <c r="F119" s="30">
        <v>5.9333875864449659E-2</v>
      </c>
      <c r="G119" s="30">
        <v>6.2626750191726227E-2</v>
      </c>
      <c r="H119" s="30">
        <v>6.6192158258533931E-2</v>
      </c>
      <c r="I119" s="30">
        <v>6.9967165034986428E-2</v>
      </c>
      <c r="J119" s="30">
        <v>7.38832582343283E-2</v>
      </c>
      <c r="K119" s="30">
        <v>7.7886305388119623E-2</v>
      </c>
      <c r="L119" s="30">
        <v>8.1936742897167555E-2</v>
      </c>
      <c r="N119" s="1"/>
      <c r="O119" s="1"/>
      <c r="P119" s="54">
        <f t="shared" si="114"/>
        <v>0.97370851580378615</v>
      </c>
      <c r="Q119" s="54">
        <f t="shared" si="115"/>
        <v>0.97224062536824152</v>
      </c>
      <c r="R119" s="1">
        <f t="shared" si="116"/>
        <v>0.94239207465699737</v>
      </c>
      <c r="S119" s="1">
        <f t="shared" si="117"/>
        <v>0.9103372667910743</v>
      </c>
      <c r="T119" s="61">
        <f t="shared" si="118"/>
        <v>0.87600426746951621</v>
      </c>
      <c r="U119" s="62">
        <f t="shared" si="119"/>
        <v>0.83952593245232787</v>
      </c>
      <c r="V119" s="63">
        <f t="shared" si="120"/>
        <v>0.80119591428099379</v>
      </c>
      <c r="W119" s="68">
        <f t="shared" si="121"/>
        <v>0.76139571041797305</v>
      </c>
      <c r="Y119" s="24"/>
      <c r="Z119" s="24"/>
      <c r="AA119" s="24">
        <f t="shared" si="85"/>
        <v>5.6303896391310809E-2</v>
      </c>
      <c r="AB119" s="24">
        <f t="shared" si="86"/>
        <v>5.9333875864449659E-2</v>
      </c>
      <c r="AC119" s="24">
        <f t="shared" si="87"/>
        <v>6.2626750191726227E-2</v>
      </c>
      <c r="AD119" s="24">
        <f t="shared" si="88"/>
        <v>6.6192158258533931E-2</v>
      </c>
      <c r="AE119" s="24">
        <f t="shared" si="89"/>
        <v>6.9967165034986428E-2</v>
      </c>
      <c r="AF119" s="24">
        <f t="shared" si="90"/>
        <v>7.38832582343283E-2</v>
      </c>
      <c r="AG119" s="24">
        <f t="shared" si="91"/>
        <v>7.7886305388119623E-2</v>
      </c>
      <c r="AH119" s="24">
        <f t="shared" si="92"/>
        <v>8.1936742897167555E-2</v>
      </c>
      <c r="AL119" s="23">
        <f t="shared" si="72"/>
        <v>0</v>
      </c>
      <c r="AM119" s="23">
        <f t="shared" si="73"/>
        <v>0</v>
      </c>
      <c r="AN119" s="23">
        <f t="shared" si="74"/>
        <v>-5549.3944446143742</v>
      </c>
      <c r="AO119" s="23">
        <f t="shared" si="75"/>
        <v>-4068.0940219659497</v>
      </c>
      <c r="AP119" s="23">
        <f t="shared" si="76"/>
        <v>-2391.6110063342026</v>
      </c>
      <c r="AQ119" s="23">
        <f t="shared" si="77"/>
        <v>-687.4001119704875</v>
      </c>
      <c r="AR119" s="23">
        <f t="shared" si="78"/>
        <v>991.98592628788788</v>
      </c>
      <c r="AS119" s="23">
        <f t="shared" si="79"/>
        <v>2594.5088114804817</v>
      </c>
      <c r="AT119" s="23">
        <f t="shared" si="80"/>
        <v>4079.6645064566587</v>
      </c>
      <c r="AU119" s="23">
        <f t="shared" si="81"/>
        <v>5418.99598706285</v>
      </c>
      <c r="AW119" s="25"/>
      <c r="AX119" s="25"/>
      <c r="AY119" s="25">
        <f t="shared" si="94"/>
        <v>388.65564640286357</v>
      </c>
      <c r="AZ119" s="25">
        <f t="shared" si="95"/>
        <v>5938.0500910172395</v>
      </c>
      <c r="BA119" s="25">
        <f t="shared" si="96"/>
        <v>10006.144112983187</v>
      </c>
      <c r="BB119" s="25">
        <f t="shared" si="97"/>
        <v>12397.755119317391</v>
      </c>
      <c r="BC119" s="25">
        <f t="shared" si="98"/>
        <v>13085.155231287878</v>
      </c>
      <c r="BD119" s="25">
        <f t="shared" si="99"/>
        <v>12093.16930499999</v>
      </c>
      <c r="BE119" s="25">
        <f t="shared" si="100"/>
        <v>9498.6604935195082</v>
      </c>
      <c r="BF119" s="25">
        <f t="shared" si="101"/>
        <v>5418.99598706285</v>
      </c>
      <c r="BG119" s="25">
        <f t="shared" si="102"/>
        <v>0</v>
      </c>
      <c r="BI119" s="25"/>
      <c r="BJ119" s="25"/>
      <c r="BK119" s="25">
        <f t="shared" si="105"/>
        <v>388.65564640286357</v>
      </c>
      <c r="BL119" s="25">
        <f t="shared" si="106"/>
        <v>5938.0500910172395</v>
      </c>
      <c r="BM119" s="25">
        <f t="shared" si="107"/>
        <v>10006.144112983187</v>
      </c>
      <c r="BN119" s="25">
        <f t="shared" si="108"/>
        <v>12397.755119317391</v>
      </c>
      <c r="BO119" s="25">
        <f t="shared" si="109"/>
        <v>13085.155231287878</v>
      </c>
      <c r="BP119" s="25">
        <f t="shared" si="110"/>
        <v>12093.16930499999</v>
      </c>
      <c r="BQ119" s="25">
        <f t="shared" si="111"/>
        <v>9498.6604935195082</v>
      </c>
      <c r="BR119" s="25">
        <f t="shared" si="112"/>
        <v>5418.99598706285</v>
      </c>
      <c r="BS119" s="25">
        <f t="shared" si="113"/>
        <v>0</v>
      </c>
    </row>
    <row r="120" spans="1:71" x14ac:dyDescent="0.2">
      <c r="A120" s="29">
        <f t="shared" si="103"/>
        <v>1.1200000000000008</v>
      </c>
      <c r="B120" s="30">
        <v>4.5275484879791772E-2</v>
      </c>
      <c r="C120" s="30">
        <v>4.9601108891668445E-2</v>
      </c>
      <c r="D120" s="30">
        <v>5.3291480462250351E-2</v>
      </c>
      <c r="E120" s="30">
        <v>5.6406658443435218E-2</v>
      </c>
      <c r="F120" s="30">
        <v>5.9528889443092675E-2</v>
      </c>
      <c r="G120" s="30">
        <v>6.2904036729568638E-2</v>
      </c>
      <c r="H120" s="30">
        <v>6.6540719814216234E-2</v>
      </c>
      <c r="I120" s="30">
        <v>7.0376322755411572E-2</v>
      </c>
      <c r="J120" s="30">
        <v>7.4343050383219006E-2</v>
      </c>
      <c r="K120" s="30">
        <v>7.8387490328493681E-2</v>
      </c>
      <c r="L120" s="30">
        <v>8.2470699110665929E-2</v>
      </c>
      <c r="N120" s="1"/>
      <c r="O120" s="1"/>
      <c r="P120" s="54">
        <f t="shared" si="114"/>
        <v>0.97370612533841416</v>
      </c>
      <c r="Q120" s="54">
        <f t="shared" si="115"/>
        <v>0.9721906719306711</v>
      </c>
      <c r="R120" s="1">
        <f t="shared" si="116"/>
        <v>0.94220831332459354</v>
      </c>
      <c r="S120" s="1">
        <f t="shared" si="117"/>
        <v>0.90995870911977517</v>
      </c>
      <c r="T120" s="61">
        <f t="shared" si="118"/>
        <v>0.87539379746010848</v>
      </c>
      <c r="U120" s="62">
        <f t="shared" si="119"/>
        <v>0.83866762521405736</v>
      </c>
      <c r="V120" s="63">
        <f t="shared" si="120"/>
        <v>0.80009152536680084</v>
      </c>
      <c r="W120" s="68">
        <f t="shared" si="121"/>
        <v>0.76006128093003844</v>
      </c>
      <c r="Y120" s="24"/>
      <c r="Z120" s="24"/>
      <c r="AA120" s="24">
        <f t="shared" si="85"/>
        <v>5.6406658443435211E-2</v>
      </c>
      <c r="AB120" s="24">
        <f t="shared" si="86"/>
        <v>5.9528889443092675E-2</v>
      </c>
      <c r="AC120" s="24">
        <f t="shared" si="87"/>
        <v>6.2904036729568638E-2</v>
      </c>
      <c r="AD120" s="24">
        <f t="shared" si="88"/>
        <v>6.6540719814216234E-2</v>
      </c>
      <c r="AE120" s="24">
        <f t="shared" si="89"/>
        <v>7.0376322755411572E-2</v>
      </c>
      <c r="AF120" s="24">
        <f t="shared" si="90"/>
        <v>7.4343050383219006E-2</v>
      </c>
      <c r="AG120" s="24">
        <f t="shared" si="91"/>
        <v>7.8387490328493681E-2</v>
      </c>
      <c r="AH120" s="24">
        <f t="shared" si="92"/>
        <v>8.2470699110665929E-2</v>
      </c>
      <c r="AL120" s="23">
        <f t="shared" si="72"/>
        <v>0</v>
      </c>
      <c r="AM120" s="23">
        <f t="shared" si="73"/>
        <v>0</v>
      </c>
      <c r="AN120" s="23">
        <f t="shared" si="74"/>
        <v>-5499.3508009855786</v>
      </c>
      <c r="AO120" s="23">
        <f t="shared" si="75"/>
        <v>-3973.0898134625158</v>
      </c>
      <c r="AP120" s="23">
        <f t="shared" si="76"/>
        <v>-2260.5138146229592</v>
      </c>
      <c r="AQ120" s="23">
        <f t="shared" si="77"/>
        <v>-528.52594959706528</v>
      </c>
      <c r="AR120" s="23">
        <f t="shared" si="78"/>
        <v>1170.3816962810395</v>
      </c>
      <c r="AS120" s="23">
        <f t="shared" si="79"/>
        <v>2784.6626548754207</v>
      </c>
      <c r="AT120" s="23">
        <f t="shared" si="80"/>
        <v>4274.5379044063666</v>
      </c>
      <c r="AU120" s="23">
        <f t="shared" si="81"/>
        <v>5612.4183240678094</v>
      </c>
      <c r="AW120" s="25"/>
      <c r="AX120" s="25"/>
      <c r="AY120" s="25">
        <f t="shared" si="94"/>
        <v>1580.5202009625164</v>
      </c>
      <c r="AZ120" s="25">
        <f t="shared" si="95"/>
        <v>7079.8710019480968</v>
      </c>
      <c r="BA120" s="25">
        <f t="shared" si="96"/>
        <v>11052.960815410612</v>
      </c>
      <c r="BB120" s="25">
        <f t="shared" si="97"/>
        <v>13313.474630033572</v>
      </c>
      <c r="BC120" s="25">
        <f t="shared" si="98"/>
        <v>13842.000579630636</v>
      </c>
      <c r="BD120" s="25">
        <f t="shared" si="99"/>
        <v>12671.618883349598</v>
      </c>
      <c r="BE120" s="25">
        <f t="shared" si="100"/>
        <v>9886.9562284741769</v>
      </c>
      <c r="BF120" s="25">
        <f t="shared" si="101"/>
        <v>5612.4183240678094</v>
      </c>
      <c r="BG120" s="25">
        <f t="shared" si="102"/>
        <v>0</v>
      </c>
      <c r="BI120" s="25"/>
      <c r="BJ120" s="25"/>
      <c r="BK120" s="25">
        <f t="shared" si="105"/>
        <v>1580.5202009625164</v>
      </c>
      <c r="BL120" s="25">
        <f t="shared" si="106"/>
        <v>7079.8710019480968</v>
      </c>
      <c r="BM120" s="25">
        <f t="shared" si="107"/>
        <v>11052.960815410612</v>
      </c>
      <c r="BN120" s="25">
        <f t="shared" si="108"/>
        <v>13313.474630033572</v>
      </c>
      <c r="BO120" s="25">
        <f t="shared" si="109"/>
        <v>13842.000579630636</v>
      </c>
      <c r="BP120" s="25">
        <f t="shared" si="110"/>
        <v>12671.618883349598</v>
      </c>
      <c r="BQ120" s="25">
        <f t="shared" si="111"/>
        <v>9886.9562284741769</v>
      </c>
      <c r="BR120" s="25">
        <f t="shared" si="112"/>
        <v>5612.4183240678094</v>
      </c>
      <c r="BS120" s="25">
        <f t="shared" si="113"/>
        <v>0</v>
      </c>
    </row>
    <row r="121" spans="1:71" x14ac:dyDescent="0.2">
      <c r="A121" s="29">
        <f t="shared" si="103"/>
        <v>1.1300000000000008</v>
      </c>
      <c r="B121" s="30">
        <v>4.3190345649463439E-2</v>
      </c>
      <c r="C121" s="30">
        <v>4.7490389836161745E-2</v>
      </c>
      <c r="D121" s="30">
        <v>5.1166631455074954E-2</v>
      </c>
      <c r="E121" s="30">
        <v>5.4289034002653482E-2</v>
      </c>
      <c r="F121" s="30">
        <v>5.7432574481347094E-2</v>
      </c>
      <c r="G121" s="30">
        <v>6.0837827019543496E-2</v>
      </c>
      <c r="H121" s="30">
        <v>6.4511440280182977E-2</v>
      </c>
      <c r="I121" s="30">
        <v>6.8390147126856565E-2</v>
      </c>
      <c r="J121" s="30">
        <v>7.2405891322479224E-2</v>
      </c>
      <c r="K121" s="30">
        <v>7.6505000353969121E-2</v>
      </c>
      <c r="L121" s="30">
        <v>8.0648171088700094E-2</v>
      </c>
      <c r="N121" s="1"/>
      <c r="O121" s="1"/>
      <c r="P121" s="54">
        <f t="shared" si="114"/>
        <v>0.97474116431329361</v>
      </c>
      <c r="Q121" s="54">
        <f t="shared" si="115"/>
        <v>0.97322058444041881</v>
      </c>
      <c r="R121" s="1">
        <f t="shared" si="116"/>
        <v>0.94418555044068497</v>
      </c>
      <c r="S121" s="1">
        <f t="shared" si="117"/>
        <v>0.91278333233742082</v>
      </c>
      <c r="T121" s="61">
        <f t="shared" si="118"/>
        <v>0.87895385435878293</v>
      </c>
      <c r="U121" s="62">
        <f t="shared" si="119"/>
        <v>0.84284233426242561</v>
      </c>
      <c r="V121" s="63">
        <f t="shared" si="120"/>
        <v>0.80475477607326806</v>
      </c>
      <c r="W121" s="68">
        <f t="shared" si="121"/>
        <v>0.76508564188973749</v>
      </c>
      <c r="Y121" s="24"/>
      <c r="Z121" s="24"/>
      <c r="AA121" s="24">
        <f t="shared" si="85"/>
        <v>5.4289034002653482E-2</v>
      </c>
      <c r="AB121" s="24">
        <f t="shared" si="86"/>
        <v>5.7432574481347094E-2</v>
      </c>
      <c r="AC121" s="24">
        <f t="shared" si="87"/>
        <v>6.0837827019543503E-2</v>
      </c>
      <c r="AD121" s="24">
        <f t="shared" si="88"/>
        <v>6.4511440280182977E-2</v>
      </c>
      <c r="AE121" s="24">
        <f t="shared" si="89"/>
        <v>6.8390147126856565E-2</v>
      </c>
      <c r="AF121" s="24">
        <f t="shared" si="90"/>
        <v>7.2405891322479224E-2</v>
      </c>
      <c r="AG121" s="24">
        <f t="shared" si="91"/>
        <v>7.6505000353969121E-2</v>
      </c>
      <c r="AH121" s="24">
        <f t="shared" si="92"/>
        <v>8.0648171088700094E-2</v>
      </c>
      <c r="AL121" s="23">
        <f t="shared" si="72"/>
        <v>0</v>
      </c>
      <c r="AM121" s="23">
        <f t="shared" si="73"/>
        <v>0</v>
      </c>
      <c r="AN121" s="23">
        <f t="shared" si="74"/>
        <v>-6537.2644073073716</v>
      </c>
      <c r="AO121" s="23">
        <f t="shared" si="75"/>
        <v>-4997.3872334989192</v>
      </c>
      <c r="AP121" s="23">
        <f t="shared" si="76"/>
        <v>-3240.7002101744997</v>
      </c>
      <c r="AQ121" s="23">
        <f t="shared" si="77"/>
        <v>-1456.3128264989411</v>
      </c>
      <c r="AR121" s="23">
        <f t="shared" si="78"/>
        <v>302.26304971143225</v>
      </c>
      <c r="AS121" s="23">
        <f t="shared" si="79"/>
        <v>1982.1642809601387</v>
      </c>
      <c r="AT121" s="23">
        <f t="shared" si="80"/>
        <v>3541.9802075355533</v>
      </c>
      <c r="AU121" s="23">
        <f t="shared" si="81"/>
        <v>4952.3240263870084</v>
      </c>
      <c r="AW121" s="25"/>
      <c r="AX121" s="25"/>
      <c r="AY121" s="25">
        <f t="shared" si="94"/>
        <v>-5452.9331128856011</v>
      </c>
      <c r="AZ121" s="25">
        <f t="shared" si="95"/>
        <v>1084.3312944217719</v>
      </c>
      <c r="BA121" s="25">
        <f t="shared" si="96"/>
        <v>6081.7185279206915</v>
      </c>
      <c r="BB121" s="25">
        <f t="shared" si="97"/>
        <v>9322.4187380951917</v>
      </c>
      <c r="BC121" s="25">
        <f t="shared" si="98"/>
        <v>10778.731564594133</v>
      </c>
      <c r="BD121" s="25">
        <f t="shared" si="99"/>
        <v>10476.468514882701</v>
      </c>
      <c r="BE121" s="25">
        <f t="shared" si="100"/>
        <v>8494.3042339225613</v>
      </c>
      <c r="BF121" s="25">
        <f t="shared" si="101"/>
        <v>4952.3240263870084</v>
      </c>
      <c r="BG121" s="25">
        <f t="shared" si="102"/>
        <v>0</v>
      </c>
      <c r="BI121" s="25"/>
      <c r="BJ121" s="25"/>
      <c r="BK121" s="25">
        <f t="shared" si="105"/>
        <v>0</v>
      </c>
      <c r="BL121" s="25">
        <f t="shared" si="106"/>
        <v>1084.3312944217719</v>
      </c>
      <c r="BM121" s="25">
        <f t="shared" si="107"/>
        <v>6081.7185279206915</v>
      </c>
      <c r="BN121" s="25">
        <f t="shared" si="108"/>
        <v>9322.4187380951917</v>
      </c>
      <c r="BO121" s="25">
        <f t="shared" si="109"/>
        <v>10778.731564594133</v>
      </c>
      <c r="BP121" s="25">
        <f t="shared" si="110"/>
        <v>10476.468514882701</v>
      </c>
      <c r="BQ121" s="25">
        <f t="shared" si="111"/>
        <v>8494.3042339225613</v>
      </c>
      <c r="BR121" s="25">
        <f t="shared" si="112"/>
        <v>4952.3240263870084</v>
      </c>
      <c r="BS121" s="25">
        <f t="shared" si="113"/>
        <v>0</v>
      </c>
    </row>
    <row r="122" spans="1:71" x14ac:dyDescent="0.2">
      <c r="A122" s="29">
        <f t="shared" si="103"/>
        <v>1.1400000000000008</v>
      </c>
      <c r="B122" s="30">
        <v>4.3391470065916385E-2</v>
      </c>
      <c r="C122" s="30">
        <v>4.7668398854583419E-2</v>
      </c>
      <c r="D122" s="30">
        <v>5.1321420890197138E-2</v>
      </c>
      <c r="E122" s="30">
        <v>5.443071082330049E-2</v>
      </c>
      <c r="F122" s="30">
        <v>5.7564665654771925E-2</v>
      </c>
      <c r="G122" s="30">
        <v>6.095928673341116E-2</v>
      </c>
      <c r="H122" s="30">
        <v>6.4619928261357498E-2</v>
      </c>
      <c r="I122" s="30">
        <v>6.8483329704508905E-2</v>
      </c>
      <c r="J122" s="30">
        <v>7.2481823771634521E-2</v>
      </c>
      <c r="K122" s="30">
        <v>7.6562125810092432E-2</v>
      </c>
      <c r="L122" s="30">
        <v>8.0685221513641922E-2</v>
      </c>
      <c r="N122" s="1"/>
      <c r="O122" s="1"/>
      <c r="P122" s="54">
        <f t="shared" si="114"/>
        <v>0.97466572741543278</v>
      </c>
      <c r="Q122" s="54">
        <f t="shared" si="115"/>
        <v>0.97315164548311484</v>
      </c>
      <c r="R122" s="1">
        <f t="shared" si="116"/>
        <v>0.94406084010014546</v>
      </c>
      <c r="S122" s="1">
        <f t="shared" si="117"/>
        <v>0.91261704788197417</v>
      </c>
      <c r="T122" s="61">
        <f t="shared" si="118"/>
        <v>0.87876316318882119</v>
      </c>
      <c r="U122" s="62">
        <f t="shared" si="119"/>
        <v>0.84264601157747798</v>
      </c>
      <c r="V122" s="63">
        <f t="shared" si="120"/>
        <v>0.80457147594835177</v>
      </c>
      <c r="W122" s="68">
        <f t="shared" si="121"/>
        <v>0.76493268664918113</v>
      </c>
      <c r="Y122" s="24"/>
      <c r="Z122" s="24"/>
      <c r="AA122" s="24">
        <f t="shared" si="85"/>
        <v>5.4430710823300497E-2</v>
      </c>
      <c r="AB122" s="24">
        <f t="shared" si="86"/>
        <v>5.7564665654771925E-2</v>
      </c>
      <c r="AC122" s="24">
        <f t="shared" si="87"/>
        <v>6.0959286733411153E-2</v>
      </c>
      <c r="AD122" s="24">
        <f t="shared" si="88"/>
        <v>6.4619928261357498E-2</v>
      </c>
      <c r="AE122" s="24">
        <f t="shared" si="89"/>
        <v>6.8483329704508905E-2</v>
      </c>
      <c r="AF122" s="24">
        <f t="shared" si="90"/>
        <v>7.2481823771634521E-2</v>
      </c>
      <c r="AG122" s="24">
        <f t="shared" si="91"/>
        <v>7.6562125810092432E-2</v>
      </c>
      <c r="AH122" s="24">
        <f t="shared" si="92"/>
        <v>8.0685221513641922E-2</v>
      </c>
      <c r="AL122" s="23">
        <f t="shared" si="72"/>
        <v>0</v>
      </c>
      <c r="AM122" s="23">
        <f t="shared" si="73"/>
        <v>0</v>
      </c>
      <c r="AN122" s="23">
        <f t="shared" si="74"/>
        <v>-6467.7147064264436</v>
      </c>
      <c r="AO122" s="23">
        <f t="shared" si="75"/>
        <v>-4932.7608676837917</v>
      </c>
      <c r="AP122" s="23">
        <f t="shared" si="76"/>
        <v>-3182.9394907956616</v>
      </c>
      <c r="AQ122" s="23">
        <f t="shared" si="77"/>
        <v>-1406.5435351033022</v>
      </c>
      <c r="AR122" s="23">
        <f t="shared" si="78"/>
        <v>343.14018135580886</v>
      </c>
      <c r="AS122" s="23">
        <f t="shared" si="79"/>
        <v>2013.6946645131413</v>
      </c>
      <c r="AT122" s="23">
        <f t="shared" si="80"/>
        <v>3564.1542020057655</v>
      </c>
      <c r="AU122" s="23">
        <f t="shared" si="81"/>
        <v>4965.5045027216302</v>
      </c>
      <c r="AW122" s="25"/>
      <c r="AX122" s="25"/>
      <c r="AY122" s="25">
        <f t="shared" si="94"/>
        <v>-5103.4650494128518</v>
      </c>
      <c r="AZ122" s="25">
        <f t="shared" si="95"/>
        <v>1364.2496570135904</v>
      </c>
      <c r="BA122" s="25">
        <f t="shared" si="96"/>
        <v>6297.0105246973817</v>
      </c>
      <c r="BB122" s="25">
        <f t="shared" si="97"/>
        <v>9479.9500154930429</v>
      </c>
      <c r="BC122" s="25">
        <f t="shared" si="98"/>
        <v>10886.493550596346</v>
      </c>
      <c r="BD122" s="25">
        <f t="shared" si="99"/>
        <v>10543.353369240536</v>
      </c>
      <c r="BE122" s="25">
        <f t="shared" si="100"/>
        <v>8529.6587047273952</v>
      </c>
      <c r="BF122" s="25">
        <f t="shared" si="101"/>
        <v>4965.5045027216302</v>
      </c>
      <c r="BG122" s="25">
        <f t="shared" si="102"/>
        <v>0</v>
      </c>
      <c r="BI122" s="25"/>
      <c r="BJ122" s="25"/>
      <c r="BK122" s="25">
        <f t="shared" si="105"/>
        <v>0</v>
      </c>
      <c r="BL122" s="25">
        <f t="shared" si="106"/>
        <v>1364.2496570135904</v>
      </c>
      <c r="BM122" s="25">
        <f t="shared" si="107"/>
        <v>6297.0105246973817</v>
      </c>
      <c r="BN122" s="25">
        <f t="shared" si="108"/>
        <v>9479.9500154930429</v>
      </c>
      <c r="BO122" s="25">
        <f t="shared" si="109"/>
        <v>10886.493550596346</v>
      </c>
      <c r="BP122" s="25">
        <f t="shared" si="110"/>
        <v>10543.353369240536</v>
      </c>
      <c r="BQ122" s="25">
        <f t="shared" si="111"/>
        <v>8529.6587047273952</v>
      </c>
      <c r="BR122" s="25">
        <f t="shared" si="112"/>
        <v>4965.5045027216302</v>
      </c>
      <c r="BS122" s="25">
        <f t="shared" si="113"/>
        <v>0</v>
      </c>
    </row>
    <row r="123" spans="1:71" x14ac:dyDescent="0.2">
      <c r="A123" s="29">
        <f t="shared" si="103"/>
        <v>1.1500000000000008</v>
      </c>
      <c r="B123" s="30">
        <v>4.5253968559907806E-2</v>
      </c>
      <c r="C123" s="30">
        <v>4.9467371587471304E-2</v>
      </c>
      <c r="D123" s="30">
        <v>5.3057555905286158E-2</v>
      </c>
      <c r="E123" s="30">
        <v>5.6114608888788151E-2</v>
      </c>
      <c r="F123" s="30">
        <v>5.9200425075637671E-2</v>
      </c>
      <c r="G123" s="30">
        <v>6.2546535995335786E-2</v>
      </c>
      <c r="H123" s="30">
        <v>6.6157064804396551E-2</v>
      </c>
      <c r="I123" s="30">
        <v>6.9968802611809419E-2</v>
      </c>
      <c r="J123" s="30">
        <v>7.3914508444403018E-2</v>
      </c>
      <c r="K123" s="30">
        <v>7.7941320923207852E-2</v>
      </c>
      <c r="L123" s="30">
        <v>8.2010550457109838E-2</v>
      </c>
      <c r="N123" s="1"/>
      <c r="O123" s="1"/>
      <c r="P123" s="54">
        <f t="shared" si="114"/>
        <v>0.97382001888590031</v>
      </c>
      <c r="Q123" s="54">
        <f t="shared" si="115"/>
        <v>0.97233264622268578</v>
      </c>
      <c r="R123" s="1">
        <f t="shared" si="116"/>
        <v>0.94251784601468724</v>
      </c>
      <c r="S123" s="1">
        <f t="shared" si="117"/>
        <v>0.91044680633936215</v>
      </c>
      <c r="T123" s="61">
        <f t="shared" si="118"/>
        <v>0.87606575365842299</v>
      </c>
      <c r="U123" s="62">
        <f t="shared" si="119"/>
        <v>0.83952249548884006</v>
      </c>
      <c r="V123" s="63">
        <f t="shared" si="120"/>
        <v>0.80112080517991469</v>
      </c>
      <c r="W123" s="68">
        <f t="shared" si="121"/>
        <v>0.76124911445879373</v>
      </c>
      <c r="Y123" s="24"/>
      <c r="Z123" s="24"/>
      <c r="AA123" s="24">
        <f t="shared" si="85"/>
        <v>5.6114608888788144E-2</v>
      </c>
      <c r="AB123" s="24">
        <f t="shared" si="86"/>
        <v>5.9200425075637671E-2</v>
      </c>
      <c r="AC123" s="24">
        <f t="shared" si="87"/>
        <v>6.2546535995335786E-2</v>
      </c>
      <c r="AD123" s="24">
        <f t="shared" si="88"/>
        <v>6.6157064804396551E-2</v>
      </c>
      <c r="AE123" s="24">
        <f t="shared" si="89"/>
        <v>6.9968802611809419E-2</v>
      </c>
      <c r="AF123" s="24">
        <f t="shared" si="90"/>
        <v>7.3914508444403018E-2</v>
      </c>
      <c r="AG123" s="24">
        <f t="shared" si="91"/>
        <v>7.7941320923207852E-2</v>
      </c>
      <c r="AH123" s="24">
        <f t="shared" si="92"/>
        <v>8.2010550457109838E-2</v>
      </c>
      <c r="AL123" s="23">
        <f t="shared" si="72"/>
        <v>0</v>
      </c>
      <c r="AM123" s="23">
        <f t="shared" si="73"/>
        <v>0</v>
      </c>
      <c r="AN123" s="23">
        <f t="shared" si="74"/>
        <v>-5642.1959066139534</v>
      </c>
      <c r="AO123" s="23">
        <f t="shared" si="75"/>
        <v>-4133.3583391781331</v>
      </c>
      <c r="AP123" s="23">
        <f t="shared" si="76"/>
        <v>-2429.7318458075706</v>
      </c>
      <c r="AQ123" s="23">
        <f t="shared" si="77"/>
        <v>-703.45818743927441</v>
      </c>
      <c r="AR123" s="23">
        <f t="shared" si="78"/>
        <v>992.77286564332849</v>
      </c>
      <c r="AS123" s="23">
        <f t="shared" si="79"/>
        <v>2607.6158169067212</v>
      </c>
      <c r="AT123" s="23">
        <f t="shared" si="80"/>
        <v>4101.3190981496118</v>
      </c>
      <c r="AU123" s="23">
        <f t="shared" si="81"/>
        <v>5446.0456059666358</v>
      </c>
      <c r="AW123" s="25"/>
      <c r="AX123" s="25"/>
      <c r="AY123" s="25">
        <f t="shared" si="94"/>
        <v>239.00910762736385</v>
      </c>
      <c r="AZ123" s="25">
        <f t="shared" si="95"/>
        <v>5881.2050142413191</v>
      </c>
      <c r="BA123" s="25">
        <f t="shared" si="96"/>
        <v>10014.563353419453</v>
      </c>
      <c r="BB123" s="25">
        <f t="shared" si="97"/>
        <v>12444.295199227023</v>
      </c>
      <c r="BC123" s="25">
        <f t="shared" si="98"/>
        <v>13147.753386666296</v>
      </c>
      <c r="BD123" s="25">
        <f t="shared" si="99"/>
        <v>12154.980521022968</v>
      </c>
      <c r="BE123" s="25">
        <f t="shared" si="100"/>
        <v>9547.3647041162476</v>
      </c>
      <c r="BF123" s="25">
        <f t="shared" si="101"/>
        <v>5446.0456059666358</v>
      </c>
      <c r="BG123" s="25">
        <f t="shared" si="102"/>
        <v>0</v>
      </c>
      <c r="BI123" s="25"/>
      <c r="BJ123" s="25"/>
      <c r="BK123" s="25">
        <f t="shared" si="105"/>
        <v>239.00910762736385</v>
      </c>
      <c r="BL123" s="25">
        <f t="shared" si="106"/>
        <v>5881.2050142413191</v>
      </c>
      <c r="BM123" s="25">
        <f t="shared" si="107"/>
        <v>10014.563353419453</v>
      </c>
      <c r="BN123" s="25">
        <f t="shared" si="108"/>
        <v>12444.295199227023</v>
      </c>
      <c r="BO123" s="25">
        <f t="shared" si="109"/>
        <v>13147.753386666296</v>
      </c>
      <c r="BP123" s="25">
        <f t="shared" si="110"/>
        <v>12154.980521022968</v>
      </c>
      <c r="BQ123" s="25">
        <f t="shared" si="111"/>
        <v>9547.3647041162476</v>
      </c>
      <c r="BR123" s="25">
        <f t="shared" si="112"/>
        <v>5446.0456059666358</v>
      </c>
      <c r="BS123" s="25">
        <f t="shared" si="113"/>
        <v>0</v>
      </c>
    </row>
    <row r="124" spans="1:71" x14ac:dyDescent="0.2">
      <c r="A124" s="29">
        <f t="shared" si="103"/>
        <v>1.1600000000000008</v>
      </c>
      <c r="B124" s="30">
        <v>4.5727078679069368E-2</v>
      </c>
      <c r="C124" s="30">
        <v>4.9926368957909709E-2</v>
      </c>
      <c r="D124" s="30">
        <v>5.3499757720631709E-2</v>
      </c>
      <c r="E124" s="30">
        <v>5.6547029634363859E-2</v>
      </c>
      <c r="F124" s="30">
        <v>5.962373029698894E-2</v>
      </c>
      <c r="G124" s="30">
        <v>6.295709906474492E-2</v>
      </c>
      <c r="H124" s="30">
        <v>6.655016657285702E-2</v>
      </c>
      <c r="I124" s="30">
        <v>7.0339895937467589E-2</v>
      </c>
      <c r="J124" s="30">
        <v>7.4259585313139115E-2</v>
      </c>
      <c r="K124" s="30">
        <v>7.8256907493965647E-2</v>
      </c>
      <c r="L124" s="30">
        <v>8.2293608980235272E-2</v>
      </c>
      <c r="N124" s="1"/>
      <c r="O124" s="1"/>
      <c r="P124" s="54">
        <f t="shared" si="114"/>
        <v>0.97360473019695393</v>
      </c>
      <c r="Q124" s="54">
        <f t="shared" si="115"/>
        <v>0.97212244054391506</v>
      </c>
      <c r="R124" s="1">
        <f t="shared" si="116"/>
        <v>0.94211895772095755</v>
      </c>
      <c r="S124" s="1">
        <f t="shared" si="117"/>
        <v>0.90988628520102033</v>
      </c>
      <c r="T124" s="61">
        <f t="shared" si="118"/>
        <v>0.87537725834850943</v>
      </c>
      <c r="U124" s="62">
        <f t="shared" si="119"/>
        <v>0.8387440036740329</v>
      </c>
      <c r="V124" s="63">
        <f t="shared" si="120"/>
        <v>0.80029188953657338</v>
      </c>
      <c r="W124" s="68">
        <f t="shared" si="121"/>
        <v>0.76040873867269576</v>
      </c>
      <c r="Y124" s="24"/>
      <c r="Z124" s="24"/>
      <c r="AA124" s="24">
        <f t="shared" si="85"/>
        <v>5.6547029634363859E-2</v>
      </c>
      <c r="AB124" s="24">
        <f t="shared" si="86"/>
        <v>5.962373029698894E-2</v>
      </c>
      <c r="AC124" s="24">
        <f t="shared" si="87"/>
        <v>6.295709906474492E-2</v>
      </c>
      <c r="AD124" s="24">
        <f t="shared" si="88"/>
        <v>6.655016657285702E-2</v>
      </c>
      <c r="AE124" s="24">
        <f t="shared" si="89"/>
        <v>7.0339895937467589E-2</v>
      </c>
      <c r="AF124" s="24">
        <f t="shared" si="90"/>
        <v>7.4259585313139115E-2</v>
      </c>
      <c r="AG124" s="24">
        <f t="shared" si="91"/>
        <v>7.8256907493965647E-2</v>
      </c>
      <c r="AH124" s="24">
        <f t="shared" si="92"/>
        <v>8.2293608980235272E-2</v>
      </c>
      <c r="AL124" s="23">
        <f t="shared" si="72"/>
        <v>0</v>
      </c>
      <c r="AM124" s="23">
        <f t="shared" si="73"/>
        <v>0</v>
      </c>
      <c r="AN124" s="23">
        <f t="shared" si="74"/>
        <v>-5430.4451082147625</v>
      </c>
      <c r="AO124" s="23">
        <f t="shared" si="75"/>
        <v>-3926.7125083971982</v>
      </c>
      <c r="AP124" s="23">
        <f t="shared" si="76"/>
        <v>-2235.3039197733756</v>
      </c>
      <c r="AQ124" s="23">
        <f t="shared" si="77"/>
        <v>-524.18614597610247</v>
      </c>
      <c r="AR124" s="23">
        <f t="shared" si="78"/>
        <v>1154.4159798520443</v>
      </c>
      <c r="AS124" s="23">
        <f t="shared" si="79"/>
        <v>2749.9133438987033</v>
      </c>
      <c r="AT124" s="23">
        <f t="shared" si="80"/>
        <v>4223.3561705440416</v>
      </c>
      <c r="AU124" s="23">
        <f t="shared" si="81"/>
        <v>5547.6535682040139</v>
      </c>
      <c r="AW124" s="25"/>
      <c r="AX124" s="25"/>
      <c r="AY124" s="25">
        <f t="shared" si="94"/>
        <v>1558.6913801373639</v>
      </c>
      <c r="AZ124" s="25">
        <f t="shared" si="95"/>
        <v>6989.1364883521273</v>
      </c>
      <c r="BA124" s="25">
        <f t="shared" si="96"/>
        <v>10915.848996749326</v>
      </c>
      <c r="BB124" s="25">
        <f t="shared" si="97"/>
        <v>13151.1529165227</v>
      </c>
      <c r="BC124" s="25">
        <f t="shared" si="98"/>
        <v>13675.339062498802</v>
      </c>
      <c r="BD124" s="25">
        <f t="shared" si="99"/>
        <v>12520.923082646759</v>
      </c>
      <c r="BE124" s="25">
        <f t="shared" si="100"/>
        <v>9771.0097387480564</v>
      </c>
      <c r="BF124" s="25">
        <f t="shared" si="101"/>
        <v>5547.6535682040139</v>
      </c>
      <c r="BG124" s="25">
        <f t="shared" si="102"/>
        <v>0</v>
      </c>
      <c r="BI124" s="25"/>
      <c r="BJ124" s="25"/>
      <c r="BK124" s="25">
        <f t="shared" si="105"/>
        <v>1558.6913801373639</v>
      </c>
      <c r="BL124" s="25">
        <f t="shared" si="106"/>
        <v>6989.1364883521273</v>
      </c>
      <c r="BM124" s="25">
        <f t="shared" si="107"/>
        <v>10915.848996749326</v>
      </c>
      <c r="BN124" s="25">
        <f t="shared" si="108"/>
        <v>13151.1529165227</v>
      </c>
      <c r="BO124" s="25">
        <f t="shared" si="109"/>
        <v>13675.339062498802</v>
      </c>
      <c r="BP124" s="25">
        <f t="shared" si="110"/>
        <v>12520.923082646759</v>
      </c>
      <c r="BQ124" s="25">
        <f t="shared" si="111"/>
        <v>9771.0097387480564</v>
      </c>
      <c r="BR124" s="25">
        <f t="shared" si="112"/>
        <v>5547.6535682040139</v>
      </c>
      <c r="BS124" s="25">
        <f t="shared" si="113"/>
        <v>0</v>
      </c>
    </row>
    <row r="125" spans="1:71" x14ac:dyDescent="0.2">
      <c r="A125" s="29">
        <f t="shared" si="103"/>
        <v>1.1700000000000008</v>
      </c>
      <c r="B125" s="30">
        <v>4.5969355246236014E-2</v>
      </c>
      <c r="C125" s="30">
        <v>5.0074030860118045E-2</v>
      </c>
      <c r="D125" s="30">
        <v>5.3564611641234876E-2</v>
      </c>
      <c r="E125" s="30">
        <v>5.6549602820354469E-2</v>
      </c>
      <c r="F125" s="30">
        <v>5.9577586387488536E-2</v>
      </c>
      <c r="G125" s="30">
        <v>6.2870917715227584E-2</v>
      </c>
      <c r="H125" s="30">
        <v>6.6430904404653032E-2</v>
      </c>
      <c r="I125" s="30">
        <v>7.0194033118047991E-2</v>
      </c>
      <c r="J125" s="30">
        <v>7.4093485235191534E-2</v>
      </c>
      <c r="K125" s="30">
        <v>7.8076809958184279E-2</v>
      </c>
      <c r="L125" s="30">
        <v>8.2105532591852229E-2</v>
      </c>
      <c r="N125" s="1"/>
      <c r="O125" s="1"/>
      <c r="P125" s="54">
        <f t="shared" si="114"/>
        <v>0.9735731596668894</v>
      </c>
      <c r="Q125" s="54">
        <f t="shared" si="115"/>
        <v>0.97212118981879714</v>
      </c>
      <c r="R125" s="1">
        <f t="shared" si="116"/>
        <v>0.94216243177590497</v>
      </c>
      <c r="S125" s="1">
        <f t="shared" si="117"/>
        <v>0.91000391564596828</v>
      </c>
      <c r="T125" s="61">
        <f t="shared" si="118"/>
        <v>0.87558608203193888</v>
      </c>
      <c r="U125" s="62">
        <f t="shared" si="119"/>
        <v>0.83904991335957246</v>
      </c>
      <c r="V125" s="63">
        <f t="shared" si="120"/>
        <v>0.80069077454626503</v>
      </c>
      <c r="W125" s="68">
        <f t="shared" si="121"/>
        <v>0.76088820686121428</v>
      </c>
      <c r="Y125" s="24"/>
      <c r="Z125" s="24"/>
      <c r="AA125" s="24">
        <f t="shared" si="85"/>
        <v>5.6549602820354462E-2</v>
      </c>
      <c r="AB125" s="24">
        <f t="shared" si="86"/>
        <v>5.9577586387488536E-2</v>
      </c>
      <c r="AC125" s="24">
        <f t="shared" si="87"/>
        <v>6.2870917715227584E-2</v>
      </c>
      <c r="AD125" s="24">
        <f t="shared" si="88"/>
        <v>6.6430904404653032E-2</v>
      </c>
      <c r="AE125" s="24">
        <f t="shared" si="89"/>
        <v>7.0194033118047991E-2</v>
      </c>
      <c r="AF125" s="24">
        <f t="shared" si="90"/>
        <v>7.4093485235191534E-2</v>
      </c>
      <c r="AG125" s="24">
        <f t="shared" si="91"/>
        <v>7.8076809958184279E-2</v>
      </c>
      <c r="AH125" s="24">
        <f t="shared" si="92"/>
        <v>8.2105532591852229E-2</v>
      </c>
      <c r="AL125" s="23">
        <f t="shared" si="72"/>
        <v>0</v>
      </c>
      <c r="AM125" s="23">
        <f t="shared" si="73"/>
        <v>0</v>
      </c>
      <c r="AN125" s="23">
        <f t="shared" si="74"/>
        <v>-5429.0164258342238</v>
      </c>
      <c r="AO125" s="23">
        <f t="shared" si="75"/>
        <v>-3949.1361924228527</v>
      </c>
      <c r="AP125" s="23">
        <f t="shared" si="76"/>
        <v>-2276.0054827324557</v>
      </c>
      <c r="AQ125" s="23">
        <f t="shared" si="77"/>
        <v>-578.51843298741176</v>
      </c>
      <c r="AR125" s="23">
        <f t="shared" si="78"/>
        <v>1090.8336417149094</v>
      </c>
      <c r="AS125" s="23">
        <f t="shared" si="79"/>
        <v>2681.2331740337504</v>
      </c>
      <c r="AT125" s="23">
        <f t="shared" si="80"/>
        <v>4153.3599766254629</v>
      </c>
      <c r="AU125" s="23">
        <f t="shared" si="81"/>
        <v>5479.5990331855637</v>
      </c>
      <c r="AW125" s="25"/>
      <c r="AX125" s="25"/>
      <c r="AY125" s="25">
        <f t="shared" si="94"/>
        <v>1172.3492915827437</v>
      </c>
      <c r="AZ125" s="25">
        <f t="shared" si="95"/>
        <v>6601.3657174169666</v>
      </c>
      <c r="BA125" s="25">
        <f t="shared" si="96"/>
        <v>10550.501909839819</v>
      </c>
      <c r="BB125" s="25">
        <f t="shared" si="97"/>
        <v>12826.507392572275</v>
      </c>
      <c r="BC125" s="25">
        <f t="shared" si="98"/>
        <v>13405.025825559685</v>
      </c>
      <c r="BD125" s="25">
        <f t="shared" si="99"/>
        <v>12314.192183844778</v>
      </c>
      <c r="BE125" s="25">
        <f t="shared" si="100"/>
        <v>9632.9590098110275</v>
      </c>
      <c r="BF125" s="25">
        <f t="shared" si="101"/>
        <v>5479.5990331855637</v>
      </c>
      <c r="BG125" s="25">
        <f t="shared" si="102"/>
        <v>0</v>
      </c>
      <c r="BI125" s="25"/>
      <c r="BJ125" s="25"/>
      <c r="BK125" s="25">
        <f t="shared" si="105"/>
        <v>1172.3492915827437</v>
      </c>
      <c r="BL125" s="25">
        <f t="shared" si="106"/>
        <v>6601.3657174169666</v>
      </c>
      <c r="BM125" s="25">
        <f t="shared" si="107"/>
        <v>10550.501909839819</v>
      </c>
      <c r="BN125" s="25">
        <f t="shared" si="108"/>
        <v>12826.507392572275</v>
      </c>
      <c r="BO125" s="25">
        <f t="shared" si="109"/>
        <v>13405.025825559685</v>
      </c>
      <c r="BP125" s="25">
        <f t="shared" si="110"/>
        <v>12314.192183844778</v>
      </c>
      <c r="BQ125" s="25">
        <f t="shared" si="111"/>
        <v>9632.9590098110275</v>
      </c>
      <c r="BR125" s="25">
        <f t="shared" si="112"/>
        <v>5479.5990331855637</v>
      </c>
      <c r="BS125" s="25">
        <f t="shared" si="113"/>
        <v>0</v>
      </c>
    </row>
    <row r="126" spans="1:71" x14ac:dyDescent="0.2">
      <c r="A126" s="29">
        <f t="shared" si="103"/>
        <v>1.1800000000000008</v>
      </c>
      <c r="B126" s="30">
        <v>4.6030990204788499E-2</v>
      </c>
      <c r="C126" s="30">
        <v>5.0205142250511259E-2</v>
      </c>
      <c r="D126" s="30">
        <v>5.3757026612107059E-2</v>
      </c>
      <c r="E126" s="30">
        <v>5.6804392443777316E-2</v>
      </c>
      <c r="F126" s="30">
        <v>5.988973676337131E-2</v>
      </c>
      <c r="G126" s="30">
        <v>6.3231431222046386E-2</v>
      </c>
      <c r="H126" s="30">
        <v>6.6829922361570052E-2</v>
      </c>
      <c r="I126" s="30">
        <v>7.0622064627171841E-2</v>
      </c>
      <c r="J126" s="30">
        <v>7.4541759530727461E-2</v>
      </c>
      <c r="K126" s="30">
        <v>7.8537267773498912E-2</v>
      </c>
      <c r="L126" s="30">
        <v>8.2570729035439647E-2</v>
      </c>
      <c r="N126" s="1"/>
      <c r="O126" s="1"/>
      <c r="P126" s="54">
        <f t="shared" si="114"/>
        <v>0.97347949914680354</v>
      </c>
      <c r="Q126" s="54">
        <f t="shared" si="115"/>
        <v>0.97199735451101477</v>
      </c>
      <c r="R126" s="1">
        <f t="shared" si="116"/>
        <v>0.94186838131505202</v>
      </c>
      <c r="S126" s="1">
        <f t="shared" si="117"/>
        <v>0.90951194562506288</v>
      </c>
      <c r="T126" s="61">
        <f t="shared" si="118"/>
        <v>0.87488761163212514</v>
      </c>
      <c r="U126" s="62">
        <f t="shared" si="119"/>
        <v>0.83815254407150108</v>
      </c>
      <c r="V126" s="63">
        <f t="shared" si="120"/>
        <v>0.79961471098718651</v>
      </c>
      <c r="W126" s="68">
        <f t="shared" si="121"/>
        <v>0.75966294521867661</v>
      </c>
      <c r="Y126" s="24"/>
      <c r="Z126" s="24"/>
      <c r="AA126" s="24">
        <f t="shared" si="85"/>
        <v>5.6804392443777309E-2</v>
      </c>
      <c r="AB126" s="24">
        <f t="shared" si="86"/>
        <v>5.988973676337131E-2</v>
      </c>
      <c r="AC126" s="24">
        <f t="shared" si="87"/>
        <v>6.3231431222046386E-2</v>
      </c>
      <c r="AD126" s="24">
        <f t="shared" si="88"/>
        <v>6.6829922361570052E-2</v>
      </c>
      <c r="AE126" s="24">
        <f t="shared" si="89"/>
        <v>7.0622064627171841E-2</v>
      </c>
      <c r="AF126" s="24">
        <f t="shared" si="90"/>
        <v>7.4541759530727461E-2</v>
      </c>
      <c r="AG126" s="24">
        <f t="shared" si="91"/>
        <v>7.8537267773498912E-2</v>
      </c>
      <c r="AH126" s="24">
        <f t="shared" si="92"/>
        <v>8.2570729035439647E-2</v>
      </c>
      <c r="AL126" s="23">
        <f t="shared" si="72"/>
        <v>0</v>
      </c>
      <c r="AM126" s="23">
        <f t="shared" si="73"/>
        <v>0</v>
      </c>
      <c r="AN126" s="23">
        <f t="shared" si="74"/>
        <v>-5304.4779014411233</v>
      </c>
      <c r="AO126" s="23">
        <f t="shared" si="75"/>
        <v>-3796.9284552221284</v>
      </c>
      <c r="AP126" s="23">
        <f t="shared" si="76"/>
        <v>-2105.5170010837023</v>
      </c>
      <c r="AQ126" s="23">
        <f t="shared" si="77"/>
        <v>-396.74987282993317</v>
      </c>
      <c r="AR126" s="23">
        <f t="shared" si="78"/>
        <v>1277.2031969156264</v>
      </c>
      <c r="AS126" s="23">
        <f t="shared" si="79"/>
        <v>2866.2266985024326</v>
      </c>
      <c r="AT126" s="23">
        <f t="shared" si="80"/>
        <v>4331.8726186235026</v>
      </c>
      <c r="AU126" s="23">
        <f t="shared" si="81"/>
        <v>5647.4714608637305</v>
      </c>
      <c r="AW126" s="25"/>
      <c r="AX126" s="25"/>
      <c r="AY126" s="25">
        <f t="shared" si="94"/>
        <v>2519.1007443284052</v>
      </c>
      <c r="AZ126" s="25">
        <f t="shared" si="95"/>
        <v>7823.5786457695285</v>
      </c>
      <c r="BA126" s="25">
        <f t="shared" si="96"/>
        <v>11620.507100991657</v>
      </c>
      <c r="BB126" s="25">
        <f t="shared" si="97"/>
        <v>13726.02410207536</v>
      </c>
      <c r="BC126" s="25">
        <f t="shared" si="98"/>
        <v>14122.773974905293</v>
      </c>
      <c r="BD126" s="25">
        <f t="shared" si="99"/>
        <v>12845.570777989666</v>
      </c>
      <c r="BE126" s="25">
        <f t="shared" si="100"/>
        <v>9979.3440794872331</v>
      </c>
      <c r="BF126" s="25">
        <f t="shared" si="101"/>
        <v>5647.4714608637305</v>
      </c>
      <c r="BG126" s="25">
        <f t="shared" si="102"/>
        <v>0</v>
      </c>
      <c r="BI126" s="25"/>
      <c r="BJ126" s="25"/>
      <c r="BK126" s="25">
        <f t="shared" si="105"/>
        <v>2519.1007443284052</v>
      </c>
      <c r="BL126" s="25">
        <f t="shared" si="106"/>
        <v>7823.5786457695285</v>
      </c>
      <c r="BM126" s="25">
        <f t="shared" si="107"/>
        <v>11620.507100991657</v>
      </c>
      <c r="BN126" s="25">
        <f t="shared" si="108"/>
        <v>13726.02410207536</v>
      </c>
      <c r="BO126" s="25">
        <f t="shared" si="109"/>
        <v>14122.773974905293</v>
      </c>
      <c r="BP126" s="25">
        <f t="shared" si="110"/>
        <v>12845.570777989666</v>
      </c>
      <c r="BQ126" s="25">
        <f t="shared" si="111"/>
        <v>9979.3440794872331</v>
      </c>
      <c r="BR126" s="25">
        <f t="shared" si="112"/>
        <v>5647.4714608637305</v>
      </c>
      <c r="BS126" s="25">
        <f t="shared" si="113"/>
        <v>0</v>
      </c>
    </row>
    <row r="127" spans="1:71" x14ac:dyDescent="0.2">
      <c r="A127" s="29">
        <f t="shared" si="103"/>
        <v>1.1900000000000008</v>
      </c>
      <c r="B127" s="30">
        <v>4.6220601308680206E-2</v>
      </c>
      <c r="C127" s="30">
        <v>5.0460027519468785E-2</v>
      </c>
      <c r="D127" s="30">
        <v>5.4074393407276967E-2</v>
      </c>
      <c r="E127" s="30">
        <v>5.7190103418264651E-2</v>
      </c>
      <c r="F127" s="30">
        <v>6.0343329569570198E-2</v>
      </c>
      <c r="G127" s="30">
        <v>6.3748240190597105E-2</v>
      </c>
      <c r="H127" s="30">
        <v>6.740416328708107E-2</v>
      </c>
      <c r="I127" s="30">
        <v>7.1248046080618049E-2</v>
      </c>
      <c r="J127" s="30">
        <v>7.5214227988958535E-2</v>
      </c>
      <c r="K127" s="30">
        <v>7.9251397216482208E-2</v>
      </c>
      <c r="L127" s="30">
        <v>8.3322024302837361E-2</v>
      </c>
      <c r="N127" s="1"/>
      <c r="O127" s="1"/>
      <c r="P127" s="54">
        <f t="shared" si="114"/>
        <v>0.973325036368063</v>
      </c>
      <c r="Q127" s="54">
        <f t="shared" si="115"/>
        <v>0.97180991756231394</v>
      </c>
      <c r="R127" s="1">
        <f t="shared" si="116"/>
        <v>0.94144125347128338</v>
      </c>
      <c r="S127" s="1">
        <f t="shared" si="117"/>
        <v>0.90880715294698677</v>
      </c>
      <c r="T127" s="61">
        <f t="shared" si="118"/>
        <v>0.87388339586065655</v>
      </c>
      <c r="U127" s="62">
        <f t="shared" si="119"/>
        <v>0.83684190001820835</v>
      </c>
      <c r="V127" s="63">
        <f t="shared" si="120"/>
        <v>0.79800319006360754</v>
      </c>
      <c r="W127" s="68">
        <f t="shared" si="121"/>
        <v>0.75776657428526051</v>
      </c>
      <c r="Y127" s="24"/>
      <c r="Z127" s="24"/>
      <c r="AA127" s="24">
        <f t="shared" si="85"/>
        <v>5.7190103418264658E-2</v>
      </c>
      <c r="AB127" s="24">
        <f t="shared" si="86"/>
        <v>6.0343329569570198E-2</v>
      </c>
      <c r="AC127" s="24">
        <f t="shared" si="87"/>
        <v>6.3748240190597105E-2</v>
      </c>
      <c r="AD127" s="24">
        <f t="shared" si="88"/>
        <v>6.740416328708107E-2</v>
      </c>
      <c r="AE127" s="24">
        <f t="shared" si="89"/>
        <v>7.1248046080618049E-2</v>
      </c>
      <c r="AF127" s="24">
        <f t="shared" si="90"/>
        <v>7.5214227988958535E-2</v>
      </c>
      <c r="AG127" s="24">
        <f t="shared" si="91"/>
        <v>7.9251397216482208E-2</v>
      </c>
      <c r="AH127" s="24">
        <f t="shared" si="92"/>
        <v>8.3322024302837361E-2</v>
      </c>
      <c r="AL127" s="23">
        <f t="shared" si="72"/>
        <v>0</v>
      </c>
      <c r="AM127" s="23">
        <f t="shared" si="73"/>
        <v>0</v>
      </c>
      <c r="AN127" s="23">
        <f t="shared" si="74"/>
        <v>-5115.9251615110379</v>
      </c>
      <c r="AO127" s="23">
        <f t="shared" si="75"/>
        <v>-3575.7932735408617</v>
      </c>
      <c r="AP127" s="23">
        <f t="shared" si="76"/>
        <v>-1861.2895287084477</v>
      </c>
      <c r="AQ127" s="23">
        <f t="shared" si="77"/>
        <v>-135.50529586524087</v>
      </c>
      <c r="AR127" s="23">
        <f t="shared" si="78"/>
        <v>1549.2545933654644</v>
      </c>
      <c r="AS127" s="23">
        <f t="shared" si="79"/>
        <v>3143.1195857389312</v>
      </c>
      <c r="AT127" s="23">
        <f t="shared" si="80"/>
        <v>4608.0810716018941</v>
      </c>
      <c r="AU127" s="23">
        <f t="shared" si="81"/>
        <v>5918.0267175587678</v>
      </c>
      <c r="AW127" s="25"/>
      <c r="AX127" s="25"/>
      <c r="AY127" s="25">
        <f t="shared" si="94"/>
        <v>4529.968708639467</v>
      </c>
      <c r="AZ127" s="25">
        <f t="shared" si="95"/>
        <v>9645.8938701505067</v>
      </c>
      <c r="BA127" s="25">
        <f t="shared" si="96"/>
        <v>13221.687143691368</v>
      </c>
      <c r="BB127" s="25">
        <f t="shared" si="97"/>
        <v>15082.976672399818</v>
      </c>
      <c r="BC127" s="25">
        <f t="shared" si="98"/>
        <v>15218.48196826506</v>
      </c>
      <c r="BD127" s="25">
        <f t="shared" si="99"/>
        <v>13669.227374899594</v>
      </c>
      <c r="BE127" s="25">
        <f t="shared" si="100"/>
        <v>10526.107789160662</v>
      </c>
      <c r="BF127" s="25">
        <f t="shared" si="101"/>
        <v>5918.0267175587678</v>
      </c>
      <c r="BG127" s="25">
        <f t="shared" si="102"/>
        <v>0</v>
      </c>
      <c r="BI127" s="25"/>
      <c r="BJ127" s="25"/>
      <c r="BK127" s="25">
        <f t="shared" si="105"/>
        <v>4529.968708639467</v>
      </c>
      <c r="BL127" s="25">
        <f t="shared" si="106"/>
        <v>9645.8938701505067</v>
      </c>
      <c r="BM127" s="25">
        <f t="shared" si="107"/>
        <v>13221.687143691368</v>
      </c>
      <c r="BN127" s="25">
        <f t="shared" si="108"/>
        <v>15082.976672399818</v>
      </c>
      <c r="BO127" s="25">
        <f t="shared" si="109"/>
        <v>15218.48196826506</v>
      </c>
      <c r="BP127" s="25">
        <f t="shared" si="110"/>
        <v>13669.227374899594</v>
      </c>
      <c r="BQ127" s="25">
        <f t="shared" si="111"/>
        <v>10526.107789160662</v>
      </c>
      <c r="BR127" s="25">
        <f t="shared" si="112"/>
        <v>5918.0267175587678</v>
      </c>
      <c r="BS127" s="25">
        <f t="shared" si="113"/>
        <v>0</v>
      </c>
    </row>
    <row r="128" spans="1:71" x14ac:dyDescent="0.2">
      <c r="A128" s="29">
        <f t="shared" si="103"/>
        <v>1.2000000000000008</v>
      </c>
      <c r="B128" s="30">
        <v>4.5867418169216544E-2</v>
      </c>
      <c r="C128" s="30">
        <v>5.024095305824363E-2</v>
      </c>
      <c r="D128" s="30">
        <v>5.3981259437061453E-2</v>
      </c>
      <c r="E128" s="30">
        <v>5.7223286630128545E-2</v>
      </c>
      <c r="F128" s="30">
        <v>6.0497113279645E-2</v>
      </c>
      <c r="G128" s="30">
        <v>6.4012955281168432E-2</v>
      </c>
      <c r="H128" s="30">
        <v>6.7769235522844237E-2</v>
      </c>
      <c r="I128" s="30">
        <v>7.1703190097418434E-2</v>
      </c>
      <c r="J128" s="30">
        <v>7.5749785312654749E-2</v>
      </c>
      <c r="K128" s="30">
        <v>7.9858324135375539E-2</v>
      </c>
      <c r="L128" s="30">
        <v>8.3991795705971914E-2</v>
      </c>
      <c r="N128" s="1"/>
      <c r="O128" s="1"/>
      <c r="P128" s="54">
        <f t="shared" si="114"/>
        <v>0.97337036223587292</v>
      </c>
      <c r="Q128" s="54">
        <f t="shared" si="115"/>
        <v>0.97179379380888087</v>
      </c>
      <c r="R128" s="1">
        <f t="shared" si="116"/>
        <v>0.9412964862742107</v>
      </c>
      <c r="S128" s="1">
        <f t="shared" si="117"/>
        <v>0.9084463621301011</v>
      </c>
      <c r="T128" s="61">
        <f t="shared" si="118"/>
        <v>0.87324556761213101</v>
      </c>
      <c r="U128" s="62">
        <f t="shared" si="119"/>
        <v>0.83589023259355244</v>
      </c>
      <c r="V128" s="63">
        <f t="shared" si="120"/>
        <v>0.79672209013455242</v>
      </c>
      <c r="W128" s="68">
        <f t="shared" si="121"/>
        <v>0.75615860149076819</v>
      </c>
      <c r="Y128" s="24"/>
      <c r="Z128" s="24"/>
      <c r="AA128" s="24">
        <f t="shared" si="85"/>
        <v>5.7223286630128545E-2</v>
      </c>
      <c r="AB128" s="24">
        <f t="shared" si="86"/>
        <v>6.0497113279645E-2</v>
      </c>
      <c r="AC128" s="24">
        <f t="shared" si="87"/>
        <v>6.4012955281168432E-2</v>
      </c>
      <c r="AD128" s="24">
        <f t="shared" si="88"/>
        <v>6.7769235522844237E-2</v>
      </c>
      <c r="AE128" s="24">
        <f t="shared" si="89"/>
        <v>7.1703190097418434E-2</v>
      </c>
      <c r="AF128" s="24">
        <f t="shared" si="90"/>
        <v>7.5749785312654749E-2</v>
      </c>
      <c r="AG128" s="24">
        <f t="shared" si="91"/>
        <v>7.9858324135375539E-2</v>
      </c>
      <c r="AH128" s="24">
        <f t="shared" si="92"/>
        <v>8.3991795705971914E-2</v>
      </c>
      <c r="AL128" s="23">
        <f t="shared" si="72"/>
        <v>0</v>
      </c>
      <c r="AM128" s="23">
        <f t="shared" si="73"/>
        <v>0</v>
      </c>
      <c r="AN128" s="23">
        <f t="shared" si="74"/>
        <v>-5100.0136227927833</v>
      </c>
      <c r="AO128" s="23">
        <f t="shared" si="75"/>
        <v>-3501.0109183603467</v>
      </c>
      <c r="AP128" s="23">
        <f t="shared" si="76"/>
        <v>-1736.4156223980142</v>
      </c>
      <c r="AQ128" s="23">
        <f t="shared" si="77"/>
        <v>30.372771145715529</v>
      </c>
      <c r="AR128" s="23">
        <f t="shared" si="78"/>
        <v>1746.8500741989951</v>
      </c>
      <c r="AS128" s="23">
        <f t="shared" si="79"/>
        <v>3363.3787574578628</v>
      </c>
      <c r="AT128" s="23">
        <f t="shared" si="80"/>
        <v>4842.4593830477434</v>
      </c>
      <c r="AU128" s="23">
        <f t="shared" si="81"/>
        <v>6158.6954301317828</v>
      </c>
      <c r="AW128" s="25"/>
      <c r="AX128" s="25"/>
      <c r="AY128" s="25">
        <f t="shared" si="94"/>
        <v>5804.3162524309564</v>
      </c>
      <c r="AZ128" s="25">
        <f t="shared" si="95"/>
        <v>10904.329875223739</v>
      </c>
      <c r="BA128" s="25">
        <f t="shared" si="96"/>
        <v>14405.340793584084</v>
      </c>
      <c r="BB128" s="25">
        <f t="shared" si="97"/>
        <v>16141.756415982098</v>
      </c>
      <c r="BC128" s="25">
        <f t="shared" si="98"/>
        <v>16111.383644836384</v>
      </c>
      <c r="BD128" s="25">
        <f t="shared" si="99"/>
        <v>14364.533570637388</v>
      </c>
      <c r="BE128" s="25">
        <f t="shared" si="100"/>
        <v>11001.154813179526</v>
      </c>
      <c r="BF128" s="25">
        <f t="shared" si="101"/>
        <v>6158.6954301317828</v>
      </c>
      <c r="BG128" s="25">
        <f t="shared" si="102"/>
        <v>0</v>
      </c>
      <c r="BI128" s="25"/>
      <c r="BJ128" s="25"/>
      <c r="BK128" s="25">
        <f t="shared" si="105"/>
        <v>5804.3162524309564</v>
      </c>
      <c r="BL128" s="25">
        <f t="shared" si="106"/>
        <v>10904.329875223739</v>
      </c>
      <c r="BM128" s="25">
        <f t="shared" si="107"/>
        <v>14405.340793584084</v>
      </c>
      <c r="BN128" s="25">
        <f t="shared" si="108"/>
        <v>16141.756415982098</v>
      </c>
      <c r="BO128" s="25">
        <f t="shared" si="109"/>
        <v>16111.383644836384</v>
      </c>
      <c r="BP128" s="25">
        <f t="shared" si="110"/>
        <v>14364.533570637388</v>
      </c>
      <c r="BQ128" s="25">
        <f t="shared" si="111"/>
        <v>11001.154813179526</v>
      </c>
      <c r="BR128" s="25">
        <f t="shared" si="112"/>
        <v>6158.6954301317828</v>
      </c>
      <c r="BS128" s="25">
        <f t="shared" si="113"/>
        <v>0</v>
      </c>
    </row>
    <row r="129" spans="1:71" x14ac:dyDescent="0.2">
      <c r="A129" s="29">
        <f t="shared" si="103"/>
        <v>1.2100000000000009</v>
      </c>
      <c r="B129" s="30">
        <v>4.5782203698090877E-2</v>
      </c>
      <c r="C129" s="30">
        <v>5.0150746798158945E-2</v>
      </c>
      <c r="D129" s="30">
        <v>5.3884607010375792E-2</v>
      </c>
      <c r="E129" s="30">
        <v>5.7126862794559377E-2</v>
      </c>
      <c r="F129" s="30">
        <v>6.0401419258918947E-2</v>
      </c>
      <c r="G129" s="30">
        <v>6.3914477833616867E-2</v>
      </c>
      <c r="H129" s="30">
        <v>6.7663457191108625E-2</v>
      </c>
      <c r="I129" s="30">
        <v>7.1585766077793114E-2</v>
      </c>
      <c r="J129" s="30">
        <v>7.5616874471021403E-2</v>
      </c>
      <c r="K129" s="30">
        <v>7.9706575198950094E-2</v>
      </c>
      <c r="L129" s="30">
        <v>8.3818251584375197E-2</v>
      </c>
      <c r="N129" s="1"/>
      <c r="O129" s="1"/>
      <c r="P129" s="54">
        <f t="shared" si="114"/>
        <v>0.97341740267629395</v>
      </c>
      <c r="Q129" s="54">
        <f t="shared" si="115"/>
        <v>0.97184064698080308</v>
      </c>
      <c r="R129" s="1">
        <f t="shared" si="116"/>
        <v>0.94138656702970369</v>
      </c>
      <c r="S129" s="1">
        <f t="shared" si="117"/>
        <v>0.9085805642602397</v>
      </c>
      <c r="T129" s="61">
        <f t="shared" si="118"/>
        <v>0.87343032807377041</v>
      </c>
      <c r="U129" s="62">
        <f t="shared" si="119"/>
        <v>0.8361356525922351</v>
      </c>
      <c r="V129" s="63">
        <f t="shared" si="120"/>
        <v>0.79703983248809107</v>
      </c>
      <c r="W129" s="68">
        <f t="shared" si="121"/>
        <v>0.75656032008437923</v>
      </c>
      <c r="Y129" s="24"/>
      <c r="Z129" s="24"/>
      <c r="AA129" s="24">
        <f t="shared" si="85"/>
        <v>5.7126862794559384E-2</v>
      </c>
      <c r="AB129" s="24">
        <f t="shared" si="86"/>
        <v>6.0401419258918947E-2</v>
      </c>
      <c r="AC129" s="24">
        <f t="shared" si="87"/>
        <v>6.3914477833616867E-2</v>
      </c>
      <c r="AD129" s="24">
        <f t="shared" si="88"/>
        <v>6.7663457191108625E-2</v>
      </c>
      <c r="AE129" s="24">
        <f t="shared" si="89"/>
        <v>7.1585766077793114E-2</v>
      </c>
      <c r="AF129" s="24">
        <f t="shared" si="90"/>
        <v>7.5616874471021403E-2</v>
      </c>
      <c r="AG129" s="24">
        <f t="shared" si="91"/>
        <v>7.9706575198950094E-2</v>
      </c>
      <c r="AH129" s="24">
        <f t="shared" si="92"/>
        <v>8.3818251584375197E-2</v>
      </c>
      <c r="AL129" s="23">
        <f t="shared" si="72"/>
        <v>0</v>
      </c>
      <c r="AM129" s="23">
        <f t="shared" si="73"/>
        <v>0</v>
      </c>
      <c r="AN129" s="23">
        <f t="shared" si="74"/>
        <v>-5147.190412882519</v>
      </c>
      <c r="AO129" s="23">
        <f t="shared" si="75"/>
        <v>-3547.6793823871276</v>
      </c>
      <c r="AP129" s="23">
        <f t="shared" si="76"/>
        <v>-1782.9344680815132</v>
      </c>
      <c r="AQ129" s="23">
        <f t="shared" si="77"/>
        <v>-17.676810140858542</v>
      </c>
      <c r="AR129" s="23">
        <f t="shared" si="78"/>
        <v>1695.9388210736965</v>
      </c>
      <c r="AS129" s="23">
        <f t="shared" si="79"/>
        <v>3308.800509376053</v>
      </c>
      <c r="AT129" s="23">
        <f t="shared" si="80"/>
        <v>4783.9156406666116</v>
      </c>
      <c r="AU129" s="23">
        <f t="shared" si="81"/>
        <v>6096.3190150307364</v>
      </c>
      <c r="AW129" s="25"/>
      <c r="AX129" s="25"/>
      <c r="AY129" s="25">
        <f t="shared" si="94"/>
        <v>5389.4929126550796</v>
      </c>
      <c r="AZ129" s="25">
        <f t="shared" si="95"/>
        <v>10536.683325537599</v>
      </c>
      <c r="BA129" s="25">
        <f t="shared" si="96"/>
        <v>14084.362707924725</v>
      </c>
      <c r="BB129" s="25">
        <f t="shared" si="97"/>
        <v>15867.297176006239</v>
      </c>
      <c r="BC129" s="25">
        <f t="shared" si="98"/>
        <v>15884.973986147097</v>
      </c>
      <c r="BD129" s="25">
        <f t="shared" si="99"/>
        <v>14189.035165073401</v>
      </c>
      <c r="BE129" s="25">
        <f t="shared" si="100"/>
        <v>10880.234655697348</v>
      </c>
      <c r="BF129" s="25">
        <f t="shared" si="101"/>
        <v>6096.3190150307364</v>
      </c>
      <c r="BG129" s="25">
        <f t="shared" si="102"/>
        <v>0</v>
      </c>
      <c r="BI129" s="25"/>
      <c r="BJ129" s="25"/>
      <c r="BK129" s="25">
        <f t="shared" si="105"/>
        <v>5389.4929126550796</v>
      </c>
      <c r="BL129" s="25">
        <f t="shared" si="106"/>
        <v>10536.683325537599</v>
      </c>
      <c r="BM129" s="25">
        <f t="shared" si="107"/>
        <v>14084.362707924725</v>
      </c>
      <c r="BN129" s="25">
        <f t="shared" si="108"/>
        <v>15867.297176006239</v>
      </c>
      <c r="BO129" s="25">
        <f t="shared" si="109"/>
        <v>15884.973986147097</v>
      </c>
      <c r="BP129" s="25">
        <f t="shared" si="110"/>
        <v>14189.035165073401</v>
      </c>
      <c r="BQ129" s="25">
        <f t="shared" si="111"/>
        <v>10880.234655697348</v>
      </c>
      <c r="BR129" s="25">
        <f t="shared" si="112"/>
        <v>6096.3190150307364</v>
      </c>
      <c r="BS129" s="25">
        <f t="shared" si="113"/>
        <v>0</v>
      </c>
    </row>
    <row r="130" spans="1:71" x14ac:dyDescent="0.2">
      <c r="A130" s="29">
        <f t="shared" si="103"/>
        <v>1.2200000000000009</v>
      </c>
      <c r="B130" s="30">
        <v>4.4730310134784707E-2</v>
      </c>
      <c r="C130" s="30">
        <v>4.9191506722881674E-2</v>
      </c>
      <c r="D130" s="30">
        <v>5.3016044955296548E-2</v>
      </c>
      <c r="E130" s="30">
        <v>5.6354714944145345E-2</v>
      </c>
      <c r="F130" s="30">
        <v>5.9725160015343975E-2</v>
      </c>
      <c r="G130" s="30">
        <v>6.3329495908979294E-2</v>
      </c>
      <c r="H130" s="30">
        <v>6.7164029189529337E-2</v>
      </c>
      <c r="I130" s="30">
        <v>7.1166216447690209E-2</v>
      </c>
      <c r="J130" s="30">
        <v>7.5271899624560851E-2</v>
      </c>
      <c r="K130" s="30">
        <v>7.9431228066379173E-2</v>
      </c>
      <c r="L130" s="30">
        <v>8.3607846418848247E-2</v>
      </c>
      <c r="N130" s="1"/>
      <c r="O130" s="1"/>
      <c r="P130" s="54">
        <f t="shared" si="114"/>
        <v>0.97384023119270902</v>
      </c>
      <c r="Q130" s="54">
        <f t="shared" si="115"/>
        <v>0.97221592175129923</v>
      </c>
      <c r="R130" s="1">
        <f t="shared" si="116"/>
        <v>0.94202340370650928</v>
      </c>
      <c r="S130" s="1">
        <f t="shared" si="117"/>
        <v>0.90937816895806511</v>
      </c>
      <c r="T130" s="61">
        <f t="shared" si="118"/>
        <v>0.87430319506195064</v>
      </c>
      <c r="U130" s="62">
        <f t="shared" si="119"/>
        <v>0.83701311369429443</v>
      </c>
      <c r="V130" s="63">
        <f t="shared" si="120"/>
        <v>0.79786513555913496</v>
      </c>
      <c r="W130" s="68">
        <f t="shared" si="121"/>
        <v>0.75728978002528524</v>
      </c>
      <c r="Y130" s="24"/>
      <c r="Z130" s="24"/>
      <c r="AA130" s="24">
        <f t="shared" si="85"/>
        <v>5.6354714944145345E-2</v>
      </c>
      <c r="AB130" s="24">
        <f t="shared" si="86"/>
        <v>5.9725160015343975E-2</v>
      </c>
      <c r="AC130" s="24">
        <f t="shared" si="87"/>
        <v>6.3329495908979294E-2</v>
      </c>
      <c r="AD130" s="24">
        <f t="shared" si="88"/>
        <v>6.7164029189529337E-2</v>
      </c>
      <c r="AE130" s="24">
        <f t="shared" si="89"/>
        <v>7.1166216447690209E-2</v>
      </c>
      <c r="AF130" s="24">
        <f t="shared" si="90"/>
        <v>7.5271899624560851E-2</v>
      </c>
      <c r="AG130" s="24">
        <f t="shared" si="91"/>
        <v>7.9431228066379173E-2</v>
      </c>
      <c r="AH130" s="24">
        <f t="shared" si="92"/>
        <v>8.3607846418848247E-2</v>
      </c>
      <c r="AL130" s="23">
        <f t="shared" si="72"/>
        <v>0</v>
      </c>
      <c r="AM130" s="23">
        <f t="shared" si="73"/>
        <v>0</v>
      </c>
      <c r="AN130" s="23">
        <f t="shared" si="74"/>
        <v>-5525.4005460554035</v>
      </c>
      <c r="AO130" s="23">
        <f t="shared" si="75"/>
        <v>-3877.7843152394908</v>
      </c>
      <c r="AP130" s="23">
        <f t="shared" si="76"/>
        <v>-2059.6739336567421</v>
      </c>
      <c r="AQ130" s="23">
        <f t="shared" si="77"/>
        <v>-244.77678867096199</v>
      </c>
      <c r="AR130" s="23">
        <f t="shared" si="78"/>
        <v>1514.2268750152302</v>
      </c>
      <c r="AS130" s="23">
        <f t="shared" si="79"/>
        <v>3167.8986099626081</v>
      </c>
      <c r="AT130" s="23">
        <f t="shared" si="80"/>
        <v>4679.0242565656454</v>
      </c>
      <c r="AU130" s="23">
        <f t="shared" si="81"/>
        <v>6022.5281200089903</v>
      </c>
      <c r="AW130" s="25"/>
      <c r="AX130" s="25"/>
      <c r="AY130" s="25">
        <f t="shared" si="94"/>
        <v>3676.0422779298751</v>
      </c>
      <c r="AZ130" s="25">
        <f t="shared" si="95"/>
        <v>9201.4428239852787</v>
      </c>
      <c r="BA130" s="25">
        <f t="shared" si="96"/>
        <v>13079.227139224769</v>
      </c>
      <c r="BB130" s="25">
        <f t="shared" si="97"/>
        <v>15138.901072881512</v>
      </c>
      <c r="BC130" s="25">
        <f t="shared" si="98"/>
        <v>15383.677861552473</v>
      </c>
      <c r="BD130" s="25">
        <f t="shared" si="99"/>
        <v>13869.450986537244</v>
      </c>
      <c r="BE130" s="25">
        <f t="shared" si="100"/>
        <v>10701.552376574637</v>
      </c>
      <c r="BF130" s="25">
        <f t="shared" si="101"/>
        <v>6022.5281200089903</v>
      </c>
      <c r="BG130" s="25">
        <f t="shared" si="102"/>
        <v>0</v>
      </c>
      <c r="BI130" s="25"/>
      <c r="BJ130" s="25"/>
      <c r="BK130" s="25">
        <f t="shared" si="105"/>
        <v>3676.0422779298751</v>
      </c>
      <c r="BL130" s="25">
        <f t="shared" si="106"/>
        <v>9201.4428239852787</v>
      </c>
      <c r="BM130" s="25">
        <f t="shared" si="107"/>
        <v>13079.227139224769</v>
      </c>
      <c r="BN130" s="25">
        <f t="shared" si="108"/>
        <v>15138.901072881512</v>
      </c>
      <c r="BO130" s="25">
        <f t="shared" si="109"/>
        <v>15383.677861552473</v>
      </c>
      <c r="BP130" s="25">
        <f t="shared" si="110"/>
        <v>13869.450986537244</v>
      </c>
      <c r="BQ130" s="25">
        <f t="shared" si="111"/>
        <v>10701.552376574637</v>
      </c>
      <c r="BR130" s="25">
        <f t="shared" si="112"/>
        <v>6022.5281200089903</v>
      </c>
      <c r="BS130" s="25">
        <f t="shared" si="113"/>
        <v>0</v>
      </c>
    </row>
    <row r="131" spans="1:71" x14ac:dyDescent="0.2">
      <c r="A131" s="29">
        <f t="shared" si="103"/>
        <v>1.2300000000000009</v>
      </c>
      <c r="B131" s="30">
        <v>4.4783043984080458E-2</v>
      </c>
      <c r="C131" s="30">
        <v>4.9134449815403332E-2</v>
      </c>
      <c r="D131" s="30">
        <v>5.2864537294523194E-2</v>
      </c>
      <c r="E131" s="30">
        <v>5.6130925069095089E-2</v>
      </c>
      <c r="F131" s="30">
        <v>5.9444434556518745E-2</v>
      </c>
      <c r="G131" s="30">
        <v>6.3002551630380307E-2</v>
      </c>
      <c r="H131" s="30">
        <v>6.6799890298158637E-2</v>
      </c>
      <c r="I131" s="30">
        <v>7.0773357829168881E-2</v>
      </c>
      <c r="J131" s="30">
        <v>7.4858564171277342E-2</v>
      </c>
      <c r="K131" s="30">
        <v>7.9005409636832558E-2</v>
      </c>
      <c r="L131" s="30">
        <v>8.3177195127151507E-2</v>
      </c>
      <c r="N131" s="1"/>
      <c r="O131" s="1"/>
      <c r="P131" s="54">
        <f t="shared" si="114"/>
        <v>0.97391400611473766</v>
      </c>
      <c r="Q131" s="54">
        <f t="shared" si="115"/>
        <v>0.97232471387765507</v>
      </c>
      <c r="R131" s="1">
        <f t="shared" si="116"/>
        <v>0.94228789078112962</v>
      </c>
      <c r="S131" s="1">
        <f t="shared" si="117"/>
        <v>0.90982425231656139</v>
      </c>
      <c r="T131" s="61">
        <f t="shared" si="118"/>
        <v>0.87494016257078322</v>
      </c>
      <c r="U131" s="62">
        <f t="shared" si="119"/>
        <v>0.83783558706169448</v>
      </c>
      <c r="V131" s="63">
        <f t="shared" si="120"/>
        <v>0.79885510706016027</v>
      </c>
      <c r="W131" s="68">
        <f t="shared" si="121"/>
        <v>0.75841925929106968</v>
      </c>
      <c r="Y131" s="24"/>
      <c r="Z131" s="24"/>
      <c r="AA131" s="24">
        <f t="shared" si="85"/>
        <v>5.6130925069095089E-2</v>
      </c>
      <c r="AB131" s="24">
        <f t="shared" si="86"/>
        <v>5.9444434556518745E-2</v>
      </c>
      <c r="AC131" s="24">
        <f t="shared" si="87"/>
        <v>6.3002551630380307E-2</v>
      </c>
      <c r="AD131" s="24">
        <f t="shared" si="88"/>
        <v>6.6799890298158637E-2</v>
      </c>
      <c r="AE131" s="24">
        <f t="shared" si="89"/>
        <v>7.0773357829168881E-2</v>
      </c>
      <c r="AF131" s="24">
        <f t="shared" si="90"/>
        <v>7.4858564171277342E-2</v>
      </c>
      <c r="AG131" s="24">
        <f t="shared" si="91"/>
        <v>7.9005409636832558E-2</v>
      </c>
      <c r="AH131" s="24">
        <f t="shared" si="92"/>
        <v>8.3177195127151507E-2</v>
      </c>
      <c r="AL131" s="23">
        <f t="shared" si="72"/>
        <v>0</v>
      </c>
      <c r="AM131" s="23">
        <f t="shared" si="73"/>
        <v>0</v>
      </c>
      <c r="AN131" s="23">
        <f t="shared" si="74"/>
        <v>-5634.7951790347943</v>
      </c>
      <c r="AO131" s="23">
        <f t="shared" si="75"/>
        <v>-4014.6963946651485</v>
      </c>
      <c r="AP131" s="23">
        <f t="shared" si="76"/>
        <v>-2214.2900350745304</v>
      </c>
      <c r="AQ131" s="23">
        <f t="shared" si="77"/>
        <v>-410.54805795744335</v>
      </c>
      <c r="AR131" s="23">
        <f t="shared" si="78"/>
        <v>1343.4661626899256</v>
      </c>
      <c r="AS131" s="23">
        <f t="shared" si="79"/>
        <v>2997.8579029604016</v>
      </c>
      <c r="AT131" s="23">
        <f t="shared" si="80"/>
        <v>4514.7462615979448</v>
      </c>
      <c r="AU131" s="23">
        <f t="shared" si="81"/>
        <v>5868.2034572118482</v>
      </c>
      <c r="AW131" s="25"/>
      <c r="AX131" s="25"/>
      <c r="AY131" s="25">
        <f t="shared" si="94"/>
        <v>2449.9441177282042</v>
      </c>
      <c r="AZ131" s="25">
        <f t="shared" si="95"/>
        <v>8084.7392967629985</v>
      </c>
      <c r="BA131" s="25">
        <f t="shared" si="96"/>
        <v>12099.435691428147</v>
      </c>
      <c r="BB131" s="25">
        <f t="shared" si="97"/>
        <v>14313.725726502676</v>
      </c>
      <c r="BC131" s="25">
        <f t="shared" si="98"/>
        <v>14724.27378446012</v>
      </c>
      <c r="BD131" s="25">
        <f t="shared" si="99"/>
        <v>13380.807621770195</v>
      </c>
      <c r="BE131" s="25">
        <f t="shared" si="100"/>
        <v>10382.949718809792</v>
      </c>
      <c r="BF131" s="25">
        <f t="shared" si="101"/>
        <v>5868.2034572118482</v>
      </c>
      <c r="BG131" s="25">
        <f t="shared" si="102"/>
        <v>0</v>
      </c>
      <c r="BI131" s="25"/>
      <c r="BJ131" s="25"/>
      <c r="BK131" s="25">
        <f t="shared" si="105"/>
        <v>2449.9441177282042</v>
      </c>
      <c r="BL131" s="25">
        <f t="shared" si="106"/>
        <v>8084.7392967629985</v>
      </c>
      <c r="BM131" s="25">
        <f t="shared" si="107"/>
        <v>12099.435691428147</v>
      </c>
      <c r="BN131" s="25">
        <f t="shared" si="108"/>
        <v>14313.725726502676</v>
      </c>
      <c r="BO131" s="25">
        <f t="shared" si="109"/>
        <v>14724.27378446012</v>
      </c>
      <c r="BP131" s="25">
        <f t="shared" si="110"/>
        <v>13380.807621770195</v>
      </c>
      <c r="BQ131" s="25">
        <f t="shared" si="111"/>
        <v>10382.949718809792</v>
      </c>
      <c r="BR131" s="25">
        <f t="shared" si="112"/>
        <v>5868.2034572118482</v>
      </c>
      <c r="BS131" s="25">
        <f t="shared" si="113"/>
        <v>0</v>
      </c>
    </row>
    <row r="132" spans="1:71" x14ac:dyDescent="0.2">
      <c r="A132" s="29">
        <f t="shared" si="103"/>
        <v>1.2400000000000009</v>
      </c>
      <c r="B132" s="30">
        <v>4.4610487369777685E-2</v>
      </c>
      <c r="C132" s="30">
        <v>4.916060162146569E-2</v>
      </c>
      <c r="D132" s="30">
        <v>5.3071206433960565E-2</v>
      </c>
      <c r="E132" s="30">
        <v>5.6507814478577383E-2</v>
      </c>
      <c r="F132" s="30">
        <v>5.9975807602042068E-2</v>
      </c>
      <c r="G132" s="30">
        <v>6.3669439054632168E-2</v>
      </c>
      <c r="H132" s="30">
        <v>6.7582991648541813E-2</v>
      </c>
      <c r="I132" s="30">
        <v>7.1654168175270233E-2</v>
      </c>
      <c r="J132" s="30">
        <v>7.5819684745640048E-2</v>
      </c>
      <c r="K132" s="30">
        <v>8.0030529240902537E-2</v>
      </c>
      <c r="L132" s="30">
        <v>8.4250995906319237E-2</v>
      </c>
      <c r="N132" s="1"/>
      <c r="O132" s="1"/>
      <c r="P132" s="54">
        <f t="shared" si="114"/>
        <v>0.9738133723295368</v>
      </c>
      <c r="Q132" s="54">
        <f t="shared" si="115"/>
        <v>0.97214150169726077</v>
      </c>
      <c r="R132" s="1">
        <f t="shared" si="116"/>
        <v>0.94178731740222432</v>
      </c>
      <c r="S132" s="1">
        <f t="shared" si="117"/>
        <v>0.90891458185003937</v>
      </c>
      <c r="T132" s="61">
        <f t="shared" si="118"/>
        <v>0.87357090147526761</v>
      </c>
      <c r="U132" s="62">
        <f t="shared" si="119"/>
        <v>0.83599268123597748</v>
      </c>
      <c r="V132" s="63">
        <f t="shared" si="120"/>
        <v>0.79655503638356651</v>
      </c>
      <c r="W132" s="68">
        <f t="shared" si="121"/>
        <v>0.75570298850642725</v>
      </c>
      <c r="Y132" s="24"/>
      <c r="Z132" s="24"/>
      <c r="AA132" s="24">
        <f t="shared" si="85"/>
        <v>5.6507814478577383E-2</v>
      </c>
      <c r="AB132" s="24">
        <f t="shared" si="86"/>
        <v>5.9975807602042068E-2</v>
      </c>
      <c r="AC132" s="24">
        <f t="shared" si="87"/>
        <v>6.3669439054632168E-2</v>
      </c>
      <c r="AD132" s="24">
        <f t="shared" si="88"/>
        <v>6.7582991648541813E-2</v>
      </c>
      <c r="AE132" s="24">
        <f t="shared" si="89"/>
        <v>7.1654168175270233E-2</v>
      </c>
      <c r="AF132" s="24">
        <f t="shared" si="90"/>
        <v>7.5819684745640048E-2</v>
      </c>
      <c r="AG132" s="24">
        <f t="shared" si="91"/>
        <v>8.0030529240902537E-2</v>
      </c>
      <c r="AH132" s="24">
        <f t="shared" si="92"/>
        <v>8.4250995906319237E-2</v>
      </c>
      <c r="AL132" s="23">
        <f t="shared" si="72"/>
        <v>0</v>
      </c>
      <c r="AM132" s="23">
        <f t="shared" si="73"/>
        <v>0</v>
      </c>
      <c r="AN132" s="23">
        <f t="shared" si="74"/>
        <v>-5450.7029665611253</v>
      </c>
      <c r="AO132" s="23">
        <f t="shared" si="75"/>
        <v>-3755.6550224494663</v>
      </c>
      <c r="AP132" s="23">
        <f t="shared" si="76"/>
        <v>-1899.080674442331</v>
      </c>
      <c r="AQ132" s="23">
        <f t="shared" si="77"/>
        <v>-54.251461078750054</v>
      </c>
      <c r="AR132" s="23">
        <f t="shared" si="78"/>
        <v>1726.0888132890154</v>
      </c>
      <c r="AS132" s="23">
        <f t="shared" si="79"/>
        <v>3393.0086881454663</v>
      </c>
      <c r="AT132" s="23">
        <f t="shared" si="80"/>
        <v>4910.0294560638058</v>
      </c>
      <c r="AU132" s="23">
        <f t="shared" si="81"/>
        <v>6252.9237757624969</v>
      </c>
      <c r="AW132" s="25"/>
      <c r="AX132" s="25"/>
      <c r="AY132" s="25">
        <f t="shared" si="94"/>
        <v>5122.3606087291118</v>
      </c>
      <c r="AZ132" s="25">
        <f t="shared" si="95"/>
        <v>10573.063575290238</v>
      </c>
      <c r="BA132" s="25">
        <f t="shared" si="96"/>
        <v>14328.718597739702</v>
      </c>
      <c r="BB132" s="25">
        <f t="shared" si="97"/>
        <v>16227.799272182034</v>
      </c>
      <c r="BC132" s="25">
        <f t="shared" si="98"/>
        <v>16282.050733260785</v>
      </c>
      <c r="BD132" s="25">
        <f t="shared" si="99"/>
        <v>14555.961919971771</v>
      </c>
      <c r="BE132" s="25">
        <f t="shared" si="100"/>
        <v>11162.953231826303</v>
      </c>
      <c r="BF132" s="25">
        <f t="shared" si="101"/>
        <v>6252.9237757624969</v>
      </c>
      <c r="BG132" s="25">
        <f t="shared" si="102"/>
        <v>0</v>
      </c>
      <c r="BI132" s="25"/>
      <c r="BJ132" s="25"/>
      <c r="BK132" s="25">
        <f t="shared" si="105"/>
        <v>5122.3606087291118</v>
      </c>
      <c r="BL132" s="25">
        <f t="shared" si="106"/>
        <v>10573.063575290238</v>
      </c>
      <c r="BM132" s="25">
        <f t="shared" si="107"/>
        <v>14328.718597739702</v>
      </c>
      <c r="BN132" s="25">
        <f t="shared" si="108"/>
        <v>16227.799272182034</v>
      </c>
      <c r="BO132" s="25">
        <f t="shared" si="109"/>
        <v>16282.050733260785</v>
      </c>
      <c r="BP132" s="25">
        <f t="shared" si="110"/>
        <v>14555.961919971771</v>
      </c>
      <c r="BQ132" s="25">
        <f t="shared" si="111"/>
        <v>11162.953231826303</v>
      </c>
      <c r="BR132" s="25">
        <f t="shared" si="112"/>
        <v>6252.9237757624969</v>
      </c>
      <c r="BS132" s="25">
        <f t="shared" si="113"/>
        <v>0</v>
      </c>
    </row>
    <row r="133" spans="1:71" x14ac:dyDescent="0.2">
      <c r="A133" s="29">
        <f t="shared" si="103"/>
        <v>1.2500000000000009</v>
      </c>
      <c r="B133" s="30">
        <v>4.53228699176704E-2</v>
      </c>
      <c r="C133" s="30">
        <v>4.9751676122593666E-2</v>
      </c>
      <c r="D133" s="30">
        <v>5.3558977615447319E-2</v>
      </c>
      <c r="E133" s="30">
        <v>5.6916463927659214E-2</v>
      </c>
      <c r="F133" s="30">
        <v>6.0322670982568237E-2</v>
      </c>
      <c r="G133" s="30">
        <v>6.3967226944043235E-2</v>
      </c>
      <c r="H133" s="30">
        <v>6.7842655471682473E-2</v>
      </c>
      <c r="I133" s="30">
        <v>7.1886010600324082E-2</v>
      </c>
      <c r="J133" s="30">
        <v>7.6033663740205426E-2</v>
      </c>
      <c r="K133" s="30">
        <v>8.0236237965320811E-2</v>
      </c>
      <c r="L133" s="30">
        <v>8.4457568975055339E-2</v>
      </c>
      <c r="N133" s="1"/>
      <c r="O133" s="1"/>
      <c r="P133" s="54">
        <f t="shared" si="114"/>
        <v>0.97357590223889612</v>
      </c>
      <c r="Q133" s="54">
        <f t="shared" si="115"/>
        <v>0.97194288944409957</v>
      </c>
      <c r="R133" s="1">
        <f t="shared" si="116"/>
        <v>0.94146070251821967</v>
      </c>
      <c r="S133" s="1">
        <f t="shared" si="117"/>
        <v>0.90850867687950054</v>
      </c>
      <c r="T133" s="61">
        <f t="shared" si="118"/>
        <v>0.87311734973631672</v>
      </c>
      <c r="U133" s="62">
        <f t="shared" si="119"/>
        <v>0.83550827520551207</v>
      </c>
      <c r="V133" s="63">
        <f t="shared" si="120"/>
        <v>0.79604386233447988</v>
      </c>
      <c r="W133" s="68">
        <f t="shared" si="121"/>
        <v>0.75515909288473615</v>
      </c>
      <c r="Y133" s="24"/>
      <c r="Z133" s="24"/>
      <c r="AA133" s="24">
        <f t="shared" si="85"/>
        <v>5.6916463927659221E-2</v>
      </c>
      <c r="AB133" s="24">
        <f t="shared" si="86"/>
        <v>6.0322670982568237E-2</v>
      </c>
      <c r="AC133" s="24">
        <f t="shared" si="87"/>
        <v>6.3967226944043235E-2</v>
      </c>
      <c r="AD133" s="24">
        <f t="shared" si="88"/>
        <v>6.7842655471682473E-2</v>
      </c>
      <c r="AE133" s="24">
        <f t="shared" si="89"/>
        <v>7.1886010600324082E-2</v>
      </c>
      <c r="AF133" s="24">
        <f t="shared" si="90"/>
        <v>7.6033663740205426E-2</v>
      </c>
      <c r="AG133" s="24">
        <f t="shared" si="91"/>
        <v>8.0236237965320811E-2</v>
      </c>
      <c r="AH133" s="24">
        <f t="shared" si="92"/>
        <v>8.4457568975055339E-2</v>
      </c>
      <c r="AL133" s="23">
        <f t="shared" si="72"/>
        <v>0</v>
      </c>
      <c r="AM133" s="23">
        <f t="shared" si="73"/>
        <v>0</v>
      </c>
      <c r="AN133" s="23">
        <f t="shared" si="74"/>
        <v>-5250.448152694742</v>
      </c>
      <c r="AO133" s="23">
        <f t="shared" si="75"/>
        <v>-3586.3220295073747</v>
      </c>
      <c r="AP133" s="23">
        <f t="shared" si="76"/>
        <v>-1758.2442693465046</v>
      </c>
      <c r="AQ133" s="23">
        <f t="shared" si="77"/>
        <v>63.726184849438532</v>
      </c>
      <c r="AR133" s="23">
        <f t="shared" si="78"/>
        <v>1826.4054622318936</v>
      </c>
      <c r="AS133" s="23">
        <f t="shared" si="79"/>
        <v>3480.4332598979913</v>
      </c>
      <c r="AT133" s="23">
        <f t="shared" si="80"/>
        <v>4988.755121769449</v>
      </c>
      <c r="AU133" s="23">
        <f t="shared" si="81"/>
        <v>6326.4211782361244</v>
      </c>
      <c r="AW133" s="25"/>
      <c r="AX133" s="25"/>
      <c r="AY133" s="25">
        <f t="shared" si="94"/>
        <v>6090.7267554362761</v>
      </c>
      <c r="AZ133" s="25">
        <f t="shared" si="95"/>
        <v>11341.174908131019</v>
      </c>
      <c r="BA133" s="25">
        <f t="shared" si="96"/>
        <v>14927.496937638392</v>
      </c>
      <c r="BB133" s="25">
        <f t="shared" si="97"/>
        <v>16685.741206984898</v>
      </c>
      <c r="BC133" s="25">
        <f t="shared" si="98"/>
        <v>16622.01502213546</v>
      </c>
      <c r="BD133" s="25">
        <f t="shared" si="99"/>
        <v>14795.609559903565</v>
      </c>
      <c r="BE133" s="25">
        <f t="shared" si="100"/>
        <v>11315.176300005573</v>
      </c>
      <c r="BF133" s="25">
        <f t="shared" si="101"/>
        <v>6326.4211782361244</v>
      </c>
      <c r="BG133" s="25">
        <f t="shared" si="102"/>
        <v>0</v>
      </c>
      <c r="BI133" s="25"/>
      <c r="BJ133" s="25"/>
      <c r="BK133" s="25">
        <f t="shared" si="105"/>
        <v>6090.7267554362761</v>
      </c>
      <c r="BL133" s="25">
        <f t="shared" si="106"/>
        <v>11341.174908131019</v>
      </c>
      <c r="BM133" s="25">
        <f t="shared" si="107"/>
        <v>14927.496937638392</v>
      </c>
      <c r="BN133" s="25">
        <f t="shared" si="108"/>
        <v>16685.741206984898</v>
      </c>
      <c r="BO133" s="25">
        <f t="shared" si="109"/>
        <v>16622.01502213546</v>
      </c>
      <c r="BP133" s="25">
        <f t="shared" si="110"/>
        <v>14795.609559903565</v>
      </c>
      <c r="BQ133" s="25">
        <f t="shared" si="111"/>
        <v>11315.176300005573</v>
      </c>
      <c r="BR133" s="25">
        <f t="shared" si="112"/>
        <v>6326.4211782361244</v>
      </c>
      <c r="BS133" s="25">
        <f t="shared" si="113"/>
        <v>0</v>
      </c>
    </row>
    <row r="134" spans="1:71" x14ac:dyDescent="0.2">
      <c r="A134" s="29">
        <f t="shared" si="103"/>
        <v>1.2600000000000009</v>
      </c>
      <c r="B134" s="30">
        <v>4.5552663609692484E-2</v>
      </c>
      <c r="C134" s="30">
        <v>5.0054173785704606E-2</v>
      </c>
      <c r="D134" s="30">
        <v>5.3929169161376404E-2</v>
      </c>
      <c r="E134" s="30">
        <v>5.7356207065246488E-2</v>
      </c>
      <c r="F134" s="30">
        <v>6.0827973306674298E-2</v>
      </c>
      <c r="G134" s="30">
        <v>6.4530479674464222E-2</v>
      </c>
      <c r="H134" s="30">
        <v>6.8455464276205316E-2</v>
      </c>
      <c r="I134" s="30">
        <v>7.2540289863864169E-2</v>
      </c>
      <c r="J134" s="30">
        <v>7.6721934137627401E-2</v>
      </c>
      <c r="K134" s="30">
        <v>8.0951604882127964E-2</v>
      </c>
      <c r="L134" s="30">
        <v>8.5193629255849515E-2</v>
      </c>
      <c r="N134" s="1"/>
      <c r="O134" s="1"/>
      <c r="P134" s="54">
        <f t="shared" si="114"/>
        <v>0.97339571413127457</v>
      </c>
      <c r="Q134" s="54">
        <f t="shared" si="115"/>
        <v>0.9717292103280617</v>
      </c>
      <c r="R134" s="1">
        <f t="shared" si="116"/>
        <v>0.94098510040872796</v>
      </c>
      <c r="S134" s="1">
        <f t="shared" si="117"/>
        <v>0.90774142105504907</v>
      </c>
      <c r="T134" s="61">
        <f t="shared" si="118"/>
        <v>0.87204789724149356</v>
      </c>
      <c r="U134" s="62">
        <f t="shared" si="119"/>
        <v>0.83414275295362639</v>
      </c>
      <c r="V134" s="63">
        <f t="shared" si="120"/>
        <v>0.79440187783535865</v>
      </c>
      <c r="W134" s="68">
        <f t="shared" si="121"/>
        <v>0.75327070252032435</v>
      </c>
      <c r="Y134" s="24"/>
      <c r="Z134" s="24"/>
      <c r="AA134" s="24">
        <f t="shared" si="85"/>
        <v>5.7356207065246488E-2</v>
      </c>
      <c r="AB134" s="24">
        <f t="shared" si="86"/>
        <v>6.0827973306674298E-2</v>
      </c>
      <c r="AC134" s="24">
        <f t="shared" si="87"/>
        <v>6.4530479674464222E-2</v>
      </c>
      <c r="AD134" s="24">
        <f t="shared" si="88"/>
        <v>6.8455464276205316E-2</v>
      </c>
      <c r="AE134" s="24">
        <f t="shared" si="89"/>
        <v>7.2540289863864169E-2</v>
      </c>
      <c r="AF134" s="24">
        <f t="shared" si="90"/>
        <v>7.6721934137627401E-2</v>
      </c>
      <c r="AG134" s="24">
        <f t="shared" si="91"/>
        <v>8.0951604882127964E-2</v>
      </c>
      <c r="AH134" s="24">
        <f t="shared" si="92"/>
        <v>8.5193629255849515E-2</v>
      </c>
      <c r="AL134" s="23">
        <f t="shared" si="72"/>
        <v>0</v>
      </c>
      <c r="AM134" s="23">
        <f t="shared" si="73"/>
        <v>0</v>
      </c>
      <c r="AN134" s="23">
        <f t="shared" si="74"/>
        <v>-5035.4543641482633</v>
      </c>
      <c r="AO134" s="23">
        <f t="shared" si="75"/>
        <v>-3340.0250717476279</v>
      </c>
      <c r="AP134" s="23">
        <f t="shared" si="76"/>
        <v>-1492.3498353143532</v>
      </c>
      <c r="AQ134" s="23">
        <f t="shared" si="77"/>
        <v>341.80833419245124</v>
      </c>
      <c r="AR134" s="23">
        <f t="shared" si="78"/>
        <v>2109.4497867223049</v>
      </c>
      <c r="AS134" s="23">
        <f t="shared" si="79"/>
        <v>3761.8028570905831</v>
      </c>
      <c r="AT134" s="23">
        <f t="shared" si="80"/>
        <v>5262.6093227114479</v>
      </c>
      <c r="AU134" s="23">
        <f t="shared" si="81"/>
        <v>6587.8273206203494</v>
      </c>
      <c r="AW134" s="25"/>
      <c r="AX134" s="25"/>
      <c r="AY134" s="25">
        <f t="shared" si="94"/>
        <v>8195.6683501268926</v>
      </c>
      <c r="AZ134" s="25">
        <f t="shared" si="95"/>
        <v>13231.122714275156</v>
      </c>
      <c r="BA134" s="25">
        <f t="shared" si="96"/>
        <v>16571.147786022782</v>
      </c>
      <c r="BB134" s="25">
        <f t="shared" si="97"/>
        <v>18063.497621337137</v>
      </c>
      <c r="BC134" s="25">
        <f t="shared" si="98"/>
        <v>17721.689287144683</v>
      </c>
      <c r="BD134" s="25">
        <f t="shared" si="99"/>
        <v>15612.23950042238</v>
      </c>
      <c r="BE134" s="25">
        <f t="shared" si="100"/>
        <v>11850.436643331797</v>
      </c>
      <c r="BF134" s="25">
        <f t="shared" si="101"/>
        <v>6587.8273206203494</v>
      </c>
      <c r="BG134" s="25">
        <f t="shared" si="102"/>
        <v>0</v>
      </c>
      <c r="BI134" s="25"/>
      <c r="BJ134" s="25"/>
      <c r="BK134" s="25">
        <f t="shared" si="105"/>
        <v>8195.6683501268926</v>
      </c>
      <c r="BL134" s="25">
        <f t="shared" si="106"/>
        <v>13231.122714275156</v>
      </c>
      <c r="BM134" s="25">
        <f t="shared" si="107"/>
        <v>16571.147786022782</v>
      </c>
      <c r="BN134" s="25">
        <f t="shared" si="108"/>
        <v>18063.497621337137</v>
      </c>
      <c r="BO134" s="25">
        <f t="shared" si="109"/>
        <v>17721.689287144683</v>
      </c>
      <c r="BP134" s="25">
        <f t="shared" si="110"/>
        <v>15612.23950042238</v>
      </c>
      <c r="BQ134" s="25">
        <f t="shared" si="111"/>
        <v>11850.436643331797</v>
      </c>
      <c r="BR134" s="25">
        <f t="shared" si="112"/>
        <v>6587.8273206203494</v>
      </c>
      <c r="BS134" s="25">
        <f t="shared" si="113"/>
        <v>0</v>
      </c>
    </row>
    <row r="135" spans="1:71" x14ac:dyDescent="0.2">
      <c r="A135" s="29">
        <f t="shared" si="103"/>
        <v>1.2700000000000009</v>
      </c>
      <c r="B135" s="30">
        <v>4.5441282394405931E-2</v>
      </c>
      <c r="C135" s="30">
        <v>4.9914743472973991E-2</v>
      </c>
      <c r="D135" s="30">
        <v>5.3770129030466962E-2</v>
      </c>
      <c r="E135" s="30">
        <v>5.7192043808896996E-2</v>
      </c>
      <c r="F135" s="30">
        <v>6.0666802153006905E-2</v>
      </c>
      <c r="G135" s="30">
        <v>6.4376290067582331E-2</v>
      </c>
      <c r="H135" s="30">
        <v>6.8310915968170433E-2</v>
      </c>
      <c r="I135" s="30">
        <v>7.2407791249907233E-2</v>
      </c>
      <c r="J135" s="30">
        <v>7.6603933445926989E-2</v>
      </c>
      <c r="K135" s="30">
        <v>8.0850567161055042E-2</v>
      </c>
      <c r="L135" s="30">
        <v>8.5111943610188368E-2</v>
      </c>
      <c r="N135" s="1"/>
      <c r="O135" s="1"/>
      <c r="P135" s="54">
        <f t="shared" si="114"/>
        <v>0.97347312169986222</v>
      </c>
      <c r="Q135" s="54">
        <f t="shared" si="115"/>
        <v>0.97180897471734107</v>
      </c>
      <c r="R135" s="1">
        <f t="shared" si="116"/>
        <v>0.941136772285182</v>
      </c>
      <c r="S135" s="1">
        <f t="shared" si="117"/>
        <v>0.90795139177488449</v>
      </c>
      <c r="T135" s="61">
        <f t="shared" si="118"/>
        <v>0.87230003978265847</v>
      </c>
      <c r="U135" s="62">
        <f t="shared" si="119"/>
        <v>0.83441910561805221</v>
      </c>
      <c r="V135" s="63">
        <f t="shared" si="120"/>
        <v>0.79468314753066727</v>
      </c>
      <c r="W135" s="68">
        <f t="shared" si="121"/>
        <v>0.75353713026920766</v>
      </c>
      <c r="Y135" s="24"/>
      <c r="Z135" s="24"/>
      <c r="AA135" s="24">
        <f t="shared" si="85"/>
        <v>5.7192043808896996E-2</v>
      </c>
      <c r="AB135" s="24">
        <f t="shared" si="86"/>
        <v>6.0666802153006905E-2</v>
      </c>
      <c r="AC135" s="24">
        <f t="shared" si="87"/>
        <v>6.4376290067582331E-2</v>
      </c>
      <c r="AD135" s="24">
        <f t="shared" si="88"/>
        <v>6.8310915968170433E-2</v>
      </c>
      <c r="AE135" s="24">
        <f t="shared" si="89"/>
        <v>7.2407791249907233E-2</v>
      </c>
      <c r="AF135" s="24">
        <f t="shared" si="90"/>
        <v>7.6603933445926989E-2</v>
      </c>
      <c r="AG135" s="24">
        <f t="shared" si="91"/>
        <v>8.0850567161055042E-2</v>
      </c>
      <c r="AH135" s="24">
        <f t="shared" si="92"/>
        <v>8.5111943610188368E-2</v>
      </c>
      <c r="AL135" s="23">
        <f t="shared" si="72"/>
        <v>0</v>
      </c>
      <c r="AM135" s="23">
        <f t="shared" si="73"/>
        <v>0</v>
      </c>
      <c r="AN135" s="23">
        <f t="shared" si="74"/>
        <v>-5115.7590585434918</v>
      </c>
      <c r="AO135" s="23">
        <f t="shared" si="75"/>
        <v>-3418.6130244952615</v>
      </c>
      <c r="AP135" s="23">
        <f t="shared" si="76"/>
        <v>-1565.1471329131441</v>
      </c>
      <c r="AQ135" s="23">
        <f t="shared" si="77"/>
        <v>276.26597954477205</v>
      </c>
      <c r="AR135" s="23">
        <f t="shared" si="78"/>
        <v>2052.2704365636077</v>
      </c>
      <c r="AS135" s="23">
        <f t="shared" si="79"/>
        <v>3713.8181318397769</v>
      </c>
      <c r="AT135" s="23">
        <f t="shared" si="80"/>
        <v>5224.3261400187121</v>
      </c>
      <c r="AU135" s="23">
        <f t="shared" si="81"/>
        <v>6559.3808157909825</v>
      </c>
      <c r="AW135" s="25"/>
      <c r="AX135" s="25"/>
      <c r="AY135" s="25">
        <f t="shared" si="94"/>
        <v>7726.5422878059544</v>
      </c>
      <c r="AZ135" s="25">
        <f t="shared" si="95"/>
        <v>12842.301346349446</v>
      </c>
      <c r="BA135" s="25">
        <f t="shared" si="96"/>
        <v>16260.914370844706</v>
      </c>
      <c r="BB135" s="25">
        <f t="shared" si="97"/>
        <v>17826.061503757854</v>
      </c>
      <c r="BC135" s="25">
        <f t="shared" si="98"/>
        <v>17549.795524213077</v>
      </c>
      <c r="BD135" s="25">
        <f t="shared" si="99"/>
        <v>15497.525087649472</v>
      </c>
      <c r="BE135" s="25">
        <f t="shared" si="100"/>
        <v>11783.706955809696</v>
      </c>
      <c r="BF135" s="25">
        <f t="shared" si="101"/>
        <v>6559.3808157909825</v>
      </c>
      <c r="BG135" s="25">
        <f t="shared" si="102"/>
        <v>0</v>
      </c>
      <c r="BI135" s="25"/>
      <c r="BJ135" s="25"/>
      <c r="BK135" s="25">
        <f t="shared" si="105"/>
        <v>7726.5422878059544</v>
      </c>
      <c r="BL135" s="25">
        <f t="shared" si="106"/>
        <v>12842.301346349446</v>
      </c>
      <c r="BM135" s="25">
        <f t="shared" si="107"/>
        <v>16260.914370844706</v>
      </c>
      <c r="BN135" s="25">
        <f t="shared" si="108"/>
        <v>17826.061503757854</v>
      </c>
      <c r="BO135" s="25">
        <f t="shared" si="109"/>
        <v>17549.795524213077</v>
      </c>
      <c r="BP135" s="25">
        <f t="shared" si="110"/>
        <v>15497.525087649472</v>
      </c>
      <c r="BQ135" s="25">
        <f t="shared" si="111"/>
        <v>11783.706955809696</v>
      </c>
      <c r="BR135" s="25">
        <f t="shared" si="112"/>
        <v>6559.3808157909825</v>
      </c>
      <c r="BS135" s="25">
        <f t="shared" si="113"/>
        <v>0</v>
      </c>
    </row>
    <row r="136" spans="1:71" x14ac:dyDescent="0.2">
      <c r="A136" s="29">
        <f t="shared" si="103"/>
        <v>1.2800000000000009</v>
      </c>
      <c r="B136" s="30">
        <v>4.5751105686396433E-2</v>
      </c>
      <c r="C136" s="30">
        <v>5.0195145804155468E-2</v>
      </c>
      <c r="D136" s="30">
        <v>5.4022071700474496E-2</v>
      </c>
      <c r="E136" s="30">
        <v>5.7422712619946768E-2</v>
      </c>
      <c r="F136" s="30">
        <v>6.0877481822979841E-2</v>
      </c>
      <c r="G136" s="30">
        <v>6.45646209188495E-2</v>
      </c>
      <c r="H136" s="30">
        <v>6.8473655664434627E-2</v>
      </c>
      <c r="I136" s="30">
        <v>7.2541877388505621E-2</v>
      </c>
      <c r="J136" s="30">
        <v>7.6706768463558644E-2</v>
      </c>
      <c r="K136" s="30">
        <v>8.0919993926005254E-2</v>
      </c>
      <c r="L136" s="30">
        <v>8.5146153146934037E-2</v>
      </c>
      <c r="N136" s="1"/>
      <c r="O136" s="1"/>
      <c r="P136" s="54">
        <f t="shared" si="114"/>
        <v>0.97335049971472121</v>
      </c>
      <c r="Q136" s="54">
        <f t="shared" si="115"/>
        <v>0.97169689817022353</v>
      </c>
      <c r="R136" s="1">
        <f t="shared" si="116"/>
        <v>0.94093851478574309</v>
      </c>
      <c r="S136" s="1">
        <f t="shared" si="117"/>
        <v>0.90769493511283283</v>
      </c>
      <c r="T136" s="61">
        <f t="shared" si="118"/>
        <v>0.87201617029494771</v>
      </c>
      <c r="U136" s="62">
        <f t="shared" si="119"/>
        <v>0.8341394424047589</v>
      </c>
      <c r="V136" s="63">
        <f t="shared" si="120"/>
        <v>0.79443802157744525</v>
      </c>
      <c r="W136" s="68">
        <f t="shared" si="121"/>
        <v>0.75335404775576953</v>
      </c>
      <c r="Y136" s="24"/>
      <c r="Z136" s="24"/>
      <c r="AA136" s="24">
        <f t="shared" si="85"/>
        <v>5.7422712619946768E-2</v>
      </c>
      <c r="AB136" s="24">
        <f t="shared" si="86"/>
        <v>6.0877481822979841E-2</v>
      </c>
      <c r="AC136" s="24">
        <f t="shared" si="87"/>
        <v>6.45646209188495E-2</v>
      </c>
      <c r="AD136" s="24">
        <f t="shared" si="88"/>
        <v>6.8473655664434627E-2</v>
      </c>
      <c r="AE136" s="24">
        <f t="shared" si="89"/>
        <v>7.2541877388505621E-2</v>
      </c>
      <c r="AF136" s="24">
        <f t="shared" si="90"/>
        <v>7.6706768463558644E-2</v>
      </c>
      <c r="AG136" s="24">
        <f t="shared" si="91"/>
        <v>8.0919993926005254E-2</v>
      </c>
      <c r="AH136" s="24">
        <f t="shared" si="92"/>
        <v>8.5146153146934037E-2</v>
      </c>
      <c r="AL136" s="23">
        <f t="shared" ref="AL136:AL199" si="122">N*(Y136-fix)*N136*time</f>
        <v>0</v>
      </c>
      <c r="AM136" s="23">
        <f t="shared" ref="AM136:AM199" si="123">N*(Z136-fix)*O136*time</f>
        <v>0</v>
      </c>
      <c r="AN136" s="23">
        <f t="shared" ref="AN136:AN199" si="124">N*(AA136-fix)*P136*time</f>
        <v>-5002.8538588820975</v>
      </c>
      <c r="AO136" s="23">
        <f t="shared" ref="AO136:AO199" si="125">N*(AB136-fix)*Q136*time</f>
        <v>-3315.8603726206115</v>
      </c>
      <c r="AP136" s="23">
        <f t="shared" ref="AP136:AP199" si="126">N*(AC136-fix)*R136*time</f>
        <v>-1476.2135472247019</v>
      </c>
      <c r="AQ136" s="23">
        <f t="shared" ref="AQ136:AQ199" si="127">N*(AD136-fix)*S136*time</f>
        <v>350.04694547706856</v>
      </c>
      <c r="AR136" s="23">
        <f t="shared" ref="AR136:AR199" si="128">N*(AE136-fix)*T136*time</f>
        <v>2110.0652140574375</v>
      </c>
      <c r="AS136" s="23">
        <f t="shared" ref="AS136:AS199" si="129">N*(AF136-fix)*U136*time</f>
        <v>3755.4627837776775</v>
      </c>
      <c r="AT136" s="23">
        <f t="shared" ref="AT136:AT199" si="130">N*(AG136-fix)*V136*time</f>
        <v>5250.2922884903446</v>
      </c>
      <c r="AU136" s="23">
        <f t="shared" ref="AU136:AU199" si="131">N*(AH136-fix)*W136*time</f>
        <v>6570.6730678518497</v>
      </c>
      <c r="AW136" s="25"/>
      <c r="AX136" s="25"/>
      <c r="AY136" s="25">
        <f t="shared" si="94"/>
        <v>8241.6125209269667</v>
      </c>
      <c r="AZ136" s="25">
        <f t="shared" si="95"/>
        <v>13244.466379809062</v>
      </c>
      <c r="BA136" s="25">
        <f t="shared" si="96"/>
        <v>16560.326752429675</v>
      </c>
      <c r="BB136" s="25">
        <f t="shared" si="97"/>
        <v>18036.540299654378</v>
      </c>
      <c r="BC136" s="25">
        <f t="shared" si="98"/>
        <v>17686.49335417731</v>
      </c>
      <c r="BD136" s="25">
        <f t="shared" si="99"/>
        <v>15576.428140119871</v>
      </c>
      <c r="BE136" s="25">
        <f t="shared" si="100"/>
        <v>11820.965356342194</v>
      </c>
      <c r="BF136" s="25">
        <f t="shared" si="101"/>
        <v>6570.6730678518497</v>
      </c>
      <c r="BG136" s="25">
        <f t="shared" si="102"/>
        <v>0</v>
      </c>
      <c r="BI136" s="25"/>
      <c r="BJ136" s="25"/>
      <c r="BK136" s="25">
        <f t="shared" si="105"/>
        <v>8241.6125209269667</v>
      </c>
      <c r="BL136" s="25">
        <f t="shared" si="106"/>
        <v>13244.466379809062</v>
      </c>
      <c r="BM136" s="25">
        <f t="shared" si="107"/>
        <v>16560.326752429675</v>
      </c>
      <c r="BN136" s="25">
        <f t="shared" si="108"/>
        <v>18036.540299654378</v>
      </c>
      <c r="BO136" s="25">
        <f t="shared" si="109"/>
        <v>17686.49335417731</v>
      </c>
      <c r="BP136" s="25">
        <f t="shared" si="110"/>
        <v>15576.428140119871</v>
      </c>
      <c r="BQ136" s="25">
        <f t="shared" si="111"/>
        <v>11820.965356342194</v>
      </c>
      <c r="BR136" s="25">
        <f t="shared" si="112"/>
        <v>6570.6730678518497</v>
      </c>
      <c r="BS136" s="25">
        <f t="shared" si="113"/>
        <v>0</v>
      </c>
    </row>
    <row r="137" spans="1:71" x14ac:dyDescent="0.2">
      <c r="A137" s="29">
        <f t="shared" si="103"/>
        <v>1.2900000000000009</v>
      </c>
      <c r="B137" s="30">
        <v>4.7788561301403951E-2</v>
      </c>
      <c r="C137" s="30">
        <v>5.2268128539637151E-2</v>
      </c>
      <c r="D137" s="30">
        <v>5.6127190470234289E-2</v>
      </c>
      <c r="E137" s="30">
        <v>5.9562694761948191E-2</v>
      </c>
      <c r="F137" s="30">
        <v>6.3049335157944433E-2</v>
      </c>
      <c r="G137" s="30">
        <v>6.6761900540042551E-2</v>
      </c>
      <c r="H137" s="30">
        <v>7.0689191691615999E-2</v>
      </c>
      <c r="I137" s="30">
        <v>7.4768822006500854E-2</v>
      </c>
      <c r="J137" s="30">
        <v>7.8938874641716492E-2</v>
      </c>
      <c r="K137" s="30">
        <v>8.3151589653069513E-2</v>
      </c>
      <c r="L137" s="30">
        <v>8.7372049644599867E-2</v>
      </c>
      <c r="N137" s="1"/>
      <c r="O137" s="1"/>
      <c r="P137" s="54">
        <f t="shared" si="114"/>
        <v>0.97232652950073462</v>
      </c>
      <c r="Q137" s="54">
        <f t="shared" si="115"/>
        <v>0.97065774720573106</v>
      </c>
      <c r="R137" s="1">
        <f t="shared" si="116"/>
        <v>0.93889715190721346</v>
      </c>
      <c r="S137" s="1">
        <f t="shared" si="117"/>
        <v>0.90470817050959373</v>
      </c>
      <c r="T137" s="61">
        <f t="shared" si="118"/>
        <v>0.86816075193830367</v>
      </c>
      <c r="U137" s="62">
        <f t="shared" si="119"/>
        <v>0.8295083898836314</v>
      </c>
      <c r="V137" s="63">
        <f t="shared" si="120"/>
        <v>0.78913598340952873</v>
      </c>
      <c r="W137" s="68">
        <f t="shared" si="121"/>
        <v>0.74749283145820877</v>
      </c>
      <c r="Y137" s="24"/>
      <c r="Z137" s="24"/>
      <c r="AA137" s="24">
        <f t="shared" ref="AA137:AA158" si="132">(E137*$AA$7-D137*$X$7)/($AA$7-$X$7)</f>
        <v>5.9562694761948191E-2</v>
      </c>
      <c r="AB137" s="24">
        <f t="shared" ref="AB137:AB200" si="133">(F137*$AB$7-E137*$X$7)/($AB$7-$X$7)</f>
        <v>6.3049335157944433E-2</v>
      </c>
      <c r="AC137" s="24">
        <f t="shared" ref="AC137:AC200" si="134">(G137*$AC$7-F137*$X$7)/($AC$7-$X$7)</f>
        <v>6.6761900540042551E-2</v>
      </c>
      <c r="AD137" s="24">
        <f t="shared" ref="AD137:AD200" si="135">(H137*$AD$7-G137*$X$7)/($AD$7-$X$7)</f>
        <v>7.0689191691615999E-2</v>
      </c>
      <c r="AE137" s="24">
        <f t="shared" ref="AE137:AE200" si="136">(I137*$AE$7-H137*$X$7)/($AE$7-$X$7)</f>
        <v>7.4768822006500854E-2</v>
      </c>
      <c r="AF137" s="24">
        <f t="shared" ref="AF137:AF200" si="137">(J137*$AF$7-I137*$X$7)/($AF$7-$X$7)</f>
        <v>7.8938874641716492E-2</v>
      </c>
      <c r="AG137" s="24">
        <f t="shared" ref="AG137:AG200" si="138">(K137*$AG$7-J137*$X$7)/($AG$7-$X$7)</f>
        <v>8.3151589653069513E-2</v>
      </c>
      <c r="AH137" s="24">
        <f t="shared" ref="AH137:AH200" si="139">(L137*$AH$7-K137*$X$7)/($AH$7-$X$7)</f>
        <v>8.7372049644599867E-2</v>
      </c>
      <c r="AL137" s="23">
        <f t="shared" si="122"/>
        <v>0</v>
      </c>
      <c r="AM137" s="23">
        <f t="shared" si="123"/>
        <v>0</v>
      </c>
      <c r="AN137" s="23">
        <f t="shared" si="124"/>
        <v>-3957.21012375081</v>
      </c>
      <c r="AO137" s="23">
        <f t="shared" si="125"/>
        <v>-2258.2511963960064</v>
      </c>
      <c r="AP137" s="23">
        <f t="shared" si="126"/>
        <v>-441.50111785939964</v>
      </c>
      <c r="AQ137" s="23">
        <f t="shared" si="127"/>
        <v>1351.1018910798343</v>
      </c>
      <c r="AR137" s="23">
        <f t="shared" si="128"/>
        <v>3067.4090044655522</v>
      </c>
      <c r="AS137" s="23">
        <f t="shared" si="129"/>
        <v>4660.3882590298999</v>
      </c>
      <c r="AT137" s="23">
        <f t="shared" si="130"/>
        <v>6095.7683542860295</v>
      </c>
      <c r="AU137" s="23">
        <f t="shared" si="131"/>
        <v>7351.4730067915052</v>
      </c>
      <c r="AW137" s="25"/>
      <c r="AX137" s="25"/>
      <c r="AY137" s="25">
        <f t="shared" ref="AY137:AY158" si="140">SUM(AN137:AU137)</f>
        <v>15869.178077646604</v>
      </c>
      <c r="AZ137" s="25">
        <f t="shared" ref="AZ137:AZ200" si="141">SUM(AO137:AU137)</f>
        <v>19826.388201397414</v>
      </c>
      <c r="BA137" s="25">
        <f t="shared" ref="BA137:BA200" si="142">SUM(AP137:AU137)</f>
        <v>22084.63939779342</v>
      </c>
      <c r="BB137" s="25">
        <f t="shared" ref="BB137:BB200" si="143">SUM(AQ137:AU137)</f>
        <v>22526.14051565282</v>
      </c>
      <c r="BC137" s="25">
        <f t="shared" ref="BC137:BC200" si="144">SUM(AR137:AU137)</f>
        <v>21175.038624572986</v>
      </c>
      <c r="BD137" s="25">
        <f t="shared" ref="BD137:BD200" si="145">SUM(AS137:AU137)</f>
        <v>18107.629620107433</v>
      </c>
      <c r="BE137" s="25">
        <f t="shared" ref="BE137:BE200" si="146">SUM(AT137:AU137)</f>
        <v>13447.241361077535</v>
      </c>
      <c r="BF137" s="25">
        <f t="shared" ref="BF137:BF200" si="147">SUM(AU137)</f>
        <v>7351.4730067915052</v>
      </c>
      <c r="BG137" s="25">
        <f t="shared" ref="BG137:BG200" si="148">SUM(AV137)</f>
        <v>0</v>
      </c>
      <c r="BI137" s="25"/>
      <c r="BJ137" s="25"/>
      <c r="BK137" s="25">
        <f t="shared" si="105"/>
        <v>15869.178077646604</v>
      </c>
      <c r="BL137" s="25">
        <f t="shared" si="106"/>
        <v>19826.388201397414</v>
      </c>
      <c r="BM137" s="25">
        <f t="shared" si="107"/>
        <v>22084.63939779342</v>
      </c>
      <c r="BN137" s="25">
        <f t="shared" si="108"/>
        <v>22526.14051565282</v>
      </c>
      <c r="BO137" s="25">
        <f t="shared" si="109"/>
        <v>21175.038624572986</v>
      </c>
      <c r="BP137" s="25">
        <f t="shared" si="110"/>
        <v>18107.629620107433</v>
      </c>
      <c r="BQ137" s="25">
        <f t="shared" si="111"/>
        <v>13447.241361077535</v>
      </c>
      <c r="BR137" s="25">
        <f t="shared" si="112"/>
        <v>7351.4730067915052</v>
      </c>
      <c r="BS137" s="25">
        <f t="shared" si="113"/>
        <v>0</v>
      </c>
    </row>
    <row r="138" spans="1:71" x14ac:dyDescent="0.2">
      <c r="A138" s="29">
        <f t="shared" ref="A138:A201" si="149">A137+0.01</f>
        <v>1.3000000000000009</v>
      </c>
      <c r="B138" s="30">
        <v>4.6191902210455361E-2</v>
      </c>
      <c r="C138" s="30">
        <v>5.0802788087669956E-2</v>
      </c>
      <c r="D138" s="30">
        <v>5.4784714416591135E-2</v>
      </c>
      <c r="E138" s="30">
        <v>5.8340632727320818E-2</v>
      </c>
      <c r="F138" s="30">
        <v>6.1939684777595858E-2</v>
      </c>
      <c r="G138" s="30">
        <v>6.5753383472876084E-2</v>
      </c>
      <c r="H138" s="30">
        <v>6.9769947759818471E-2</v>
      </c>
      <c r="I138" s="30">
        <v>7.3927440867731495E-2</v>
      </c>
      <c r="J138" s="30">
        <v>7.8164668418872693E-2</v>
      </c>
      <c r="K138" s="30">
        <v>8.2434565848732391E-2</v>
      </c>
      <c r="L138" s="30">
        <v>8.6702819844051218E-2</v>
      </c>
      <c r="N138" s="1"/>
      <c r="O138" s="1"/>
      <c r="P138" s="54">
        <f t="shared" si="114"/>
        <v>0.97297941113679998</v>
      </c>
      <c r="Q138" s="54">
        <f t="shared" si="115"/>
        <v>0.97125103043523831</v>
      </c>
      <c r="R138" s="1">
        <f t="shared" si="116"/>
        <v>0.93993957774608616</v>
      </c>
      <c r="S138" s="1">
        <f t="shared" si="117"/>
        <v>0.9060778266857582</v>
      </c>
      <c r="T138" s="61">
        <f t="shared" si="118"/>
        <v>0.86975832305195611</v>
      </c>
      <c r="U138" s="62">
        <f t="shared" si="119"/>
        <v>0.83125505804091993</v>
      </c>
      <c r="V138" s="63">
        <f t="shared" si="120"/>
        <v>0.79097097554518681</v>
      </c>
      <c r="W138" s="68">
        <f t="shared" si="121"/>
        <v>0.74937108282462817</v>
      </c>
      <c r="Y138" s="24"/>
      <c r="Z138" s="24"/>
      <c r="AA138" s="24">
        <f t="shared" si="132"/>
        <v>5.8340632727320818E-2</v>
      </c>
      <c r="AB138" s="24">
        <f t="shared" si="133"/>
        <v>6.1939684777595858E-2</v>
      </c>
      <c r="AC138" s="24">
        <f t="shared" si="134"/>
        <v>6.5753383472876084E-2</v>
      </c>
      <c r="AD138" s="24">
        <f t="shared" si="135"/>
        <v>6.9769947759818471E-2</v>
      </c>
      <c r="AE138" s="24">
        <f t="shared" si="136"/>
        <v>7.3927440867731495E-2</v>
      </c>
      <c r="AF138" s="24">
        <f t="shared" si="137"/>
        <v>7.8164668418872693E-2</v>
      </c>
      <c r="AG138" s="24">
        <f t="shared" si="138"/>
        <v>8.2434565848732391E-2</v>
      </c>
      <c r="AH138" s="24">
        <f t="shared" si="139"/>
        <v>8.6702819844051218E-2</v>
      </c>
      <c r="AL138" s="23">
        <f t="shared" si="122"/>
        <v>0</v>
      </c>
      <c r="AM138" s="23">
        <f t="shared" si="123"/>
        <v>0</v>
      </c>
      <c r="AN138" s="23">
        <f t="shared" si="124"/>
        <v>-4554.3878447589477</v>
      </c>
      <c r="AO138" s="23">
        <f t="shared" si="125"/>
        <v>-2798.5060172450671</v>
      </c>
      <c r="AP138" s="23">
        <f t="shared" si="126"/>
        <v>-915.96385478986372</v>
      </c>
      <c r="AQ138" s="23">
        <f t="shared" si="127"/>
        <v>936.69407986766896</v>
      </c>
      <c r="AR138" s="23">
        <f t="shared" si="128"/>
        <v>2707.1544616984302</v>
      </c>
      <c r="AS138" s="23">
        <f t="shared" si="129"/>
        <v>4348.420063837214</v>
      </c>
      <c r="AT138" s="23">
        <f t="shared" si="130"/>
        <v>5826.3704453851769</v>
      </c>
      <c r="AU138" s="23">
        <f t="shared" si="131"/>
        <v>7119.194579840575</v>
      </c>
      <c r="AW138" s="25"/>
      <c r="AX138" s="25"/>
      <c r="AY138" s="25">
        <f t="shared" si="140"/>
        <v>12668.975913835187</v>
      </c>
      <c r="AZ138" s="25">
        <f t="shared" si="141"/>
        <v>17223.363758594136</v>
      </c>
      <c r="BA138" s="25">
        <f t="shared" si="142"/>
        <v>20021.869775839201</v>
      </c>
      <c r="BB138" s="25">
        <f t="shared" si="143"/>
        <v>20937.833630629066</v>
      </c>
      <c r="BC138" s="25">
        <f t="shared" si="144"/>
        <v>20001.139550761396</v>
      </c>
      <c r="BD138" s="25">
        <f t="shared" si="145"/>
        <v>17293.985089062968</v>
      </c>
      <c r="BE138" s="25">
        <f t="shared" si="146"/>
        <v>12945.565025225751</v>
      </c>
      <c r="BF138" s="25">
        <f t="shared" si="147"/>
        <v>7119.194579840575</v>
      </c>
      <c r="BG138" s="25">
        <f t="shared" si="148"/>
        <v>0</v>
      </c>
      <c r="BI138" s="25"/>
      <c r="BJ138" s="25"/>
      <c r="BK138" s="25">
        <f t="shared" si="105"/>
        <v>12668.975913835187</v>
      </c>
      <c r="BL138" s="25">
        <f t="shared" si="106"/>
        <v>17223.363758594136</v>
      </c>
      <c r="BM138" s="25">
        <f t="shared" si="107"/>
        <v>20021.869775839201</v>
      </c>
      <c r="BN138" s="25">
        <f t="shared" si="108"/>
        <v>20937.833630629066</v>
      </c>
      <c r="BO138" s="25">
        <f t="shared" si="109"/>
        <v>20001.139550761396</v>
      </c>
      <c r="BP138" s="25">
        <f t="shared" si="110"/>
        <v>17293.985089062968</v>
      </c>
      <c r="BQ138" s="25">
        <f t="shared" si="111"/>
        <v>12945.565025225751</v>
      </c>
      <c r="BR138" s="25">
        <f t="shared" si="112"/>
        <v>7119.194579840575</v>
      </c>
      <c r="BS138" s="25">
        <f t="shared" si="113"/>
        <v>0</v>
      </c>
    </row>
    <row r="139" spans="1:71" x14ac:dyDescent="0.2">
      <c r="A139" s="29">
        <f t="shared" si="149"/>
        <v>1.3100000000000009</v>
      </c>
      <c r="B139" s="30">
        <v>4.6488731422344817E-2</v>
      </c>
      <c r="C139" s="30">
        <v>5.1088164158109017E-2</v>
      </c>
      <c r="D139" s="30">
        <v>5.5065244005816125E-2</v>
      </c>
      <c r="E139" s="30">
        <v>5.8628111374114313E-2</v>
      </c>
      <c r="F139" s="30">
        <v>6.2239817689625804E-2</v>
      </c>
      <c r="G139" s="30">
        <v>6.6068069898376339E-2</v>
      </c>
      <c r="H139" s="30">
        <v>7.0099941877882918E-2</v>
      </c>
      <c r="I139" s="30">
        <v>7.4273368279654445E-2</v>
      </c>
      <c r="J139" s="30">
        <v>7.852729278360826E-2</v>
      </c>
      <c r="K139" s="30">
        <v>8.2814760513111499E-2</v>
      </c>
      <c r="L139" s="30">
        <v>8.7101477035713387E-2</v>
      </c>
      <c r="N139" s="1"/>
      <c r="O139" s="1"/>
      <c r="P139" s="54">
        <f t="shared" si="114"/>
        <v>0.97284294595038912</v>
      </c>
      <c r="Q139" s="54">
        <f t="shared" si="115"/>
        <v>0.97111143350229978</v>
      </c>
      <c r="R139" s="1">
        <f t="shared" si="116"/>
        <v>0.93965751327401814</v>
      </c>
      <c r="S139" s="1">
        <f t="shared" si="117"/>
        <v>0.90565023202361739</v>
      </c>
      <c r="T139" s="61">
        <f t="shared" si="118"/>
        <v>0.86918448217541033</v>
      </c>
      <c r="U139" s="62">
        <f t="shared" si="119"/>
        <v>0.8305364840265772</v>
      </c>
      <c r="V139" s="63">
        <f t="shared" si="120"/>
        <v>0.79011096737728215</v>
      </c>
      <c r="W139" s="68">
        <f t="shared" si="121"/>
        <v>0.74837457188526679</v>
      </c>
      <c r="Y139" s="24"/>
      <c r="Z139" s="24"/>
      <c r="AA139" s="24">
        <f t="shared" si="132"/>
        <v>5.8628111374114313E-2</v>
      </c>
      <c r="AB139" s="24">
        <f t="shared" si="133"/>
        <v>6.2239817689625804E-2</v>
      </c>
      <c r="AC139" s="24">
        <f t="shared" si="134"/>
        <v>6.6068069898376339E-2</v>
      </c>
      <c r="AD139" s="24">
        <f t="shared" si="135"/>
        <v>7.0099941877882918E-2</v>
      </c>
      <c r="AE139" s="24">
        <f t="shared" si="136"/>
        <v>7.4273368279654445E-2</v>
      </c>
      <c r="AF139" s="24">
        <f t="shared" si="137"/>
        <v>7.852729278360826E-2</v>
      </c>
      <c r="AG139" s="24">
        <f t="shared" si="138"/>
        <v>8.2814760513111499E-2</v>
      </c>
      <c r="AH139" s="24">
        <f t="shared" si="139"/>
        <v>8.7101477035713387E-2</v>
      </c>
      <c r="AL139" s="23">
        <f t="shared" si="122"/>
        <v>0</v>
      </c>
      <c r="AM139" s="23">
        <f t="shared" si="123"/>
        <v>0</v>
      </c>
      <c r="AN139" s="23">
        <f t="shared" si="124"/>
        <v>-4413.9132824610124</v>
      </c>
      <c r="AO139" s="23">
        <f t="shared" si="125"/>
        <v>-2652.372539570888</v>
      </c>
      <c r="AP139" s="23">
        <f t="shared" si="126"/>
        <v>-767.8402531182594</v>
      </c>
      <c r="AQ139" s="23">
        <f t="shared" si="127"/>
        <v>1085.6816616326594</v>
      </c>
      <c r="AR139" s="23">
        <f t="shared" si="128"/>
        <v>2855.7057302691255</v>
      </c>
      <c r="AS139" s="23">
        <f t="shared" si="129"/>
        <v>4495.2474776926756</v>
      </c>
      <c r="AT139" s="23">
        <f t="shared" si="130"/>
        <v>5970.233527184133</v>
      </c>
      <c r="AU139" s="23">
        <f t="shared" si="131"/>
        <v>7258.8999533609967</v>
      </c>
      <c r="AW139" s="25"/>
      <c r="AX139" s="25"/>
      <c r="AY139" s="25">
        <f t="shared" si="140"/>
        <v>13831.64227498943</v>
      </c>
      <c r="AZ139" s="25">
        <f t="shared" si="141"/>
        <v>18245.555557450443</v>
      </c>
      <c r="BA139" s="25">
        <f t="shared" si="142"/>
        <v>20897.928097021329</v>
      </c>
      <c r="BB139" s="25">
        <f t="shared" si="143"/>
        <v>21665.768350139591</v>
      </c>
      <c r="BC139" s="25">
        <f t="shared" si="144"/>
        <v>20580.08668850693</v>
      </c>
      <c r="BD139" s="25">
        <f t="shared" si="145"/>
        <v>17724.380958237805</v>
      </c>
      <c r="BE139" s="25">
        <f t="shared" si="146"/>
        <v>13229.13348054513</v>
      </c>
      <c r="BF139" s="25">
        <f t="shared" si="147"/>
        <v>7258.8999533609967</v>
      </c>
      <c r="BG139" s="25">
        <f t="shared" si="148"/>
        <v>0</v>
      </c>
      <c r="BI139" s="25"/>
      <c r="BJ139" s="25"/>
      <c r="BK139" s="25">
        <f t="shared" si="105"/>
        <v>13831.64227498943</v>
      </c>
      <c r="BL139" s="25">
        <f t="shared" si="106"/>
        <v>18245.555557450443</v>
      </c>
      <c r="BM139" s="25">
        <f t="shared" si="107"/>
        <v>20897.928097021329</v>
      </c>
      <c r="BN139" s="25">
        <f t="shared" si="108"/>
        <v>21665.768350139591</v>
      </c>
      <c r="BO139" s="25">
        <f t="shared" si="109"/>
        <v>20580.08668850693</v>
      </c>
      <c r="BP139" s="25">
        <f t="shared" si="110"/>
        <v>17724.380958237805</v>
      </c>
      <c r="BQ139" s="25">
        <f t="shared" si="111"/>
        <v>13229.13348054513</v>
      </c>
      <c r="BR139" s="25">
        <f t="shared" si="112"/>
        <v>7258.8999533609967</v>
      </c>
      <c r="BS139" s="25">
        <f t="shared" si="113"/>
        <v>0</v>
      </c>
    </row>
    <row r="140" spans="1:71" x14ac:dyDescent="0.2">
      <c r="A140" s="29">
        <f t="shared" si="149"/>
        <v>1.320000000000001</v>
      </c>
      <c r="B140" s="30">
        <v>4.6254182045045396E-2</v>
      </c>
      <c r="C140" s="30">
        <v>5.0885388334803952E-2</v>
      </c>
      <c r="D140" s="30">
        <v>5.48948217022351E-2</v>
      </c>
      <c r="E140" s="30">
        <v>5.8495852170632121E-2</v>
      </c>
      <c r="F140" s="30">
        <v>6.2145752843228312E-2</v>
      </c>
      <c r="G140" s="30">
        <v>6.6008744244713285E-2</v>
      </c>
      <c r="H140" s="30">
        <v>7.0071041833582939E-2</v>
      </c>
      <c r="I140" s="30">
        <v>7.4270723336547925E-2</v>
      </c>
      <c r="J140" s="30">
        <v>7.8547136244081758E-2</v>
      </c>
      <c r="K140" s="30">
        <v>8.2853699871579117E-2</v>
      </c>
      <c r="L140" s="30">
        <v>8.715640366186285E-2</v>
      </c>
      <c r="N140" s="1"/>
      <c r="O140" s="1"/>
      <c r="P140" s="54">
        <f t="shared" si="114"/>
        <v>0.97292584655030245</v>
      </c>
      <c r="Q140" s="54">
        <f t="shared" si="115"/>
        <v>0.97117565483808577</v>
      </c>
      <c r="R140" s="1">
        <f t="shared" si="116"/>
        <v>0.93974590617093745</v>
      </c>
      <c r="S140" s="1">
        <f t="shared" si="117"/>
        <v>0.90573082804763039</v>
      </c>
      <c r="T140" s="61">
        <f t="shared" si="118"/>
        <v>0.86923472256742529</v>
      </c>
      <c r="U140" s="62">
        <f t="shared" si="119"/>
        <v>0.8305419758491045</v>
      </c>
      <c r="V140" s="63">
        <f t="shared" si="120"/>
        <v>0.79006393317002566</v>
      </c>
      <c r="W140" s="68">
        <f t="shared" si="121"/>
        <v>0.74827258454520795</v>
      </c>
      <c r="Y140" s="24"/>
      <c r="Z140" s="24"/>
      <c r="AA140" s="24">
        <f t="shared" si="132"/>
        <v>5.8495852170632114E-2</v>
      </c>
      <c r="AB140" s="24">
        <f t="shared" si="133"/>
        <v>6.2145752843228312E-2</v>
      </c>
      <c r="AC140" s="24">
        <f t="shared" si="134"/>
        <v>6.6008744244713285E-2</v>
      </c>
      <c r="AD140" s="24">
        <f t="shared" si="135"/>
        <v>7.0071041833582939E-2</v>
      </c>
      <c r="AE140" s="24">
        <f t="shared" si="136"/>
        <v>7.4270723336547925E-2</v>
      </c>
      <c r="AF140" s="24">
        <f t="shared" si="137"/>
        <v>7.8547136244081758E-2</v>
      </c>
      <c r="AG140" s="24">
        <f t="shared" si="138"/>
        <v>8.2853699871579117E-2</v>
      </c>
      <c r="AH140" s="24">
        <f t="shared" si="139"/>
        <v>8.715640366186285E-2</v>
      </c>
      <c r="AL140" s="23">
        <f t="shared" si="122"/>
        <v>0</v>
      </c>
      <c r="AM140" s="23">
        <f t="shared" si="123"/>
        <v>0</v>
      </c>
      <c r="AN140" s="23">
        <f t="shared" si="124"/>
        <v>-4478.6286118767439</v>
      </c>
      <c r="AO140" s="23">
        <f t="shared" si="125"/>
        <v>-2698.2246901089675</v>
      </c>
      <c r="AP140" s="23">
        <f t="shared" si="126"/>
        <v>-795.78800337121811</v>
      </c>
      <c r="AQ140" s="23">
        <f t="shared" si="127"/>
        <v>1072.6904485656692</v>
      </c>
      <c r="AR140" s="23">
        <f t="shared" si="128"/>
        <v>2854.721256889984</v>
      </c>
      <c r="AS140" s="23">
        <f t="shared" si="129"/>
        <v>4503.5176154101919</v>
      </c>
      <c r="AT140" s="23">
        <f t="shared" si="130"/>
        <v>5985.2604188367559</v>
      </c>
      <c r="AU140" s="23">
        <f t="shared" si="131"/>
        <v>7278.4607658514433</v>
      </c>
      <c r="AW140" s="25"/>
      <c r="AX140" s="25"/>
      <c r="AY140" s="25">
        <f t="shared" si="140"/>
        <v>13722.009200197115</v>
      </c>
      <c r="AZ140" s="25">
        <f t="shared" si="141"/>
        <v>18200.637812073859</v>
      </c>
      <c r="BA140" s="25">
        <f t="shared" si="142"/>
        <v>20898.862502182827</v>
      </c>
      <c r="BB140" s="25">
        <f t="shared" si="143"/>
        <v>21694.650505554044</v>
      </c>
      <c r="BC140" s="25">
        <f t="shared" si="144"/>
        <v>20621.960056988377</v>
      </c>
      <c r="BD140" s="25">
        <f t="shared" si="145"/>
        <v>17767.238800098392</v>
      </c>
      <c r="BE140" s="25">
        <f t="shared" si="146"/>
        <v>13263.721184688198</v>
      </c>
      <c r="BF140" s="25">
        <f t="shared" si="147"/>
        <v>7278.4607658514433</v>
      </c>
      <c r="BG140" s="25">
        <f t="shared" si="148"/>
        <v>0</v>
      </c>
      <c r="BI140" s="25"/>
      <c r="BJ140" s="25"/>
      <c r="BK140" s="25">
        <f t="shared" si="105"/>
        <v>13722.009200197115</v>
      </c>
      <c r="BL140" s="25">
        <f t="shared" si="106"/>
        <v>18200.637812073859</v>
      </c>
      <c r="BM140" s="25">
        <f t="shared" si="107"/>
        <v>20898.862502182827</v>
      </c>
      <c r="BN140" s="25">
        <f t="shared" si="108"/>
        <v>21694.650505554044</v>
      </c>
      <c r="BO140" s="25">
        <f t="shared" si="109"/>
        <v>20621.960056988377</v>
      </c>
      <c r="BP140" s="25">
        <f t="shared" si="110"/>
        <v>17767.238800098392</v>
      </c>
      <c r="BQ140" s="25">
        <f t="shared" si="111"/>
        <v>13263.721184688198</v>
      </c>
      <c r="BR140" s="25">
        <f t="shared" si="112"/>
        <v>7278.4607658514433</v>
      </c>
      <c r="BS140" s="25">
        <f t="shared" si="113"/>
        <v>0</v>
      </c>
    </row>
    <row r="141" spans="1:71" x14ac:dyDescent="0.2">
      <c r="A141" s="29">
        <f t="shared" si="149"/>
        <v>1.330000000000001</v>
      </c>
      <c r="B141" s="30">
        <v>4.6229304628391164E-2</v>
      </c>
      <c r="C141" s="30">
        <v>5.0890744695147393E-2</v>
      </c>
      <c r="D141" s="30">
        <v>5.4935602152846159E-2</v>
      </c>
      <c r="E141" s="30">
        <v>5.858200847851041E-2</v>
      </c>
      <c r="F141" s="30">
        <v>6.228125628787079E-2</v>
      </c>
      <c r="G141" s="30">
        <v>6.6193884242172304E-2</v>
      </c>
      <c r="H141" s="30">
        <v>7.0305021408619453E-2</v>
      </c>
      <c r="I141" s="30">
        <v>7.4552645801676906E-2</v>
      </c>
      <c r="J141" s="30">
        <v>7.8876260127849027E-2</v>
      </c>
      <c r="K141" s="30">
        <v>8.3229408086068185E-2</v>
      </c>
      <c r="L141" s="30">
        <v>8.7578113676600802E-2</v>
      </c>
      <c r="N141" s="1"/>
      <c r="O141" s="1"/>
      <c r="P141" s="54">
        <f t="shared" si="114"/>
        <v>0.97290600857533682</v>
      </c>
      <c r="Q141" s="54">
        <f t="shared" si="115"/>
        <v>0.97113381928483045</v>
      </c>
      <c r="R141" s="1">
        <f t="shared" si="116"/>
        <v>0.93961857599059639</v>
      </c>
      <c r="S141" s="1">
        <f t="shared" si="117"/>
        <v>0.90547933246586032</v>
      </c>
      <c r="T141" s="61">
        <f t="shared" si="118"/>
        <v>0.86882805138561026</v>
      </c>
      <c r="U141" s="62">
        <f t="shared" si="119"/>
        <v>0.82995681098416829</v>
      </c>
      <c r="V141" s="63">
        <f t="shared" si="120"/>
        <v>0.789284231430739</v>
      </c>
      <c r="W141" s="68">
        <f t="shared" si="121"/>
        <v>0.74728926865823253</v>
      </c>
      <c r="Y141" s="24"/>
      <c r="Z141" s="24"/>
      <c r="AA141" s="24">
        <f t="shared" si="132"/>
        <v>5.858200847851041E-2</v>
      </c>
      <c r="AB141" s="24">
        <f t="shared" si="133"/>
        <v>6.228125628787079E-2</v>
      </c>
      <c r="AC141" s="24">
        <f t="shared" si="134"/>
        <v>6.6193884242172304E-2</v>
      </c>
      <c r="AD141" s="24">
        <f t="shared" si="135"/>
        <v>7.0305021408619453E-2</v>
      </c>
      <c r="AE141" s="24">
        <f t="shared" si="136"/>
        <v>7.4552645801676906E-2</v>
      </c>
      <c r="AF141" s="24">
        <f t="shared" si="137"/>
        <v>7.8876260127849027E-2</v>
      </c>
      <c r="AG141" s="24">
        <f t="shared" si="138"/>
        <v>8.3229408086068185E-2</v>
      </c>
      <c r="AH141" s="24">
        <f t="shared" si="139"/>
        <v>8.7578113676600802E-2</v>
      </c>
      <c r="AL141" s="23">
        <f t="shared" si="122"/>
        <v>0</v>
      </c>
      <c r="AM141" s="23">
        <f t="shared" si="123"/>
        <v>0</v>
      </c>
      <c r="AN141" s="23">
        <f t="shared" si="124"/>
        <v>-4436.6262977555716</v>
      </c>
      <c r="AO141" s="23">
        <f t="shared" si="125"/>
        <v>-2632.3124692130036</v>
      </c>
      <c r="AP141" s="23">
        <f t="shared" si="126"/>
        <v>-708.69968827535786</v>
      </c>
      <c r="AQ141" s="23">
        <f t="shared" si="127"/>
        <v>1178.3244277732795</v>
      </c>
      <c r="AR141" s="23">
        <f t="shared" si="128"/>
        <v>2975.8567494897438</v>
      </c>
      <c r="AS141" s="23">
        <f t="shared" si="129"/>
        <v>4636.9239312379068</v>
      </c>
      <c r="AT141" s="23">
        <f t="shared" si="130"/>
        <v>6127.6239435946627</v>
      </c>
      <c r="AU141" s="23">
        <f t="shared" si="131"/>
        <v>7426.4657189435165</v>
      </c>
      <c r="AW141" s="25"/>
      <c r="AX141" s="25"/>
      <c r="AY141" s="25">
        <f t="shared" si="140"/>
        <v>14567.556315795176</v>
      </c>
      <c r="AZ141" s="25">
        <f t="shared" si="141"/>
        <v>19004.182613550747</v>
      </c>
      <c r="BA141" s="25">
        <f t="shared" si="142"/>
        <v>21636.495082763751</v>
      </c>
      <c r="BB141" s="25">
        <f t="shared" si="143"/>
        <v>22345.19477103911</v>
      </c>
      <c r="BC141" s="25">
        <f t="shared" si="144"/>
        <v>21166.870343265829</v>
      </c>
      <c r="BD141" s="25">
        <f t="shared" si="145"/>
        <v>18191.013593776086</v>
      </c>
      <c r="BE141" s="25">
        <f t="shared" si="146"/>
        <v>13554.089662538179</v>
      </c>
      <c r="BF141" s="25">
        <f t="shared" si="147"/>
        <v>7426.4657189435165</v>
      </c>
      <c r="BG141" s="25">
        <f t="shared" si="148"/>
        <v>0</v>
      </c>
      <c r="BI141" s="25"/>
      <c r="BJ141" s="25"/>
      <c r="BK141" s="25">
        <f t="shared" si="105"/>
        <v>14567.556315795176</v>
      </c>
      <c r="BL141" s="25">
        <f t="shared" si="106"/>
        <v>19004.182613550747</v>
      </c>
      <c r="BM141" s="25">
        <f t="shared" si="107"/>
        <v>21636.495082763751</v>
      </c>
      <c r="BN141" s="25">
        <f t="shared" si="108"/>
        <v>22345.19477103911</v>
      </c>
      <c r="BO141" s="25">
        <f t="shared" si="109"/>
        <v>21166.870343265829</v>
      </c>
      <c r="BP141" s="25">
        <f t="shared" si="110"/>
        <v>18191.013593776086</v>
      </c>
      <c r="BQ141" s="25">
        <f t="shared" si="111"/>
        <v>13554.089662538179</v>
      </c>
      <c r="BR141" s="25">
        <f t="shared" si="112"/>
        <v>7426.4657189435165</v>
      </c>
      <c r="BS141" s="25">
        <f t="shared" si="113"/>
        <v>0</v>
      </c>
    </row>
    <row r="142" spans="1:71" x14ac:dyDescent="0.2">
      <c r="A142" s="29">
        <f t="shared" si="149"/>
        <v>1.340000000000001</v>
      </c>
      <c r="B142" s="30">
        <v>4.8174536405384258E-2</v>
      </c>
      <c r="C142" s="30">
        <v>5.2725847300116965E-2</v>
      </c>
      <c r="D142" s="30">
        <v>5.6674317043818326E-2</v>
      </c>
      <c r="E142" s="30">
        <v>6.0242396967722683E-2</v>
      </c>
      <c r="F142" s="30">
        <v>6.3875218411845625E-2</v>
      </c>
      <c r="G142" s="30">
        <v>6.7729463322737035E-2</v>
      </c>
      <c r="H142" s="30">
        <v>7.1788967349197291E-2</v>
      </c>
      <c r="I142" s="30">
        <v>7.5991387131317062E-2</v>
      </c>
      <c r="J142" s="30">
        <v>8.027615321428809E-2</v>
      </c>
      <c r="K142" s="30">
        <v>8.4596705123364979E-2</v>
      </c>
      <c r="L142" s="30">
        <v>8.8918873349994335E-2</v>
      </c>
      <c r="N142" s="1"/>
      <c r="O142" s="1"/>
      <c r="P142" s="54">
        <f t="shared" si="114"/>
        <v>0.97206057303910987</v>
      </c>
      <c r="Q142" s="54">
        <f t="shared" si="115"/>
        <v>0.97032792414835656</v>
      </c>
      <c r="R142" s="1">
        <f t="shared" si="116"/>
        <v>0.93812205258714898</v>
      </c>
      <c r="S142" s="1">
        <f t="shared" si="117"/>
        <v>0.90339607995492355</v>
      </c>
      <c r="T142" s="61">
        <f t="shared" si="118"/>
        <v>0.86625328636783794</v>
      </c>
      <c r="U142" s="62">
        <f t="shared" si="119"/>
        <v>0.82697694036113412</v>
      </c>
      <c r="V142" s="63">
        <f t="shared" si="120"/>
        <v>0.78597644150437429</v>
      </c>
      <c r="W142" s="68">
        <f t="shared" si="121"/>
        <v>0.74372162959530874</v>
      </c>
      <c r="Y142" s="24"/>
      <c r="Z142" s="24"/>
      <c r="AA142" s="24">
        <f t="shared" si="132"/>
        <v>6.0242396967722683E-2</v>
      </c>
      <c r="AB142" s="24">
        <f t="shared" si="133"/>
        <v>6.3875218411845625E-2</v>
      </c>
      <c r="AC142" s="24">
        <f t="shared" si="134"/>
        <v>6.7729463322737035E-2</v>
      </c>
      <c r="AD142" s="24">
        <f t="shared" si="135"/>
        <v>7.1788967349197291E-2</v>
      </c>
      <c r="AE142" s="24">
        <f t="shared" si="136"/>
        <v>7.5991387131317062E-2</v>
      </c>
      <c r="AF142" s="24">
        <f t="shared" si="137"/>
        <v>8.027615321428809E-2</v>
      </c>
      <c r="AG142" s="24">
        <f t="shared" si="138"/>
        <v>8.4596705123364979E-2</v>
      </c>
      <c r="AH142" s="24">
        <f t="shared" si="139"/>
        <v>8.8918873349994335E-2</v>
      </c>
      <c r="AL142" s="23">
        <f t="shared" si="122"/>
        <v>0</v>
      </c>
      <c r="AM142" s="23">
        <f t="shared" si="123"/>
        <v>0</v>
      </c>
      <c r="AN142" s="23">
        <f t="shared" si="124"/>
        <v>-3625.7718665813923</v>
      </c>
      <c r="AO142" s="23">
        <f t="shared" si="125"/>
        <v>-1856.7950659607461</v>
      </c>
      <c r="AP142" s="23">
        <f t="shared" si="126"/>
        <v>12.709351845766648</v>
      </c>
      <c r="AQ142" s="23">
        <f t="shared" si="127"/>
        <v>1845.9089084583632</v>
      </c>
      <c r="AR142" s="23">
        <f t="shared" si="128"/>
        <v>3590.1950242059429</v>
      </c>
      <c r="AS142" s="23">
        <f t="shared" si="129"/>
        <v>5199.1152055431367</v>
      </c>
      <c r="AT142" s="23">
        <f t="shared" si="130"/>
        <v>6639.2754801585534</v>
      </c>
      <c r="AU142" s="23">
        <f t="shared" si="131"/>
        <v>7889.5869602297771</v>
      </c>
      <c r="AW142" s="25"/>
      <c r="AX142" s="25"/>
      <c r="AY142" s="25">
        <f t="shared" si="140"/>
        <v>19694.223997899404</v>
      </c>
      <c r="AZ142" s="25">
        <f t="shared" si="141"/>
        <v>23319.995864480792</v>
      </c>
      <c r="BA142" s="25">
        <f t="shared" si="142"/>
        <v>25176.790930441537</v>
      </c>
      <c r="BB142" s="25">
        <f t="shared" si="143"/>
        <v>25164.081578595775</v>
      </c>
      <c r="BC142" s="25">
        <f t="shared" si="144"/>
        <v>23318.172670137414</v>
      </c>
      <c r="BD142" s="25">
        <f t="shared" si="145"/>
        <v>19727.977645931467</v>
      </c>
      <c r="BE142" s="25">
        <f t="shared" si="146"/>
        <v>14528.86244038833</v>
      </c>
      <c r="BF142" s="25">
        <f t="shared" si="147"/>
        <v>7889.5869602297771</v>
      </c>
      <c r="BG142" s="25">
        <f t="shared" si="148"/>
        <v>0</v>
      </c>
      <c r="BI142" s="25"/>
      <c r="BJ142" s="25"/>
      <c r="BK142" s="25">
        <f t="shared" si="105"/>
        <v>19694.223997899404</v>
      </c>
      <c r="BL142" s="25">
        <f t="shared" si="106"/>
        <v>23319.995864480792</v>
      </c>
      <c r="BM142" s="25">
        <f t="shared" si="107"/>
        <v>25176.790930441537</v>
      </c>
      <c r="BN142" s="25">
        <f t="shared" si="108"/>
        <v>25164.081578595775</v>
      </c>
      <c r="BO142" s="25">
        <f t="shared" si="109"/>
        <v>23318.172670137414</v>
      </c>
      <c r="BP142" s="25">
        <f t="shared" si="110"/>
        <v>19727.977645931467</v>
      </c>
      <c r="BQ142" s="25">
        <f t="shared" si="111"/>
        <v>14528.86244038833</v>
      </c>
      <c r="BR142" s="25">
        <f t="shared" si="112"/>
        <v>7889.5869602297771</v>
      </c>
      <c r="BS142" s="25">
        <f t="shared" si="113"/>
        <v>0</v>
      </c>
    </row>
    <row r="143" spans="1:71" x14ac:dyDescent="0.2">
      <c r="A143" s="29">
        <f t="shared" si="149"/>
        <v>1.350000000000001</v>
      </c>
      <c r="B143" s="30">
        <v>4.7606218185693709E-2</v>
      </c>
      <c r="C143" s="30">
        <v>5.2248640686153841E-2</v>
      </c>
      <c r="D143" s="30">
        <v>5.6283781713608802E-2</v>
      </c>
      <c r="E143" s="30">
        <v>5.9938870563825117E-2</v>
      </c>
      <c r="F143" s="30">
        <v>6.3653591125242978E-2</v>
      </c>
      <c r="G143" s="30">
        <v>6.758148762856224E-2</v>
      </c>
      <c r="H143" s="30">
        <v>7.1705789477979107E-2</v>
      </c>
      <c r="I143" s="30">
        <v>7.5964504656390722E-2</v>
      </c>
      <c r="J143" s="30">
        <v>8.0297658640348199E-2</v>
      </c>
      <c r="K143" s="30">
        <v>8.4659252727644824E-2</v>
      </c>
      <c r="L143" s="30">
        <v>8.9015590338315922E-2</v>
      </c>
      <c r="N143" s="1"/>
      <c r="O143" s="1"/>
      <c r="P143" s="54">
        <f t="shared" si="114"/>
        <v>0.97225040357082682</v>
      </c>
      <c r="Q143" s="54">
        <f t="shared" si="115"/>
        <v>0.97047519539596094</v>
      </c>
      <c r="R143" s="1">
        <f t="shared" si="116"/>
        <v>0.93832998907351439</v>
      </c>
      <c r="S143" s="1">
        <f t="shared" si="117"/>
        <v>0.90359662320381418</v>
      </c>
      <c r="T143" s="61">
        <f t="shared" si="118"/>
        <v>0.86639740456354197</v>
      </c>
      <c r="U143" s="62">
        <f t="shared" si="119"/>
        <v>0.82703252019592732</v>
      </c>
      <c r="V143" s="63">
        <f t="shared" si="120"/>
        <v>0.78592573486535044</v>
      </c>
      <c r="W143" s="68">
        <f t="shared" si="121"/>
        <v>0.74355883439360815</v>
      </c>
      <c r="Y143" s="24"/>
      <c r="Z143" s="24"/>
      <c r="AA143" s="24">
        <f t="shared" si="132"/>
        <v>5.993887056382511E-2</v>
      </c>
      <c r="AB143" s="24">
        <f t="shared" si="133"/>
        <v>6.3653591125242978E-2</v>
      </c>
      <c r="AC143" s="24">
        <f t="shared" si="134"/>
        <v>6.758148762856224E-2</v>
      </c>
      <c r="AD143" s="24">
        <f t="shared" si="135"/>
        <v>7.1705789477979107E-2</v>
      </c>
      <c r="AE143" s="24">
        <f t="shared" si="136"/>
        <v>7.5964504656390722E-2</v>
      </c>
      <c r="AF143" s="24">
        <f t="shared" si="137"/>
        <v>8.0297658640348199E-2</v>
      </c>
      <c r="AG143" s="24">
        <f t="shared" si="138"/>
        <v>8.4659252727644824E-2</v>
      </c>
      <c r="AH143" s="24">
        <f t="shared" si="139"/>
        <v>8.9015590338315922E-2</v>
      </c>
      <c r="AL143" s="23">
        <f t="shared" si="122"/>
        <v>0</v>
      </c>
      <c r="AM143" s="23">
        <f t="shared" si="123"/>
        <v>0</v>
      </c>
      <c r="AN143" s="23">
        <f t="shared" si="124"/>
        <v>-3774.0317660587543</v>
      </c>
      <c r="AO143" s="23">
        <f t="shared" si="125"/>
        <v>-1964.6187726447067</v>
      </c>
      <c r="AP143" s="23">
        <f t="shared" si="126"/>
        <v>-56.712846852003942</v>
      </c>
      <c r="AQ143" s="23">
        <f t="shared" si="127"/>
        <v>1808.7390566328277</v>
      </c>
      <c r="AR143" s="23">
        <f t="shared" si="128"/>
        <v>3579.1468701931749</v>
      </c>
      <c r="AS143" s="23">
        <f t="shared" si="129"/>
        <v>5208.3574733513178</v>
      </c>
      <c r="AT143" s="23">
        <f t="shared" si="130"/>
        <v>6663.4260385608104</v>
      </c>
      <c r="AU143" s="23">
        <f t="shared" si="131"/>
        <v>7923.8173731484858</v>
      </c>
      <c r="AW143" s="25"/>
      <c r="AX143" s="25"/>
      <c r="AY143" s="25">
        <f t="shared" si="140"/>
        <v>19388.123426331149</v>
      </c>
      <c r="AZ143" s="25">
        <f t="shared" si="141"/>
        <v>23162.155192389906</v>
      </c>
      <c r="BA143" s="25">
        <f t="shared" si="142"/>
        <v>25126.773965034612</v>
      </c>
      <c r="BB143" s="25">
        <f t="shared" si="143"/>
        <v>25183.486811886614</v>
      </c>
      <c r="BC143" s="25">
        <f t="shared" si="144"/>
        <v>23374.747755253789</v>
      </c>
      <c r="BD143" s="25">
        <f t="shared" si="145"/>
        <v>19795.600885060616</v>
      </c>
      <c r="BE143" s="25">
        <f t="shared" si="146"/>
        <v>14587.243411709296</v>
      </c>
      <c r="BF143" s="25">
        <f t="shared" si="147"/>
        <v>7923.8173731484858</v>
      </c>
      <c r="BG143" s="25">
        <f t="shared" si="148"/>
        <v>0</v>
      </c>
      <c r="BI143" s="25"/>
      <c r="BJ143" s="25"/>
      <c r="BK143" s="25">
        <f t="shared" si="105"/>
        <v>19388.123426331149</v>
      </c>
      <c r="BL143" s="25">
        <f t="shared" si="106"/>
        <v>23162.155192389906</v>
      </c>
      <c r="BM143" s="25">
        <f t="shared" si="107"/>
        <v>25126.773965034612</v>
      </c>
      <c r="BN143" s="25">
        <f t="shared" si="108"/>
        <v>25183.486811886614</v>
      </c>
      <c r="BO143" s="25">
        <f t="shared" si="109"/>
        <v>23374.747755253789</v>
      </c>
      <c r="BP143" s="25">
        <f t="shared" si="110"/>
        <v>19795.600885060616</v>
      </c>
      <c r="BQ143" s="25">
        <f t="shared" si="111"/>
        <v>14587.243411709296</v>
      </c>
      <c r="BR143" s="25">
        <f t="shared" si="112"/>
        <v>7923.8173731484858</v>
      </c>
      <c r="BS143" s="25">
        <f t="shared" si="113"/>
        <v>0</v>
      </c>
    </row>
    <row r="144" spans="1:71" x14ac:dyDescent="0.2">
      <c r="A144" s="29">
        <f t="shared" si="149"/>
        <v>1.360000000000001</v>
      </c>
      <c r="B144" s="30">
        <v>4.7616310762468847E-2</v>
      </c>
      <c r="C144" s="30">
        <v>5.224792512287639E-2</v>
      </c>
      <c r="D144" s="30">
        <v>5.6274720252557864E-2</v>
      </c>
      <c r="E144" s="30">
        <v>5.9928296851430744E-2</v>
      </c>
      <c r="F144" s="30">
        <v>6.3642735499015293E-2</v>
      </c>
      <c r="G144" s="30">
        <v>6.7568291287527185E-2</v>
      </c>
      <c r="H144" s="30">
        <v>7.1687404476247607E-2</v>
      </c>
      <c r="I144" s="30">
        <v>7.5938237210592202E-2</v>
      </c>
      <c r="J144" s="30">
        <v>8.0261207183235955E-2</v>
      </c>
      <c r="K144" s="30">
        <v>8.46106736355728E-2</v>
      </c>
      <c r="L144" s="30">
        <v>8.8953209578669312E-2</v>
      </c>
      <c r="N144" s="1"/>
      <c r="O144" s="1"/>
      <c r="P144" s="54">
        <f t="shared" si="114"/>
        <v>0.9722548085853876</v>
      </c>
      <c r="Q144" s="54">
        <f t="shared" si="115"/>
        <v>0.97048032617232483</v>
      </c>
      <c r="R144" s="1">
        <f t="shared" si="116"/>
        <v>0.93834017528844282</v>
      </c>
      <c r="S144" s="1">
        <f t="shared" si="117"/>
        <v>0.90361450963463708</v>
      </c>
      <c r="T144" s="61">
        <f t="shared" si="118"/>
        <v>0.86642926258481423</v>
      </c>
      <c r="U144" s="62">
        <f t="shared" si="119"/>
        <v>0.82708683205894484</v>
      </c>
      <c r="V144" s="63">
        <f t="shared" si="120"/>
        <v>0.78601168397937393</v>
      </c>
      <c r="W144" s="68">
        <f t="shared" si="121"/>
        <v>0.74368527008780272</v>
      </c>
      <c r="Y144" s="24"/>
      <c r="Z144" s="24"/>
      <c r="AA144" s="24">
        <f t="shared" si="132"/>
        <v>5.9928296851430744E-2</v>
      </c>
      <c r="AB144" s="24">
        <f t="shared" si="133"/>
        <v>6.3642735499015293E-2</v>
      </c>
      <c r="AC144" s="24">
        <f t="shared" si="134"/>
        <v>6.7568291287527185E-2</v>
      </c>
      <c r="AD144" s="24">
        <f t="shared" si="135"/>
        <v>7.1687404476247607E-2</v>
      </c>
      <c r="AE144" s="24">
        <f t="shared" si="136"/>
        <v>7.5938237210592202E-2</v>
      </c>
      <c r="AF144" s="24">
        <f t="shared" si="137"/>
        <v>8.0261207183235955E-2</v>
      </c>
      <c r="AG144" s="24">
        <f t="shared" si="138"/>
        <v>8.46106736355728E-2</v>
      </c>
      <c r="AH144" s="24">
        <f t="shared" si="139"/>
        <v>8.8953209578669312E-2</v>
      </c>
      <c r="AL144" s="23">
        <f t="shared" si="122"/>
        <v>0</v>
      </c>
      <c r="AM144" s="23">
        <f t="shared" si="123"/>
        <v>0</v>
      </c>
      <c r="AN144" s="23">
        <f t="shared" si="124"/>
        <v>-3779.1890365784266</v>
      </c>
      <c r="AO144" s="23">
        <f t="shared" si="125"/>
        <v>-1969.896745170221</v>
      </c>
      <c r="AP144" s="23">
        <f t="shared" si="126"/>
        <v>-62.904790988812863</v>
      </c>
      <c r="AQ144" s="23">
        <f t="shared" si="127"/>
        <v>1800.4683829312141</v>
      </c>
      <c r="AR144" s="23">
        <f t="shared" si="128"/>
        <v>3567.8990360089797</v>
      </c>
      <c r="AS144" s="23">
        <f t="shared" si="129"/>
        <v>5193.625250107365</v>
      </c>
      <c r="AT144" s="23">
        <f t="shared" si="130"/>
        <v>6645.0628861866826</v>
      </c>
      <c r="AU144" s="23">
        <f t="shared" si="131"/>
        <v>7901.9689231352995</v>
      </c>
      <c r="AW144" s="25"/>
      <c r="AX144" s="25"/>
      <c r="AY144" s="25">
        <f t="shared" si="140"/>
        <v>19297.033905632081</v>
      </c>
      <c r="AZ144" s="25">
        <f t="shared" si="141"/>
        <v>23076.222942210508</v>
      </c>
      <c r="BA144" s="25">
        <f t="shared" si="142"/>
        <v>25046.119687380731</v>
      </c>
      <c r="BB144" s="25">
        <f t="shared" si="143"/>
        <v>25109.024478369542</v>
      </c>
      <c r="BC144" s="25">
        <f t="shared" si="144"/>
        <v>23308.556095438325</v>
      </c>
      <c r="BD144" s="25">
        <f t="shared" si="145"/>
        <v>19740.657059429348</v>
      </c>
      <c r="BE144" s="25">
        <f t="shared" si="146"/>
        <v>14547.031809321983</v>
      </c>
      <c r="BF144" s="25">
        <f t="shared" si="147"/>
        <v>7901.9689231352995</v>
      </c>
      <c r="BG144" s="25">
        <f t="shared" si="148"/>
        <v>0</v>
      </c>
      <c r="BI144" s="25"/>
      <c r="BJ144" s="25"/>
      <c r="BK144" s="25">
        <f t="shared" si="105"/>
        <v>19297.033905632081</v>
      </c>
      <c r="BL144" s="25">
        <f t="shared" si="106"/>
        <v>23076.222942210508</v>
      </c>
      <c r="BM144" s="25">
        <f t="shared" si="107"/>
        <v>25046.119687380731</v>
      </c>
      <c r="BN144" s="25">
        <f t="shared" si="108"/>
        <v>25109.024478369542</v>
      </c>
      <c r="BO144" s="25">
        <f t="shared" si="109"/>
        <v>23308.556095438325</v>
      </c>
      <c r="BP144" s="25">
        <f t="shared" si="110"/>
        <v>19740.657059429348</v>
      </c>
      <c r="BQ144" s="25">
        <f t="shared" si="111"/>
        <v>14547.031809321983</v>
      </c>
      <c r="BR144" s="25">
        <f t="shared" si="112"/>
        <v>7901.9689231352995</v>
      </c>
      <c r="BS144" s="25">
        <f t="shared" si="113"/>
        <v>0</v>
      </c>
    </row>
    <row r="145" spans="1:71" x14ac:dyDescent="0.2">
      <c r="A145" s="29">
        <f t="shared" si="149"/>
        <v>1.370000000000001</v>
      </c>
      <c r="B145" s="30">
        <v>4.6614487279489192E-2</v>
      </c>
      <c r="C145" s="30">
        <v>5.1302415310910933E-2</v>
      </c>
      <c r="D145" s="30">
        <v>5.5387610288545705E-2</v>
      </c>
      <c r="E145" s="30">
        <v>5.9105754237188418E-2</v>
      </c>
      <c r="F145" s="30">
        <v>6.2885280125835996E-2</v>
      </c>
      <c r="G145" s="30">
        <v>6.6873113323079186E-2</v>
      </c>
      <c r="H145" s="30">
        <v>7.1050833224420712E-2</v>
      </c>
      <c r="I145" s="30">
        <v>7.5356670313854665E-2</v>
      </c>
      <c r="J145" s="30">
        <v>7.9731343229717366E-2</v>
      </c>
      <c r="K145" s="30">
        <v>8.4129476804939846E-2</v>
      </c>
      <c r="L145" s="30">
        <v>8.8517821781074771E-2</v>
      </c>
      <c r="N145" s="1"/>
      <c r="O145" s="1"/>
      <c r="P145" s="54">
        <f t="shared" si="114"/>
        <v>0.9726861527048597</v>
      </c>
      <c r="Q145" s="54">
        <f t="shared" si="115"/>
        <v>0.97087953897136292</v>
      </c>
      <c r="R145" s="1">
        <f t="shared" si="116"/>
        <v>0.9390511953450712</v>
      </c>
      <c r="S145" s="1">
        <f t="shared" si="117"/>
        <v>0.90455726042707396</v>
      </c>
      <c r="T145" s="61">
        <f t="shared" si="118"/>
        <v>0.86753305299757144</v>
      </c>
      <c r="U145" s="62">
        <f t="shared" si="119"/>
        <v>0.82829022246762452</v>
      </c>
      <c r="V145" s="63">
        <f t="shared" si="120"/>
        <v>0.78726211532897772</v>
      </c>
      <c r="W145" s="68">
        <f t="shared" si="121"/>
        <v>0.74493883189127608</v>
      </c>
      <c r="Y145" s="24"/>
      <c r="Z145" s="24"/>
      <c r="AA145" s="24">
        <f t="shared" si="132"/>
        <v>5.9105754237188418E-2</v>
      </c>
      <c r="AB145" s="24">
        <f t="shared" si="133"/>
        <v>6.2885280125835996E-2</v>
      </c>
      <c r="AC145" s="24">
        <f t="shared" si="134"/>
        <v>6.6873113323079186E-2</v>
      </c>
      <c r="AD145" s="24">
        <f t="shared" si="135"/>
        <v>7.1050833224420712E-2</v>
      </c>
      <c r="AE145" s="24">
        <f t="shared" si="136"/>
        <v>7.5356670313854665E-2</v>
      </c>
      <c r="AF145" s="24">
        <f t="shared" si="137"/>
        <v>7.9731343229717366E-2</v>
      </c>
      <c r="AG145" s="24">
        <f t="shared" si="138"/>
        <v>8.4129476804939846E-2</v>
      </c>
      <c r="AH145" s="24">
        <f t="shared" si="139"/>
        <v>8.8517821781074771E-2</v>
      </c>
      <c r="AL145" s="23">
        <f t="shared" si="122"/>
        <v>0</v>
      </c>
      <c r="AM145" s="23">
        <f t="shared" si="123"/>
        <v>0</v>
      </c>
      <c r="AN145" s="23">
        <f t="shared" si="124"/>
        <v>-4180.903591960855</v>
      </c>
      <c r="AO145" s="23">
        <f t="shared" si="125"/>
        <v>-2338.4060355523852</v>
      </c>
      <c r="AP145" s="23">
        <f t="shared" si="126"/>
        <v>-389.35630585698118</v>
      </c>
      <c r="AQ145" s="23">
        <f t="shared" si="127"/>
        <v>1514.4392572614811</v>
      </c>
      <c r="AR145" s="23">
        <f t="shared" si="128"/>
        <v>3320.1801200126815</v>
      </c>
      <c r="AS145" s="23">
        <f t="shared" si="129"/>
        <v>4981.7412774369295</v>
      </c>
      <c r="AT145" s="23">
        <f t="shared" si="130"/>
        <v>6466.2202065068113</v>
      </c>
      <c r="AU145" s="23">
        <f t="shared" si="131"/>
        <v>7753.1199060919953</v>
      </c>
      <c r="AW145" s="25"/>
      <c r="AX145" s="25"/>
      <c r="AY145" s="25">
        <f t="shared" si="140"/>
        <v>17127.034833939681</v>
      </c>
      <c r="AZ145" s="25">
        <f t="shared" si="141"/>
        <v>21307.938425900531</v>
      </c>
      <c r="BA145" s="25">
        <f t="shared" si="142"/>
        <v>23646.344461452914</v>
      </c>
      <c r="BB145" s="25">
        <f t="shared" si="143"/>
        <v>24035.7007673099</v>
      </c>
      <c r="BC145" s="25">
        <f t="shared" si="144"/>
        <v>22521.261510048418</v>
      </c>
      <c r="BD145" s="25">
        <f t="shared" si="145"/>
        <v>19201.081390035739</v>
      </c>
      <c r="BE145" s="25">
        <f t="shared" si="146"/>
        <v>14219.340112598806</v>
      </c>
      <c r="BF145" s="25">
        <f t="shared" si="147"/>
        <v>7753.1199060919953</v>
      </c>
      <c r="BG145" s="25">
        <f t="shared" si="148"/>
        <v>0</v>
      </c>
      <c r="BI145" s="25"/>
      <c r="BJ145" s="25"/>
      <c r="BK145" s="25">
        <f t="shared" si="105"/>
        <v>17127.034833939681</v>
      </c>
      <c r="BL145" s="25">
        <f t="shared" si="106"/>
        <v>21307.938425900531</v>
      </c>
      <c r="BM145" s="25">
        <f t="shared" si="107"/>
        <v>23646.344461452914</v>
      </c>
      <c r="BN145" s="25">
        <f t="shared" si="108"/>
        <v>24035.7007673099</v>
      </c>
      <c r="BO145" s="25">
        <f t="shared" si="109"/>
        <v>22521.261510048418</v>
      </c>
      <c r="BP145" s="25">
        <f t="shared" si="110"/>
        <v>19201.081390035739</v>
      </c>
      <c r="BQ145" s="25">
        <f t="shared" si="111"/>
        <v>14219.340112598806</v>
      </c>
      <c r="BR145" s="25">
        <f t="shared" si="112"/>
        <v>7753.1199060919953</v>
      </c>
      <c r="BS145" s="25">
        <f t="shared" si="113"/>
        <v>0</v>
      </c>
    </row>
    <row r="146" spans="1:71" x14ac:dyDescent="0.2">
      <c r="A146" s="29">
        <f t="shared" si="149"/>
        <v>1.380000000000001</v>
      </c>
      <c r="B146" s="30">
        <v>4.5380817391224647E-2</v>
      </c>
      <c r="C146" s="30">
        <v>5.0119727713082041E-2</v>
      </c>
      <c r="D146" s="30">
        <v>5.4252909156723587E-2</v>
      </c>
      <c r="E146" s="30">
        <v>5.8020227112573194E-2</v>
      </c>
      <c r="F146" s="30">
        <v>6.1844809916301993E-2</v>
      </c>
      <c r="G146" s="30">
        <v>6.5870599209532324E-2</v>
      </c>
      <c r="H146" s="30">
        <v>7.0078628727495151E-2</v>
      </c>
      <c r="I146" s="30">
        <v>7.440749856436428E-2</v>
      </c>
      <c r="J146" s="30">
        <v>7.879852421651444E-2</v>
      </c>
      <c r="K146" s="30">
        <v>8.3206890970652328E-2</v>
      </c>
      <c r="L146" s="30">
        <v>8.7599822652661488E-2</v>
      </c>
      <c r="N146" s="1"/>
      <c r="O146" s="1"/>
      <c r="P146" s="54">
        <f t="shared" si="114"/>
        <v>0.97323816332101132</v>
      </c>
      <c r="Q146" s="54">
        <f t="shared" si="115"/>
        <v>0.9714066400411937</v>
      </c>
      <c r="R146" s="1">
        <f t="shared" si="116"/>
        <v>0.94002875861359381</v>
      </c>
      <c r="S146" s="1">
        <f t="shared" si="117"/>
        <v>0.90591853082027096</v>
      </c>
      <c r="T146" s="61">
        <f t="shared" si="118"/>
        <v>0.86922153308424288</v>
      </c>
      <c r="U146" s="62">
        <f t="shared" si="119"/>
        <v>0.83025803047784263</v>
      </c>
      <c r="V146" s="63">
        <f t="shared" si="120"/>
        <v>0.78946832008245016</v>
      </c>
      <c r="W146" s="68">
        <f t="shared" si="121"/>
        <v>0.74734816477449062</v>
      </c>
      <c r="Y146" s="24"/>
      <c r="Z146" s="24"/>
      <c r="AA146" s="24">
        <f t="shared" si="132"/>
        <v>5.8020227112573187E-2</v>
      </c>
      <c r="AB146" s="24">
        <f t="shared" si="133"/>
        <v>6.1844809916301993E-2</v>
      </c>
      <c r="AC146" s="24">
        <f t="shared" si="134"/>
        <v>6.5870599209532324E-2</v>
      </c>
      <c r="AD146" s="24">
        <f t="shared" si="135"/>
        <v>7.0078628727495151E-2</v>
      </c>
      <c r="AE146" s="24">
        <f t="shared" si="136"/>
        <v>7.440749856436428E-2</v>
      </c>
      <c r="AF146" s="24">
        <f t="shared" si="137"/>
        <v>7.879852421651444E-2</v>
      </c>
      <c r="AG146" s="24">
        <f t="shared" si="138"/>
        <v>8.3206890970652328E-2</v>
      </c>
      <c r="AH146" s="24">
        <f t="shared" si="139"/>
        <v>8.7599822652661488E-2</v>
      </c>
      <c r="AL146" s="23">
        <f t="shared" si="122"/>
        <v>0</v>
      </c>
      <c r="AM146" s="23">
        <f t="shared" si="123"/>
        <v>0</v>
      </c>
      <c r="AN146" s="23">
        <f t="shared" si="124"/>
        <v>-4711.5145154934353</v>
      </c>
      <c r="AO146" s="23">
        <f t="shared" si="125"/>
        <v>-2845.0354167960672</v>
      </c>
      <c r="AP146" s="23">
        <f t="shared" si="126"/>
        <v>-860.95767914660087</v>
      </c>
      <c r="AQ146" s="23">
        <f t="shared" si="127"/>
        <v>1076.3493057803021</v>
      </c>
      <c r="AR146" s="23">
        <f t="shared" si="128"/>
        <v>2914.1219268892123</v>
      </c>
      <c r="AS146" s="23">
        <f t="shared" si="129"/>
        <v>4606.3363959788576</v>
      </c>
      <c r="AT146" s="23">
        <f t="shared" si="130"/>
        <v>6120.1648448901087</v>
      </c>
      <c r="AU146" s="23">
        <f t="shared" si="131"/>
        <v>7435.1631027660969</v>
      </c>
      <c r="AW146" s="25"/>
      <c r="AX146" s="25"/>
      <c r="AY146" s="25">
        <f t="shared" si="140"/>
        <v>13734.627964868476</v>
      </c>
      <c r="AZ146" s="25">
        <f t="shared" si="141"/>
        <v>18446.142480361908</v>
      </c>
      <c r="BA146" s="25">
        <f t="shared" si="142"/>
        <v>21291.177897157977</v>
      </c>
      <c r="BB146" s="25">
        <f t="shared" si="143"/>
        <v>22152.135576304579</v>
      </c>
      <c r="BC146" s="25">
        <f t="shared" si="144"/>
        <v>21075.786270524273</v>
      </c>
      <c r="BD146" s="25">
        <f t="shared" si="145"/>
        <v>18161.664343635064</v>
      </c>
      <c r="BE146" s="25">
        <f t="shared" si="146"/>
        <v>13555.327947656206</v>
      </c>
      <c r="BF146" s="25">
        <f t="shared" si="147"/>
        <v>7435.1631027660969</v>
      </c>
      <c r="BG146" s="25">
        <f t="shared" si="148"/>
        <v>0</v>
      </c>
      <c r="BI146" s="25"/>
      <c r="BJ146" s="25"/>
      <c r="BK146" s="25">
        <f t="shared" si="105"/>
        <v>13734.627964868476</v>
      </c>
      <c r="BL146" s="25">
        <f t="shared" si="106"/>
        <v>18446.142480361908</v>
      </c>
      <c r="BM146" s="25">
        <f t="shared" si="107"/>
        <v>21291.177897157977</v>
      </c>
      <c r="BN146" s="25">
        <f t="shared" si="108"/>
        <v>22152.135576304579</v>
      </c>
      <c r="BO146" s="25">
        <f t="shared" si="109"/>
        <v>21075.786270524273</v>
      </c>
      <c r="BP146" s="25">
        <f t="shared" si="110"/>
        <v>18161.664343635064</v>
      </c>
      <c r="BQ146" s="25">
        <f t="shared" si="111"/>
        <v>13555.327947656206</v>
      </c>
      <c r="BR146" s="25">
        <f t="shared" si="112"/>
        <v>7435.1631027660969</v>
      </c>
      <c r="BS146" s="25">
        <f t="shared" si="113"/>
        <v>0</v>
      </c>
    </row>
    <row r="147" spans="1:71" x14ac:dyDescent="0.2">
      <c r="A147" s="29">
        <f t="shared" si="149"/>
        <v>1.390000000000001</v>
      </c>
      <c r="B147" s="30">
        <v>4.520858951132567E-2</v>
      </c>
      <c r="C147" s="30">
        <v>4.9824765073143672E-2</v>
      </c>
      <c r="D147" s="30">
        <v>5.3855741667712703E-2</v>
      </c>
      <c r="E147" s="30">
        <v>5.7544375308515215E-2</v>
      </c>
      <c r="F147" s="30">
        <v>6.1307533133432353E-2</v>
      </c>
      <c r="G147" s="30">
        <v>6.5285218835860637E-2</v>
      </c>
      <c r="H147" s="30">
        <v>6.9456935813576939E-2</v>
      </c>
      <c r="I147" s="30">
        <v>7.3760655333300604E-2</v>
      </c>
      <c r="J147" s="30">
        <v>7.8137286038768183E-2</v>
      </c>
      <c r="K147" s="30">
        <v>8.2541568940481772E-2</v>
      </c>
      <c r="L147" s="30">
        <v>8.694019671032055E-2</v>
      </c>
      <c r="N147" s="1"/>
      <c r="O147" s="1"/>
      <c r="P147" s="54">
        <f t="shared" si="114"/>
        <v>0.97343145179111801</v>
      </c>
      <c r="Q147" s="54">
        <f t="shared" si="115"/>
        <v>0.97163779033949371</v>
      </c>
      <c r="R147" s="1">
        <f t="shared" si="116"/>
        <v>0.94053394994245998</v>
      </c>
      <c r="S147" s="1">
        <f t="shared" si="117"/>
        <v>0.90671434054981892</v>
      </c>
      <c r="T147" s="61">
        <f t="shared" si="118"/>
        <v>0.87030298301015829</v>
      </c>
      <c r="U147" s="62">
        <f t="shared" si="119"/>
        <v>0.83160173360924405</v>
      </c>
      <c r="V147" s="63">
        <f t="shared" si="120"/>
        <v>0.7910359542177684</v>
      </c>
      <c r="W147" s="68">
        <f t="shared" si="121"/>
        <v>0.74909048779129173</v>
      </c>
      <c r="Y147" s="24"/>
      <c r="Z147" s="24"/>
      <c r="AA147" s="24">
        <f t="shared" si="132"/>
        <v>5.7544375308515215E-2</v>
      </c>
      <c r="AB147" s="24">
        <f t="shared" si="133"/>
        <v>6.1307533133432353E-2</v>
      </c>
      <c r="AC147" s="24">
        <f t="shared" si="134"/>
        <v>6.5285218835860637E-2</v>
      </c>
      <c r="AD147" s="24">
        <f t="shared" si="135"/>
        <v>6.9456935813576939E-2</v>
      </c>
      <c r="AE147" s="24">
        <f t="shared" si="136"/>
        <v>7.3760655333300604E-2</v>
      </c>
      <c r="AF147" s="24">
        <f t="shared" si="137"/>
        <v>7.8137286038768183E-2</v>
      </c>
      <c r="AG147" s="24">
        <f t="shared" si="138"/>
        <v>8.2541568940481772E-2</v>
      </c>
      <c r="AH147" s="24">
        <f t="shared" si="139"/>
        <v>8.694019671032055E-2</v>
      </c>
      <c r="AL147" s="23">
        <f t="shared" si="122"/>
        <v>0</v>
      </c>
      <c r="AM147" s="23">
        <f t="shared" si="123"/>
        <v>0</v>
      </c>
      <c r="AN147" s="23">
        <f t="shared" si="124"/>
        <v>-4944.0547948256253</v>
      </c>
      <c r="AO147" s="23">
        <f t="shared" si="125"/>
        <v>-3106.7316180013127</v>
      </c>
      <c r="AP147" s="23">
        <f t="shared" si="126"/>
        <v>-1136.7054335397618</v>
      </c>
      <c r="AQ147" s="23">
        <f t="shared" si="127"/>
        <v>795.44589124299546</v>
      </c>
      <c r="AR147" s="23">
        <f t="shared" si="128"/>
        <v>2636.2727615886574</v>
      </c>
      <c r="AS147" s="23">
        <f t="shared" si="129"/>
        <v>4338.8479584234574</v>
      </c>
      <c r="AT147" s="23">
        <f t="shared" si="130"/>
        <v>5869.1707311079408</v>
      </c>
      <c r="AU147" s="23">
        <f t="shared" si="131"/>
        <v>7205.4372399057183</v>
      </c>
      <c r="AW147" s="25"/>
      <c r="AX147" s="25"/>
      <c r="AY147" s="25">
        <f t="shared" si="140"/>
        <v>11657.682735902072</v>
      </c>
      <c r="AZ147" s="25">
        <f t="shared" si="141"/>
        <v>16601.737530727696</v>
      </c>
      <c r="BA147" s="25">
        <f t="shared" si="142"/>
        <v>19708.469148729007</v>
      </c>
      <c r="BB147" s="25">
        <f t="shared" si="143"/>
        <v>20845.17458226877</v>
      </c>
      <c r="BC147" s="25">
        <f t="shared" si="144"/>
        <v>20049.728691025775</v>
      </c>
      <c r="BD147" s="25">
        <f t="shared" si="145"/>
        <v>17413.455929437117</v>
      </c>
      <c r="BE147" s="25">
        <f t="shared" si="146"/>
        <v>13074.607971013658</v>
      </c>
      <c r="BF147" s="25">
        <f t="shared" si="147"/>
        <v>7205.4372399057183</v>
      </c>
      <c r="BG147" s="25">
        <f t="shared" si="148"/>
        <v>0</v>
      </c>
      <c r="BI147" s="25"/>
      <c r="BJ147" s="25"/>
      <c r="BK147" s="25">
        <f t="shared" si="105"/>
        <v>11657.682735902072</v>
      </c>
      <c r="BL147" s="25">
        <f t="shared" si="106"/>
        <v>16601.737530727696</v>
      </c>
      <c r="BM147" s="25">
        <f t="shared" si="107"/>
        <v>19708.469148729007</v>
      </c>
      <c r="BN147" s="25">
        <f t="shared" si="108"/>
        <v>20845.17458226877</v>
      </c>
      <c r="BO147" s="25">
        <f t="shared" si="109"/>
        <v>20049.728691025775</v>
      </c>
      <c r="BP147" s="25">
        <f t="shared" si="110"/>
        <v>17413.455929437117</v>
      </c>
      <c r="BQ147" s="25">
        <f t="shared" si="111"/>
        <v>13074.607971013658</v>
      </c>
      <c r="BR147" s="25">
        <f t="shared" si="112"/>
        <v>7205.4372399057183</v>
      </c>
      <c r="BS147" s="25">
        <f t="shared" si="113"/>
        <v>0</v>
      </c>
    </row>
    <row r="148" spans="1:71" x14ac:dyDescent="0.2">
      <c r="A148" s="29">
        <f t="shared" si="149"/>
        <v>1.400000000000001</v>
      </c>
      <c r="B148" s="30">
        <v>4.5649765469715178E-2</v>
      </c>
      <c r="C148" s="30">
        <v>5.0243935127603695E-2</v>
      </c>
      <c r="D148" s="30">
        <v>5.4261236640662666E-2</v>
      </c>
      <c r="E148" s="30">
        <v>5.794783962140676E-2</v>
      </c>
      <c r="F148" s="30">
        <v>6.1714904487309055E-2</v>
      </c>
      <c r="G148" s="30">
        <v>6.5699053148146322E-2</v>
      </c>
      <c r="H148" s="30">
        <v>6.9878784706831981E-2</v>
      </c>
      <c r="I148" s="30">
        <v>7.4191954054517867E-2</v>
      </c>
      <c r="J148" s="30">
        <v>7.8579570246221656E-2</v>
      </c>
      <c r="K148" s="30">
        <v>8.2996436291075518E-2</v>
      </c>
      <c r="L148" s="30">
        <v>8.7409220473424309E-2</v>
      </c>
      <c r="N148" s="1"/>
      <c r="O148" s="1"/>
      <c r="P148" s="54">
        <f t="shared" si="114"/>
        <v>0.97323411101686064</v>
      </c>
      <c r="Q148" s="54">
        <f t="shared" si="115"/>
        <v>0.97144179952225407</v>
      </c>
      <c r="R148" s="1">
        <f t="shared" si="116"/>
        <v>0.94015088138478087</v>
      </c>
      <c r="S148" s="1">
        <f t="shared" si="117"/>
        <v>0.90615167094853588</v>
      </c>
      <c r="T148" s="61">
        <f t="shared" si="118"/>
        <v>0.86956901997483138</v>
      </c>
      <c r="U148" s="62">
        <f t="shared" si="119"/>
        <v>0.83070554494168458</v>
      </c>
      <c r="V148" s="63">
        <f t="shared" si="120"/>
        <v>0.78998706210404357</v>
      </c>
      <c r="W148" s="68">
        <f t="shared" si="121"/>
        <v>0.7478988577823773</v>
      </c>
      <c r="Y148" s="24"/>
      <c r="Z148" s="24"/>
      <c r="AA148" s="24">
        <f t="shared" si="132"/>
        <v>5.794783962140676E-2</v>
      </c>
      <c r="AB148" s="24">
        <f t="shared" si="133"/>
        <v>6.1714904487309055E-2</v>
      </c>
      <c r="AC148" s="24">
        <f t="shared" si="134"/>
        <v>6.5699053148146322E-2</v>
      </c>
      <c r="AD148" s="24">
        <f t="shared" si="135"/>
        <v>6.9878784706831981E-2</v>
      </c>
      <c r="AE148" s="24">
        <f t="shared" si="136"/>
        <v>7.4191954054517867E-2</v>
      </c>
      <c r="AF148" s="24">
        <f t="shared" si="137"/>
        <v>7.8579570246221656E-2</v>
      </c>
      <c r="AG148" s="24">
        <f t="shared" si="138"/>
        <v>8.2996436291075518E-2</v>
      </c>
      <c r="AH148" s="24">
        <f t="shared" si="139"/>
        <v>8.7409220473424309E-2</v>
      </c>
      <c r="AL148" s="23">
        <f t="shared" si="122"/>
        <v>0</v>
      </c>
      <c r="AM148" s="23">
        <f t="shared" si="123"/>
        <v>0</v>
      </c>
      <c r="AN148" s="23">
        <f t="shared" si="124"/>
        <v>-4746.7198858105967</v>
      </c>
      <c r="AO148" s="23">
        <f t="shared" si="125"/>
        <v>-2908.2361730019261</v>
      </c>
      <c r="AP148" s="23">
        <f t="shared" si="126"/>
        <v>-941.70911989314993</v>
      </c>
      <c r="AQ148" s="23">
        <f t="shared" si="127"/>
        <v>986.08181001719947</v>
      </c>
      <c r="AR148" s="23">
        <f t="shared" si="128"/>
        <v>2821.5714852775823</v>
      </c>
      <c r="AS148" s="23">
        <f t="shared" si="129"/>
        <v>4517.8761025703834</v>
      </c>
      <c r="AT148" s="23">
        <f t="shared" si="130"/>
        <v>6041.0580316680125</v>
      </c>
      <c r="AU148" s="23">
        <f t="shared" si="131"/>
        <v>7369.3662212661975</v>
      </c>
      <c r="AW148" s="25"/>
      <c r="AX148" s="25"/>
      <c r="AY148" s="25">
        <f t="shared" si="140"/>
        <v>13139.288472093704</v>
      </c>
      <c r="AZ148" s="25">
        <f t="shared" si="141"/>
        <v>17886.008357904298</v>
      </c>
      <c r="BA148" s="25">
        <f t="shared" si="142"/>
        <v>20794.244530906224</v>
      </c>
      <c r="BB148" s="25">
        <f t="shared" si="143"/>
        <v>21735.953650799376</v>
      </c>
      <c r="BC148" s="25">
        <f t="shared" si="144"/>
        <v>20749.871840782176</v>
      </c>
      <c r="BD148" s="25">
        <f t="shared" si="145"/>
        <v>17928.300355504594</v>
      </c>
      <c r="BE148" s="25">
        <f t="shared" si="146"/>
        <v>13410.42425293421</v>
      </c>
      <c r="BF148" s="25">
        <f t="shared" si="147"/>
        <v>7369.3662212661975</v>
      </c>
      <c r="BG148" s="25">
        <f t="shared" si="148"/>
        <v>0</v>
      </c>
      <c r="BI148" s="25"/>
      <c r="BJ148" s="25"/>
      <c r="BK148" s="25">
        <f t="shared" si="105"/>
        <v>13139.288472093704</v>
      </c>
      <c r="BL148" s="25">
        <f t="shared" si="106"/>
        <v>17886.008357904298</v>
      </c>
      <c r="BM148" s="25">
        <f t="shared" si="107"/>
        <v>20794.244530906224</v>
      </c>
      <c r="BN148" s="25">
        <f t="shared" si="108"/>
        <v>21735.953650799376</v>
      </c>
      <c r="BO148" s="25">
        <f t="shared" si="109"/>
        <v>20749.871840782176</v>
      </c>
      <c r="BP148" s="25">
        <f t="shared" si="110"/>
        <v>17928.300355504594</v>
      </c>
      <c r="BQ148" s="25">
        <f t="shared" si="111"/>
        <v>13410.42425293421</v>
      </c>
      <c r="BR148" s="25">
        <f t="shared" si="112"/>
        <v>7369.3662212661975</v>
      </c>
      <c r="BS148" s="25">
        <f t="shared" si="113"/>
        <v>0</v>
      </c>
    </row>
    <row r="149" spans="1:71" x14ac:dyDescent="0.2">
      <c r="A149" s="29">
        <f t="shared" si="149"/>
        <v>1.410000000000001</v>
      </c>
      <c r="B149" s="30">
        <v>4.539086245124014E-2</v>
      </c>
      <c r="C149" s="30">
        <v>4.9838693374234667E-2</v>
      </c>
      <c r="D149" s="30">
        <v>5.3732290867478986E-2</v>
      </c>
      <c r="E149" s="30">
        <v>5.732038158574583E-2</v>
      </c>
      <c r="F149" s="30">
        <v>6.1007889574450663E-2</v>
      </c>
      <c r="G149" s="30">
        <v>6.49275263591403E-2</v>
      </c>
      <c r="H149" s="30">
        <v>6.9056228355865293E-2</v>
      </c>
      <c r="I149" s="30">
        <v>7.333116226556162E-2</v>
      </c>
      <c r="J149" s="30">
        <v>7.7692860635889746E-2</v>
      </c>
      <c r="K149" s="30">
        <v>8.2095610596503277E-2</v>
      </c>
      <c r="L149" s="30">
        <v>8.6505478657682558E-2</v>
      </c>
      <c r="N149" s="1"/>
      <c r="O149" s="1"/>
      <c r="P149" s="54">
        <f t="shared" si="114"/>
        <v>0.9734915390914034</v>
      </c>
      <c r="Q149" s="54">
        <f t="shared" si="115"/>
        <v>0.97174661681641261</v>
      </c>
      <c r="R149" s="1">
        <f t="shared" si="116"/>
        <v>0.94081581711029549</v>
      </c>
      <c r="S149" s="1">
        <f t="shared" si="117"/>
        <v>0.9072009584300349</v>
      </c>
      <c r="T149" s="61">
        <f t="shared" si="118"/>
        <v>0.87100073635930542</v>
      </c>
      <c r="U149" s="62">
        <f t="shared" si="119"/>
        <v>0.83249513110771334</v>
      </c>
      <c r="V149" s="63">
        <f t="shared" si="120"/>
        <v>0.79209132703109564</v>
      </c>
      <c r="W149" s="68">
        <f t="shared" si="121"/>
        <v>0.75026062179500708</v>
      </c>
      <c r="Y149" s="24"/>
      <c r="Z149" s="24"/>
      <c r="AA149" s="24">
        <f t="shared" si="132"/>
        <v>5.7320381585745837E-2</v>
      </c>
      <c r="AB149" s="24">
        <f t="shared" si="133"/>
        <v>6.1007889574450663E-2</v>
      </c>
      <c r="AC149" s="24">
        <f t="shared" si="134"/>
        <v>6.49275263591403E-2</v>
      </c>
      <c r="AD149" s="24">
        <f t="shared" si="135"/>
        <v>6.9056228355865293E-2</v>
      </c>
      <c r="AE149" s="24">
        <f t="shared" si="136"/>
        <v>7.333116226556162E-2</v>
      </c>
      <c r="AF149" s="24">
        <f t="shared" si="137"/>
        <v>7.7692860635889746E-2</v>
      </c>
      <c r="AG149" s="24">
        <f t="shared" si="138"/>
        <v>8.2095610596503277E-2</v>
      </c>
      <c r="AH149" s="24">
        <f t="shared" si="139"/>
        <v>8.6505478657682558E-2</v>
      </c>
      <c r="AL149" s="23">
        <f t="shared" si="122"/>
        <v>0</v>
      </c>
      <c r="AM149" s="23">
        <f t="shared" si="123"/>
        <v>0</v>
      </c>
      <c r="AN149" s="23">
        <f t="shared" si="124"/>
        <v>-5053.3879749675025</v>
      </c>
      <c r="AO149" s="23">
        <f t="shared" si="125"/>
        <v>-3252.6683890223921</v>
      </c>
      <c r="AP149" s="23">
        <f t="shared" si="126"/>
        <v>-1305.3074609166695</v>
      </c>
      <c r="AQ149" s="23">
        <f t="shared" si="127"/>
        <v>614.11169843085725</v>
      </c>
      <c r="AR149" s="23">
        <f t="shared" si="128"/>
        <v>2451.3419675901905</v>
      </c>
      <c r="AS149" s="23">
        <f t="shared" si="129"/>
        <v>4158.5182312336383</v>
      </c>
      <c r="AT149" s="23">
        <f t="shared" si="130"/>
        <v>5700.3813074796744</v>
      </c>
      <c r="AU149" s="23">
        <f t="shared" si="131"/>
        <v>7053.6167404226353</v>
      </c>
      <c r="AW149" s="25"/>
      <c r="AX149" s="25"/>
      <c r="AY149" s="25">
        <f t="shared" si="140"/>
        <v>10366.606120250433</v>
      </c>
      <c r="AZ149" s="25">
        <f t="shared" si="141"/>
        <v>15419.994095217935</v>
      </c>
      <c r="BA149" s="25">
        <f t="shared" si="142"/>
        <v>18672.662484240325</v>
      </c>
      <c r="BB149" s="25">
        <f t="shared" si="143"/>
        <v>19977.969945156998</v>
      </c>
      <c r="BC149" s="25">
        <f t="shared" si="144"/>
        <v>19363.85824672614</v>
      </c>
      <c r="BD149" s="25">
        <f t="shared" si="145"/>
        <v>16912.516279135947</v>
      </c>
      <c r="BE149" s="25">
        <f t="shared" si="146"/>
        <v>12753.998047902311</v>
      </c>
      <c r="BF149" s="25">
        <f t="shared" si="147"/>
        <v>7053.6167404226353</v>
      </c>
      <c r="BG149" s="25">
        <f t="shared" si="148"/>
        <v>0</v>
      </c>
      <c r="BI149" s="25"/>
      <c r="BJ149" s="25"/>
      <c r="BK149" s="25">
        <f t="shared" si="105"/>
        <v>10366.606120250433</v>
      </c>
      <c r="BL149" s="25">
        <f t="shared" si="106"/>
        <v>15419.994095217935</v>
      </c>
      <c r="BM149" s="25">
        <f t="shared" si="107"/>
        <v>18672.662484240325</v>
      </c>
      <c r="BN149" s="25">
        <f t="shared" si="108"/>
        <v>19977.969945156998</v>
      </c>
      <c r="BO149" s="25">
        <f t="shared" si="109"/>
        <v>19363.85824672614</v>
      </c>
      <c r="BP149" s="25">
        <f t="shared" si="110"/>
        <v>16912.516279135947</v>
      </c>
      <c r="BQ149" s="25">
        <f t="shared" si="111"/>
        <v>12753.998047902311</v>
      </c>
      <c r="BR149" s="25">
        <f t="shared" si="112"/>
        <v>7053.6167404226353</v>
      </c>
      <c r="BS149" s="25">
        <f t="shared" si="113"/>
        <v>0</v>
      </c>
    </row>
    <row r="150" spans="1:71" x14ac:dyDescent="0.2">
      <c r="A150" s="29">
        <f t="shared" si="149"/>
        <v>1.420000000000001</v>
      </c>
      <c r="B150" s="30">
        <v>4.5252678625056775E-2</v>
      </c>
      <c r="C150" s="30">
        <v>4.9847026946068136E-2</v>
      </c>
      <c r="D150" s="30">
        <v>5.3877970670987534E-2</v>
      </c>
      <c r="E150" s="30">
        <v>5.7597882778507942E-2</v>
      </c>
      <c r="F150" s="30">
        <v>6.1406762611692201E-2</v>
      </c>
      <c r="G150" s="30">
        <v>6.5434723415752988E-2</v>
      </c>
      <c r="H150" s="30">
        <v>6.9658421559759376E-2</v>
      </c>
      <c r="I150" s="30">
        <v>7.4015604938037147E-2</v>
      </c>
      <c r="J150" s="30">
        <v>7.8447593953395567E-2</v>
      </c>
      <c r="K150" s="30">
        <v>8.2909423288066428E-2</v>
      </c>
      <c r="L150" s="30">
        <v>8.7367821601796902E-2</v>
      </c>
      <c r="N150" s="1"/>
      <c r="O150" s="1"/>
      <c r="P150" s="54">
        <f t="shared" si="114"/>
        <v>0.97342063264577805</v>
      </c>
      <c r="Q150" s="54">
        <f t="shared" si="115"/>
        <v>0.97161179574726619</v>
      </c>
      <c r="R150" s="1">
        <f t="shared" si="116"/>
        <v>0.94044062587964705</v>
      </c>
      <c r="S150" s="1">
        <f t="shared" si="117"/>
        <v>0.90651102642811576</v>
      </c>
      <c r="T150" s="61">
        <f t="shared" si="118"/>
        <v>0.86995234637131469</v>
      </c>
      <c r="U150" s="62">
        <f t="shared" si="119"/>
        <v>0.83107186115744269</v>
      </c>
      <c r="V150" s="63">
        <f t="shared" si="120"/>
        <v>0.79029990272278561</v>
      </c>
      <c r="W150" s="68">
        <f t="shared" si="121"/>
        <v>0.74812666170841757</v>
      </c>
      <c r="Y150" s="24"/>
      <c r="Z150" s="24"/>
      <c r="AA150" s="24">
        <f t="shared" si="132"/>
        <v>5.7597882778507942E-2</v>
      </c>
      <c r="AB150" s="24">
        <f t="shared" si="133"/>
        <v>6.1406762611692201E-2</v>
      </c>
      <c r="AC150" s="24">
        <f t="shared" si="134"/>
        <v>6.5434723415752988E-2</v>
      </c>
      <c r="AD150" s="24">
        <f t="shared" si="135"/>
        <v>6.9658421559759376E-2</v>
      </c>
      <c r="AE150" s="24">
        <f t="shared" si="136"/>
        <v>7.4015604938037147E-2</v>
      </c>
      <c r="AF150" s="24">
        <f t="shared" si="137"/>
        <v>7.8447593953395567E-2</v>
      </c>
      <c r="AG150" s="24">
        <f t="shared" si="138"/>
        <v>8.2909423288066428E-2</v>
      </c>
      <c r="AH150" s="24">
        <f t="shared" si="139"/>
        <v>8.7367821601796902E-2</v>
      </c>
      <c r="AL150" s="23">
        <f t="shared" si="122"/>
        <v>0</v>
      </c>
      <c r="AM150" s="23">
        <f t="shared" si="123"/>
        <v>0</v>
      </c>
      <c r="AN150" s="23">
        <f t="shared" si="124"/>
        <v>-4917.9572067800882</v>
      </c>
      <c r="AO150" s="23">
        <f t="shared" si="125"/>
        <v>-3058.4422366571725</v>
      </c>
      <c r="AP150" s="23">
        <f t="shared" si="126"/>
        <v>-1066.2925541058321</v>
      </c>
      <c r="AQ150" s="23">
        <f t="shared" si="127"/>
        <v>886.59205232898375</v>
      </c>
      <c r="AR150" s="23">
        <f t="shared" si="128"/>
        <v>2746.107636261313</v>
      </c>
      <c r="AS150" s="23">
        <f t="shared" si="129"/>
        <v>4465.0274586958594</v>
      </c>
      <c r="AT150" s="23">
        <f t="shared" si="130"/>
        <v>6009.0671506521112</v>
      </c>
      <c r="AU150" s="23">
        <f t="shared" si="131"/>
        <v>7356.1250706313622</v>
      </c>
      <c r="AW150" s="25"/>
      <c r="AX150" s="25"/>
      <c r="AY150" s="25">
        <f t="shared" si="140"/>
        <v>12420.227371026536</v>
      </c>
      <c r="AZ150" s="25">
        <f t="shared" si="141"/>
        <v>17338.184577806627</v>
      </c>
      <c r="BA150" s="25">
        <f t="shared" si="142"/>
        <v>20396.626814463798</v>
      </c>
      <c r="BB150" s="25">
        <f t="shared" si="143"/>
        <v>21462.91936856963</v>
      </c>
      <c r="BC150" s="25">
        <f t="shared" si="144"/>
        <v>20576.327316240648</v>
      </c>
      <c r="BD150" s="25">
        <f t="shared" si="145"/>
        <v>17830.219679979331</v>
      </c>
      <c r="BE150" s="25">
        <f t="shared" si="146"/>
        <v>13365.192221283472</v>
      </c>
      <c r="BF150" s="25">
        <f t="shared" si="147"/>
        <v>7356.1250706313622</v>
      </c>
      <c r="BG150" s="25">
        <f t="shared" si="148"/>
        <v>0</v>
      </c>
      <c r="BI150" s="25"/>
      <c r="BJ150" s="25"/>
      <c r="BK150" s="25">
        <f t="shared" si="105"/>
        <v>12420.227371026536</v>
      </c>
      <c r="BL150" s="25">
        <f t="shared" si="106"/>
        <v>17338.184577806627</v>
      </c>
      <c r="BM150" s="25">
        <f t="shared" si="107"/>
        <v>20396.626814463798</v>
      </c>
      <c r="BN150" s="25">
        <f t="shared" si="108"/>
        <v>21462.91936856963</v>
      </c>
      <c r="BO150" s="25">
        <f t="shared" si="109"/>
        <v>20576.327316240648</v>
      </c>
      <c r="BP150" s="25">
        <f t="shared" si="110"/>
        <v>17830.219679979331</v>
      </c>
      <c r="BQ150" s="25">
        <f t="shared" si="111"/>
        <v>13365.192221283472</v>
      </c>
      <c r="BR150" s="25">
        <f t="shared" si="112"/>
        <v>7356.1250706313622</v>
      </c>
      <c r="BS150" s="25">
        <f t="shared" si="113"/>
        <v>0</v>
      </c>
    </row>
    <row r="151" spans="1:71" x14ac:dyDescent="0.2">
      <c r="A151" s="29">
        <f t="shared" si="149"/>
        <v>1.430000000000001</v>
      </c>
      <c r="B151" s="30">
        <v>4.6676253271810852E-2</v>
      </c>
      <c r="C151" s="30">
        <v>5.1324485405441718E-2</v>
      </c>
      <c r="D151" s="30">
        <v>5.5398637910505824E-2</v>
      </c>
      <c r="E151" s="30">
        <v>5.9154806803701721E-2</v>
      </c>
      <c r="F151" s="30">
        <v>6.2988361388790784E-2</v>
      </c>
      <c r="G151" s="30">
        <v>6.7027111129929415E-2</v>
      </c>
      <c r="H151" s="30">
        <v>7.1247697708623464E-2</v>
      </c>
      <c r="I151" s="30">
        <v>7.5588702480434436E-2</v>
      </c>
      <c r="J151" s="30">
        <v>7.9992481031879809E-2</v>
      </c>
      <c r="K151" s="30">
        <v>8.441506202431813E-2</v>
      </c>
      <c r="L151" s="30">
        <v>8.8824083184836936E-2</v>
      </c>
      <c r="N151" s="1"/>
      <c r="O151" s="1"/>
      <c r="P151" s="54">
        <f t="shared" si="114"/>
        <v>0.97268078951205661</v>
      </c>
      <c r="Q151" s="54">
        <f t="shared" si="115"/>
        <v>0.97085572719679036</v>
      </c>
      <c r="R151" s="1">
        <f t="shared" si="116"/>
        <v>0.9389544017507645</v>
      </c>
      <c r="S151" s="1">
        <f t="shared" si="117"/>
        <v>0.90434833480715404</v>
      </c>
      <c r="T151" s="61">
        <f t="shared" si="118"/>
        <v>0.86719154733830428</v>
      </c>
      <c r="U151" s="62">
        <f t="shared" si="119"/>
        <v>0.82780988686054313</v>
      </c>
      <c r="V151" s="63">
        <f t="shared" si="120"/>
        <v>0.78664560515610793</v>
      </c>
      <c r="W151" s="68">
        <f t="shared" si="121"/>
        <v>0.74419460158124617</v>
      </c>
      <c r="Y151" s="24"/>
      <c r="Z151" s="24"/>
      <c r="AA151" s="24">
        <f t="shared" si="132"/>
        <v>5.9154806803701721E-2</v>
      </c>
      <c r="AB151" s="24">
        <f t="shared" si="133"/>
        <v>6.2988361388790784E-2</v>
      </c>
      <c r="AC151" s="24">
        <f t="shared" si="134"/>
        <v>6.7027111129929415E-2</v>
      </c>
      <c r="AD151" s="24">
        <f t="shared" si="135"/>
        <v>7.1247697708623464E-2</v>
      </c>
      <c r="AE151" s="24">
        <f t="shared" si="136"/>
        <v>7.5588702480434436E-2</v>
      </c>
      <c r="AF151" s="24">
        <f t="shared" si="137"/>
        <v>7.9992481031879809E-2</v>
      </c>
      <c r="AG151" s="24">
        <f t="shared" si="138"/>
        <v>8.441506202431813E-2</v>
      </c>
      <c r="AH151" s="24">
        <f t="shared" si="139"/>
        <v>8.8824083184836936E-2</v>
      </c>
      <c r="AL151" s="23">
        <f t="shared" si="122"/>
        <v>0</v>
      </c>
      <c r="AM151" s="23">
        <f t="shared" si="123"/>
        <v>0</v>
      </c>
      <c r="AN151" s="23">
        <f t="shared" si="124"/>
        <v>-4157.0242947504021</v>
      </c>
      <c r="AO151" s="23">
        <f t="shared" si="125"/>
        <v>-2288.3101665937365</v>
      </c>
      <c r="AP151" s="23">
        <f t="shared" si="126"/>
        <v>-317.01771328477065</v>
      </c>
      <c r="AQ151" s="23">
        <f t="shared" si="127"/>
        <v>1603.1065014125907</v>
      </c>
      <c r="AR151" s="23">
        <f t="shared" si="128"/>
        <v>3419.4812930209341</v>
      </c>
      <c r="AS151" s="23">
        <f t="shared" si="129"/>
        <v>5086.9385321128329</v>
      </c>
      <c r="AT151" s="23">
        <f t="shared" si="130"/>
        <v>6573.4836455282912</v>
      </c>
      <c r="AU151" s="23">
        <f t="shared" si="131"/>
        <v>7859.3332019641748</v>
      </c>
      <c r="AW151" s="25"/>
      <c r="AX151" s="25"/>
      <c r="AY151" s="25">
        <f t="shared" si="140"/>
        <v>17779.990999409914</v>
      </c>
      <c r="AZ151" s="25">
        <f t="shared" si="141"/>
        <v>21937.015294160316</v>
      </c>
      <c r="BA151" s="25">
        <f t="shared" si="142"/>
        <v>24225.325460754051</v>
      </c>
      <c r="BB151" s="25">
        <f t="shared" si="143"/>
        <v>24542.343174038826</v>
      </c>
      <c r="BC151" s="25">
        <f t="shared" si="144"/>
        <v>22939.236672626233</v>
      </c>
      <c r="BD151" s="25">
        <f t="shared" si="145"/>
        <v>19519.7553796053</v>
      </c>
      <c r="BE151" s="25">
        <f t="shared" si="146"/>
        <v>14432.816847492466</v>
      </c>
      <c r="BF151" s="25">
        <f t="shared" si="147"/>
        <v>7859.3332019641748</v>
      </c>
      <c r="BG151" s="25">
        <f t="shared" si="148"/>
        <v>0</v>
      </c>
      <c r="BI151" s="25"/>
      <c r="BJ151" s="25"/>
      <c r="BK151" s="25">
        <f t="shared" si="105"/>
        <v>17779.990999409914</v>
      </c>
      <c r="BL151" s="25">
        <f t="shared" si="106"/>
        <v>21937.015294160316</v>
      </c>
      <c r="BM151" s="25">
        <f t="shared" si="107"/>
        <v>24225.325460754051</v>
      </c>
      <c r="BN151" s="25">
        <f t="shared" si="108"/>
        <v>24542.343174038826</v>
      </c>
      <c r="BO151" s="25">
        <f t="shared" si="109"/>
        <v>22939.236672626233</v>
      </c>
      <c r="BP151" s="25">
        <f t="shared" si="110"/>
        <v>19519.7553796053</v>
      </c>
      <c r="BQ151" s="25">
        <f t="shared" si="111"/>
        <v>14432.816847492466</v>
      </c>
      <c r="BR151" s="25">
        <f t="shared" si="112"/>
        <v>7859.3332019641748</v>
      </c>
      <c r="BS151" s="25">
        <f t="shared" si="113"/>
        <v>0</v>
      </c>
    </row>
    <row r="152" spans="1:71" x14ac:dyDescent="0.2">
      <c r="A152" s="29">
        <f t="shared" si="149"/>
        <v>1.4400000000000011</v>
      </c>
      <c r="B152" s="30">
        <v>4.5117786095044951E-2</v>
      </c>
      <c r="C152" s="30">
        <v>4.9784142038074713E-2</v>
      </c>
      <c r="D152" s="30">
        <v>5.388513937674471E-2</v>
      </c>
      <c r="E152" s="30">
        <v>5.7679416752327586E-2</v>
      </c>
      <c r="F152" s="30">
        <v>6.1556746602562808E-2</v>
      </c>
      <c r="G152" s="30">
        <v>6.5641667040534993E-2</v>
      </c>
      <c r="H152" s="30">
        <v>6.9909808671277385E-2</v>
      </c>
      <c r="I152" s="30">
        <v>7.4299576994151337E-2</v>
      </c>
      <c r="J152" s="30">
        <v>7.8753348603405549E-2</v>
      </c>
      <c r="K152" s="30">
        <v>8.3227131089404216E-2</v>
      </c>
      <c r="L152" s="30">
        <v>8.7688456687584224E-2</v>
      </c>
      <c r="N152" s="1"/>
      <c r="O152" s="1"/>
      <c r="P152" s="54">
        <f t="shared" si="114"/>
        <v>0.97341714356898434</v>
      </c>
      <c r="Q152" s="54">
        <f t="shared" si="115"/>
        <v>0.97157218686928037</v>
      </c>
      <c r="R152" s="1">
        <f t="shared" si="116"/>
        <v>0.94029958541857084</v>
      </c>
      <c r="S152" s="1">
        <f t="shared" si="117"/>
        <v>0.90622967508170471</v>
      </c>
      <c r="T152" s="61">
        <f t="shared" si="118"/>
        <v>0.86951506669197642</v>
      </c>
      <c r="U152" s="62">
        <f t="shared" si="119"/>
        <v>0.83048206757535548</v>
      </c>
      <c r="V152" s="63">
        <f t="shared" si="120"/>
        <v>0.78957532147923626</v>
      </c>
      <c r="W152" s="68">
        <f t="shared" si="121"/>
        <v>0.74729522419506489</v>
      </c>
      <c r="Y152" s="24"/>
      <c r="Z152" s="24"/>
      <c r="AA152" s="24">
        <f t="shared" si="132"/>
        <v>5.7679416752327593E-2</v>
      </c>
      <c r="AB152" s="24">
        <f t="shared" si="133"/>
        <v>6.1556746602562808E-2</v>
      </c>
      <c r="AC152" s="24">
        <f t="shared" si="134"/>
        <v>6.5641667040534993E-2</v>
      </c>
      <c r="AD152" s="24">
        <f t="shared" si="135"/>
        <v>6.9909808671277385E-2</v>
      </c>
      <c r="AE152" s="24">
        <f t="shared" si="136"/>
        <v>7.4299576994151337E-2</v>
      </c>
      <c r="AF152" s="24">
        <f t="shared" si="137"/>
        <v>7.8753348603405549E-2</v>
      </c>
      <c r="AG152" s="24">
        <f t="shared" si="138"/>
        <v>8.3227131089404216E-2</v>
      </c>
      <c r="AH152" s="24">
        <f t="shared" si="139"/>
        <v>8.7688456687584224E-2</v>
      </c>
      <c r="AL152" s="23">
        <f t="shared" si="122"/>
        <v>0</v>
      </c>
      <c r="AM152" s="23">
        <f t="shared" si="123"/>
        <v>0</v>
      </c>
      <c r="AN152" s="23">
        <f t="shared" si="124"/>
        <v>-4878.2562951679329</v>
      </c>
      <c r="AO152" s="23">
        <f t="shared" si="125"/>
        <v>-2985.4574187212279</v>
      </c>
      <c r="AP152" s="23">
        <f t="shared" si="126"/>
        <v>-968.83813699199516</v>
      </c>
      <c r="AQ152" s="23">
        <f t="shared" si="127"/>
        <v>1000.224113375398</v>
      </c>
      <c r="AR152" s="23">
        <f t="shared" si="128"/>
        <v>2868.186301808531</v>
      </c>
      <c r="AS152" s="23">
        <f t="shared" si="129"/>
        <v>4588.8206030037572</v>
      </c>
      <c r="AT152" s="23">
        <f t="shared" si="130"/>
        <v>6128.9848968315218</v>
      </c>
      <c r="AU152" s="23">
        <f t="shared" si="131"/>
        <v>7467.7543068767955</v>
      </c>
      <c r="AW152" s="25"/>
      <c r="AX152" s="25"/>
      <c r="AY152" s="25">
        <f t="shared" si="140"/>
        <v>13221.418371014846</v>
      </c>
      <c r="AZ152" s="25">
        <f t="shared" si="141"/>
        <v>18099.674666182778</v>
      </c>
      <c r="BA152" s="25">
        <f t="shared" si="142"/>
        <v>21085.132084904009</v>
      </c>
      <c r="BB152" s="25">
        <f t="shared" si="143"/>
        <v>22053.970221896001</v>
      </c>
      <c r="BC152" s="25">
        <f t="shared" si="144"/>
        <v>21053.746108520605</v>
      </c>
      <c r="BD152" s="25">
        <f t="shared" si="145"/>
        <v>18185.559806712074</v>
      </c>
      <c r="BE152" s="25">
        <f t="shared" si="146"/>
        <v>13596.739203708317</v>
      </c>
      <c r="BF152" s="25">
        <f t="shared" si="147"/>
        <v>7467.7543068767955</v>
      </c>
      <c r="BG152" s="25">
        <f t="shared" si="148"/>
        <v>0</v>
      </c>
      <c r="BI152" s="25"/>
      <c r="BJ152" s="25"/>
      <c r="BK152" s="25">
        <f t="shared" si="105"/>
        <v>13221.418371014846</v>
      </c>
      <c r="BL152" s="25">
        <f t="shared" si="106"/>
        <v>18099.674666182778</v>
      </c>
      <c r="BM152" s="25">
        <f t="shared" si="107"/>
        <v>21085.132084904009</v>
      </c>
      <c r="BN152" s="25">
        <f t="shared" si="108"/>
        <v>22053.970221896001</v>
      </c>
      <c r="BO152" s="25">
        <f t="shared" si="109"/>
        <v>21053.746108520605</v>
      </c>
      <c r="BP152" s="25">
        <f t="shared" si="110"/>
        <v>18185.559806712074</v>
      </c>
      <c r="BQ152" s="25">
        <f t="shared" si="111"/>
        <v>13596.739203708317</v>
      </c>
      <c r="BR152" s="25">
        <f t="shared" si="112"/>
        <v>7467.7543068767955</v>
      </c>
      <c r="BS152" s="25">
        <f t="shared" si="113"/>
        <v>0</v>
      </c>
    </row>
    <row r="153" spans="1:71" x14ac:dyDescent="0.2">
      <c r="A153" s="29">
        <f t="shared" si="149"/>
        <v>1.4500000000000011</v>
      </c>
      <c r="B153" s="30">
        <v>4.6645645229157762E-2</v>
      </c>
      <c r="C153" s="30">
        <v>5.1402353435012038E-2</v>
      </c>
      <c r="D153" s="30">
        <v>5.5585873628006252E-2</v>
      </c>
      <c r="E153" s="30">
        <v>5.9458022940044715E-2</v>
      </c>
      <c r="F153" s="30">
        <v>6.3403822109013491E-2</v>
      </c>
      <c r="G153" s="30">
        <v>6.7545381758286921E-2</v>
      </c>
      <c r="H153" s="30">
        <v>7.1858136776700596E-2</v>
      </c>
      <c r="I153" s="30">
        <v>7.6281119400563854E-2</v>
      </c>
      <c r="J153" s="30">
        <v>8.0757525046151607E-2</v>
      </c>
      <c r="K153" s="30">
        <v>8.5244137200290102E-2</v>
      </c>
      <c r="L153" s="30">
        <v>8.9709180065112692E-2</v>
      </c>
      <c r="N153" s="1"/>
      <c r="O153" s="1"/>
      <c r="P153" s="54">
        <f t="shared" si="114"/>
        <v>0.97258973348159683</v>
      </c>
      <c r="Q153" s="54">
        <f t="shared" si="115"/>
        <v>0.97070854879251545</v>
      </c>
      <c r="R153" s="1">
        <f t="shared" si="116"/>
        <v>0.93856438410287335</v>
      </c>
      <c r="S153" s="1">
        <f t="shared" si="117"/>
        <v>0.90364556224273007</v>
      </c>
      <c r="T153" s="61">
        <f t="shared" si="118"/>
        <v>0.86613345816869514</v>
      </c>
      <c r="U153" s="62">
        <f t="shared" si="119"/>
        <v>0.82637815248366298</v>
      </c>
      <c r="V153" s="63">
        <f t="shared" si="120"/>
        <v>0.78484221991662917</v>
      </c>
      <c r="W153" s="68">
        <f t="shared" si="121"/>
        <v>0.742038255251524</v>
      </c>
      <c r="Y153" s="24"/>
      <c r="Z153" s="24"/>
      <c r="AA153" s="24">
        <f t="shared" si="132"/>
        <v>5.9458022940044715E-2</v>
      </c>
      <c r="AB153" s="24">
        <f t="shared" si="133"/>
        <v>6.3403822109013491E-2</v>
      </c>
      <c r="AC153" s="24">
        <f t="shared" si="134"/>
        <v>6.7545381758286921E-2</v>
      </c>
      <c r="AD153" s="24">
        <f t="shared" si="135"/>
        <v>7.1858136776700596E-2</v>
      </c>
      <c r="AE153" s="24">
        <f t="shared" si="136"/>
        <v>7.6281119400563854E-2</v>
      </c>
      <c r="AF153" s="24">
        <f t="shared" si="137"/>
        <v>8.0757525046151607E-2</v>
      </c>
      <c r="AG153" s="24">
        <f t="shared" si="138"/>
        <v>8.5244137200290102E-2</v>
      </c>
      <c r="AH153" s="24">
        <f t="shared" si="139"/>
        <v>8.9709180065112692E-2</v>
      </c>
      <c r="AL153" s="23">
        <f t="shared" si="122"/>
        <v>0</v>
      </c>
      <c r="AM153" s="23">
        <f t="shared" si="123"/>
        <v>0</v>
      </c>
      <c r="AN153" s="23">
        <f t="shared" si="124"/>
        <v>-4009.1826906367214</v>
      </c>
      <c r="AO153" s="23">
        <f t="shared" si="125"/>
        <v>-2086.3176302032462</v>
      </c>
      <c r="AP153" s="23">
        <f t="shared" si="126"/>
        <v>-73.670855681846419</v>
      </c>
      <c r="AQ153" s="23">
        <f t="shared" si="127"/>
        <v>1877.6709986368323</v>
      </c>
      <c r="AR153" s="23">
        <f t="shared" si="128"/>
        <v>3715.1718012422816</v>
      </c>
      <c r="AS153" s="23">
        <f t="shared" si="129"/>
        <v>5394.2482730046759</v>
      </c>
      <c r="AT153" s="23">
        <f t="shared" si="130"/>
        <v>6883.7605334798727</v>
      </c>
      <c r="AU153" s="23">
        <f t="shared" si="131"/>
        <v>8164.9482078587316</v>
      </c>
      <c r="AW153" s="25"/>
      <c r="AX153" s="25"/>
      <c r="AY153" s="25">
        <f t="shared" si="140"/>
        <v>19866.628637700582</v>
      </c>
      <c r="AZ153" s="25">
        <f t="shared" si="141"/>
        <v>23875.811328337302</v>
      </c>
      <c r="BA153" s="25">
        <f t="shared" si="142"/>
        <v>25962.128958540547</v>
      </c>
      <c r="BB153" s="25">
        <f t="shared" si="143"/>
        <v>26035.799814222395</v>
      </c>
      <c r="BC153" s="25">
        <f t="shared" si="144"/>
        <v>24158.128815585562</v>
      </c>
      <c r="BD153" s="25">
        <f t="shared" si="145"/>
        <v>20442.957014343279</v>
      </c>
      <c r="BE153" s="25">
        <f t="shared" si="146"/>
        <v>15048.708741338603</v>
      </c>
      <c r="BF153" s="25">
        <f t="shared" si="147"/>
        <v>8164.9482078587316</v>
      </c>
      <c r="BG153" s="25">
        <f t="shared" si="148"/>
        <v>0</v>
      </c>
      <c r="BI153" s="25"/>
      <c r="BJ153" s="25"/>
      <c r="BK153" s="25">
        <f t="shared" si="105"/>
        <v>19866.628637700582</v>
      </c>
      <c r="BL153" s="25">
        <f t="shared" si="106"/>
        <v>23875.811328337302</v>
      </c>
      <c r="BM153" s="25">
        <f t="shared" si="107"/>
        <v>25962.128958540547</v>
      </c>
      <c r="BN153" s="25">
        <f t="shared" si="108"/>
        <v>26035.799814222395</v>
      </c>
      <c r="BO153" s="25">
        <f t="shared" si="109"/>
        <v>24158.128815585562</v>
      </c>
      <c r="BP153" s="25">
        <f t="shared" si="110"/>
        <v>20442.957014343279</v>
      </c>
      <c r="BQ153" s="25">
        <f t="shared" si="111"/>
        <v>15048.708741338603</v>
      </c>
      <c r="BR153" s="25">
        <f t="shared" si="112"/>
        <v>8164.9482078587316</v>
      </c>
      <c r="BS153" s="25">
        <f t="shared" si="113"/>
        <v>0</v>
      </c>
    </row>
    <row r="154" spans="1:71" x14ac:dyDescent="0.2">
      <c r="A154" s="29">
        <f t="shared" si="149"/>
        <v>1.4600000000000011</v>
      </c>
      <c r="B154" s="30">
        <v>4.6814100990668135E-2</v>
      </c>
      <c r="C154" s="30">
        <v>5.161832597747245E-2</v>
      </c>
      <c r="D154" s="30">
        <v>5.5846110170426906E-2</v>
      </c>
      <c r="E154" s="30">
        <v>5.9762113537413668E-2</v>
      </c>
      <c r="F154" s="30">
        <v>6.3746474549824142E-2</v>
      </c>
      <c r="G154" s="30">
        <v>6.7918743925948544E-2</v>
      </c>
      <c r="H154" s="30">
        <v>7.2254000236643579E-2</v>
      </c>
      <c r="I154" s="30">
        <v>7.6691729246024049E-2</v>
      </c>
      <c r="J154" s="30">
        <v>8.1175767283035688E-2</v>
      </c>
      <c r="K154" s="30">
        <v>8.5663495001527368E-2</v>
      </c>
      <c r="L154" s="30">
        <v>9.0123650331497385E-2</v>
      </c>
      <c r="N154" s="1"/>
      <c r="O154" s="1"/>
      <c r="P154" s="54">
        <f t="shared" si="114"/>
        <v>0.97246319001986603</v>
      </c>
      <c r="Q154" s="54">
        <f t="shared" si="115"/>
        <v>0.97056096834102001</v>
      </c>
      <c r="R154" s="1">
        <f t="shared" si="116"/>
        <v>0.93824283781825824</v>
      </c>
      <c r="S154" s="1">
        <f t="shared" si="117"/>
        <v>0.90313962333091546</v>
      </c>
      <c r="T154" s="61">
        <f t="shared" si="118"/>
        <v>0.86544798838189674</v>
      </c>
      <c r="U154" s="62">
        <f t="shared" si="119"/>
        <v>0.82553029022014979</v>
      </c>
      <c r="V154" s="63">
        <f t="shared" si="120"/>
        <v>0.78385807496524584</v>
      </c>
      <c r="W154" s="68">
        <f t="shared" si="121"/>
        <v>0.74094992578689911</v>
      </c>
      <c r="Y154" s="24"/>
      <c r="Z154" s="24"/>
      <c r="AA154" s="24">
        <f t="shared" si="132"/>
        <v>5.9762113537413668E-2</v>
      </c>
      <c r="AB154" s="24">
        <f t="shared" si="133"/>
        <v>6.3746474549824142E-2</v>
      </c>
      <c r="AC154" s="24">
        <f t="shared" si="134"/>
        <v>6.7918743925948544E-2</v>
      </c>
      <c r="AD154" s="24">
        <f t="shared" si="135"/>
        <v>7.2254000236643579E-2</v>
      </c>
      <c r="AE154" s="24">
        <f t="shared" si="136"/>
        <v>7.6691729246024049E-2</v>
      </c>
      <c r="AF154" s="24">
        <f t="shared" si="137"/>
        <v>8.1175767283035688E-2</v>
      </c>
      <c r="AG154" s="24">
        <f t="shared" si="138"/>
        <v>8.5663495001527368E-2</v>
      </c>
      <c r="AH154" s="24">
        <f t="shared" si="139"/>
        <v>9.0123650331497385E-2</v>
      </c>
      <c r="AL154" s="23">
        <f t="shared" si="122"/>
        <v>0</v>
      </c>
      <c r="AM154" s="23">
        <f t="shared" si="123"/>
        <v>0</v>
      </c>
      <c r="AN154" s="23">
        <f t="shared" si="124"/>
        <v>-3860.8026004676117</v>
      </c>
      <c r="AO154" s="23">
        <f t="shared" si="125"/>
        <v>-1919.7178971514977</v>
      </c>
      <c r="AP154" s="23">
        <f t="shared" si="126"/>
        <v>101.50657335269896</v>
      </c>
      <c r="AQ154" s="23">
        <f t="shared" si="127"/>
        <v>2055.379704126542</v>
      </c>
      <c r="AR154" s="23">
        <f t="shared" si="128"/>
        <v>3889.9122961830531</v>
      </c>
      <c r="AS154" s="23">
        <f t="shared" si="129"/>
        <v>5561.3496031087316</v>
      </c>
      <c r="AT154" s="23">
        <f t="shared" si="130"/>
        <v>7039.4872110896649</v>
      </c>
      <c r="AU154" s="23">
        <f t="shared" si="131"/>
        <v>8306.5237334309095</v>
      </c>
      <c r="AW154" s="25"/>
      <c r="AX154" s="25"/>
      <c r="AY154" s="25">
        <f t="shared" si="140"/>
        <v>21173.63862367249</v>
      </c>
      <c r="AZ154" s="25">
        <f t="shared" si="141"/>
        <v>25034.441224140104</v>
      </c>
      <c r="BA154" s="25">
        <f t="shared" si="142"/>
        <v>26954.159121291599</v>
      </c>
      <c r="BB154" s="25">
        <f t="shared" si="143"/>
        <v>26852.652547938902</v>
      </c>
      <c r="BC154" s="25">
        <f t="shared" si="144"/>
        <v>24797.272843812359</v>
      </c>
      <c r="BD154" s="25">
        <f t="shared" si="145"/>
        <v>20907.360547629305</v>
      </c>
      <c r="BE154" s="25">
        <f t="shared" si="146"/>
        <v>15346.010944520574</v>
      </c>
      <c r="BF154" s="25">
        <f t="shared" si="147"/>
        <v>8306.5237334309095</v>
      </c>
      <c r="BG154" s="25">
        <f t="shared" si="148"/>
        <v>0</v>
      </c>
      <c r="BI154" s="25"/>
      <c r="BJ154" s="25"/>
      <c r="BK154" s="25">
        <f t="shared" si="105"/>
        <v>21173.63862367249</v>
      </c>
      <c r="BL154" s="25">
        <f t="shared" si="106"/>
        <v>25034.441224140104</v>
      </c>
      <c r="BM154" s="25">
        <f t="shared" si="107"/>
        <v>26954.159121291599</v>
      </c>
      <c r="BN154" s="25">
        <f t="shared" si="108"/>
        <v>26852.652547938902</v>
      </c>
      <c r="BO154" s="25">
        <f t="shared" si="109"/>
        <v>24797.272843812359</v>
      </c>
      <c r="BP154" s="25">
        <f t="shared" si="110"/>
        <v>20907.360547629305</v>
      </c>
      <c r="BQ154" s="25">
        <f t="shared" si="111"/>
        <v>15346.010944520574</v>
      </c>
      <c r="BR154" s="25">
        <f t="shared" si="112"/>
        <v>8306.5237334309095</v>
      </c>
      <c r="BS154" s="25">
        <f t="shared" si="113"/>
        <v>0</v>
      </c>
    </row>
    <row r="155" spans="1:71" x14ac:dyDescent="0.2">
      <c r="A155" s="29">
        <f t="shared" si="149"/>
        <v>1.4700000000000011</v>
      </c>
      <c r="B155" s="30">
        <v>4.7100704630349904E-2</v>
      </c>
      <c r="C155" s="30">
        <v>5.1885009457210585E-2</v>
      </c>
      <c r="D155" s="30">
        <v>5.6096162942840457E-2</v>
      </c>
      <c r="E155" s="30">
        <v>6.0001269444318425E-2</v>
      </c>
      <c r="F155" s="30">
        <v>6.397538766903782E-2</v>
      </c>
      <c r="G155" s="30">
        <v>6.8135308557215182E-2</v>
      </c>
      <c r="H155" s="30">
        <v>7.2455526613912372E-2</v>
      </c>
      <c r="I155" s="30">
        <v>7.6875740934015335E-2</v>
      </c>
      <c r="J155" s="30">
        <v>8.1340183939495991E-2</v>
      </c>
      <c r="K155" s="30">
        <v>8.5806587837711029E-2</v>
      </c>
      <c r="L155" s="30">
        <v>9.0243959163291074E-2</v>
      </c>
      <c r="N155" s="1"/>
      <c r="O155" s="1"/>
      <c r="P155" s="54">
        <f t="shared" si="114"/>
        <v>0.97234161406175845</v>
      </c>
      <c r="Q155" s="54">
        <f t="shared" si="115"/>
        <v>0.97044491758541918</v>
      </c>
      <c r="R155" s="1">
        <f t="shared" si="116"/>
        <v>0.93802808630433065</v>
      </c>
      <c r="S155" s="1">
        <f t="shared" si="117"/>
        <v>0.90284628882864026</v>
      </c>
      <c r="T155" s="61">
        <f t="shared" si="118"/>
        <v>0.86509923747349871</v>
      </c>
      <c r="U155" s="62">
        <f t="shared" si="119"/>
        <v>0.82515060950347929</v>
      </c>
      <c r="V155" s="63">
        <f t="shared" si="120"/>
        <v>0.78347153233267808</v>
      </c>
      <c r="W155" s="68">
        <f t="shared" si="121"/>
        <v>0.74057893250376727</v>
      </c>
      <c r="Y155" s="24"/>
      <c r="Z155" s="24"/>
      <c r="AA155" s="24">
        <f t="shared" si="132"/>
        <v>6.0001269444318418E-2</v>
      </c>
      <c r="AB155" s="24">
        <f t="shared" si="133"/>
        <v>6.397538766903782E-2</v>
      </c>
      <c r="AC155" s="24">
        <f t="shared" si="134"/>
        <v>6.8135308557215182E-2</v>
      </c>
      <c r="AD155" s="24">
        <f t="shared" si="135"/>
        <v>7.2455526613912372E-2</v>
      </c>
      <c r="AE155" s="24">
        <f t="shared" si="136"/>
        <v>7.6875740934015349E-2</v>
      </c>
      <c r="AF155" s="24">
        <f t="shared" si="137"/>
        <v>8.1340183939495991E-2</v>
      </c>
      <c r="AG155" s="24">
        <f t="shared" si="138"/>
        <v>8.5806587837711029E-2</v>
      </c>
      <c r="AH155" s="24">
        <f t="shared" si="139"/>
        <v>9.0243959163291074E-2</v>
      </c>
      <c r="AL155" s="23">
        <f t="shared" si="122"/>
        <v>0</v>
      </c>
      <c r="AM155" s="23">
        <f t="shared" si="123"/>
        <v>0</v>
      </c>
      <c r="AN155" s="23">
        <f t="shared" si="124"/>
        <v>-3744.0493081785316</v>
      </c>
      <c r="AO155" s="23">
        <f t="shared" si="125"/>
        <v>-1808.4145683837485</v>
      </c>
      <c r="AP155" s="23">
        <f t="shared" si="126"/>
        <v>203.05519313982717</v>
      </c>
      <c r="AQ155" s="23">
        <f t="shared" si="127"/>
        <v>2145.6857996498247</v>
      </c>
      <c r="AR155" s="23">
        <f t="shared" si="128"/>
        <v>3967.938957719552</v>
      </c>
      <c r="AS155" s="23">
        <f t="shared" si="129"/>
        <v>5626.6260603094743</v>
      </c>
      <c r="AT155" s="23">
        <f t="shared" si="130"/>
        <v>7092.0704222507729</v>
      </c>
      <c r="AU155" s="23">
        <f t="shared" si="131"/>
        <v>8346.9137539722688</v>
      </c>
      <c r="AW155" s="25"/>
      <c r="AX155" s="25"/>
      <c r="AY155" s="25">
        <f t="shared" si="140"/>
        <v>21829.826310479439</v>
      </c>
      <c r="AZ155" s="25">
        <f t="shared" si="141"/>
        <v>25573.87561865797</v>
      </c>
      <c r="BA155" s="25">
        <f t="shared" si="142"/>
        <v>27382.290187041719</v>
      </c>
      <c r="BB155" s="25">
        <f t="shared" si="143"/>
        <v>27179.234993901893</v>
      </c>
      <c r="BC155" s="25">
        <f t="shared" si="144"/>
        <v>25033.549194252068</v>
      </c>
      <c r="BD155" s="25">
        <f t="shared" si="145"/>
        <v>21065.610236532517</v>
      </c>
      <c r="BE155" s="25">
        <f t="shared" si="146"/>
        <v>15438.984176223043</v>
      </c>
      <c r="BF155" s="25">
        <f t="shared" si="147"/>
        <v>8346.9137539722688</v>
      </c>
      <c r="BG155" s="25">
        <f t="shared" si="148"/>
        <v>0</v>
      </c>
      <c r="BI155" s="25"/>
      <c r="BJ155" s="25"/>
      <c r="BK155" s="25">
        <f t="shared" si="105"/>
        <v>21829.826310479439</v>
      </c>
      <c r="BL155" s="25">
        <f t="shared" si="106"/>
        <v>25573.87561865797</v>
      </c>
      <c r="BM155" s="25">
        <f t="shared" si="107"/>
        <v>27382.290187041719</v>
      </c>
      <c r="BN155" s="25">
        <f t="shared" si="108"/>
        <v>27179.234993901893</v>
      </c>
      <c r="BO155" s="25">
        <f t="shared" si="109"/>
        <v>25033.549194252068</v>
      </c>
      <c r="BP155" s="25">
        <f t="shared" si="110"/>
        <v>21065.610236532517</v>
      </c>
      <c r="BQ155" s="25">
        <f t="shared" si="111"/>
        <v>15438.984176223043</v>
      </c>
      <c r="BR155" s="25">
        <f t="shared" si="112"/>
        <v>8346.9137539722688</v>
      </c>
      <c r="BS155" s="25">
        <f t="shared" si="113"/>
        <v>0</v>
      </c>
    </row>
    <row r="156" spans="1:71" x14ac:dyDescent="0.2">
      <c r="A156" s="29">
        <f t="shared" si="149"/>
        <v>1.4800000000000011</v>
      </c>
      <c r="B156" s="30">
        <v>4.7136530373307652E-2</v>
      </c>
      <c r="C156" s="30">
        <v>5.1861778549263174E-2</v>
      </c>
      <c r="D156" s="30">
        <v>5.6024658553171076E-2</v>
      </c>
      <c r="E156" s="30">
        <v>5.9894222445765581E-2</v>
      </c>
      <c r="F156" s="30">
        <v>6.3840149367682925E-2</v>
      </c>
      <c r="G156" s="30">
        <v>6.7976167792833983E-2</v>
      </c>
      <c r="H156" s="30">
        <v>7.2275857905939614E-2</v>
      </c>
      <c r="I156" s="30">
        <v>7.6678789585424442E-2</v>
      </c>
      <c r="J156" s="30">
        <v>8.1129244253018706E-2</v>
      </c>
      <c r="K156" s="30">
        <v>8.5584957808131884E-2</v>
      </c>
      <c r="L156" s="30">
        <v>9.001485801848623E-2</v>
      </c>
      <c r="N156" s="1"/>
      <c r="O156" s="1"/>
      <c r="P156" s="54">
        <f t="shared" si="114"/>
        <v>0.97237637803003063</v>
      </c>
      <c r="Q156" s="54">
        <f t="shared" si="115"/>
        <v>0.97049686058333651</v>
      </c>
      <c r="R156" s="1">
        <f t="shared" si="116"/>
        <v>0.93815495220771683</v>
      </c>
      <c r="S156" s="1">
        <f t="shared" si="117"/>
        <v>0.90306183402692186</v>
      </c>
      <c r="T156" s="61">
        <f t="shared" si="118"/>
        <v>0.86541015585698755</v>
      </c>
      <c r="U156" s="62">
        <f t="shared" si="119"/>
        <v>0.8255569958565252</v>
      </c>
      <c r="V156" s="63">
        <f t="shared" si="120"/>
        <v>0.78396748495844681</v>
      </c>
      <c r="W156" s="68">
        <f t="shared" si="121"/>
        <v>0.74115362622888592</v>
      </c>
      <c r="Y156" s="24"/>
      <c r="Z156" s="24"/>
      <c r="AA156" s="24">
        <f t="shared" si="132"/>
        <v>5.9894222445765581E-2</v>
      </c>
      <c r="AB156" s="24">
        <f t="shared" si="133"/>
        <v>6.3840149367682925E-2</v>
      </c>
      <c r="AC156" s="24">
        <f t="shared" si="134"/>
        <v>6.7976167792833983E-2</v>
      </c>
      <c r="AD156" s="24">
        <f t="shared" si="135"/>
        <v>7.2275857905939614E-2</v>
      </c>
      <c r="AE156" s="24">
        <f t="shared" si="136"/>
        <v>7.6678789585424442E-2</v>
      </c>
      <c r="AF156" s="24">
        <f t="shared" si="137"/>
        <v>8.1129244253018706E-2</v>
      </c>
      <c r="AG156" s="24">
        <f t="shared" si="138"/>
        <v>8.5584957808131884E-2</v>
      </c>
      <c r="AH156" s="24">
        <f t="shared" si="139"/>
        <v>9.001485801848623E-2</v>
      </c>
      <c r="AL156" s="23">
        <f t="shared" si="122"/>
        <v>0</v>
      </c>
      <c r="AM156" s="23">
        <f t="shared" si="123"/>
        <v>0</v>
      </c>
      <c r="AN156" s="23">
        <f t="shared" si="124"/>
        <v>-3796.2281549176519</v>
      </c>
      <c r="AO156" s="23">
        <f t="shared" si="125"/>
        <v>-1874.1355370977528</v>
      </c>
      <c r="AP156" s="23">
        <f t="shared" si="126"/>
        <v>128.43330773501924</v>
      </c>
      <c r="AQ156" s="23">
        <f t="shared" si="127"/>
        <v>2065.0720834363633</v>
      </c>
      <c r="AR156" s="23">
        <f t="shared" si="128"/>
        <v>3884.1431942186277</v>
      </c>
      <c r="AS156" s="23">
        <f t="shared" si="129"/>
        <v>5542.3258045100183</v>
      </c>
      <c r="AT156" s="23">
        <f t="shared" si="130"/>
        <v>7009.6844714893095</v>
      </c>
      <c r="AU156" s="23">
        <f t="shared" si="131"/>
        <v>8268.4914373425581</v>
      </c>
      <c r="AW156" s="25"/>
      <c r="AX156" s="25"/>
      <c r="AY156" s="25">
        <f t="shared" si="140"/>
        <v>21227.786606716494</v>
      </c>
      <c r="AZ156" s="25">
        <f t="shared" si="141"/>
        <v>25024.014761634142</v>
      </c>
      <c r="BA156" s="25">
        <f t="shared" si="142"/>
        <v>26898.150298731896</v>
      </c>
      <c r="BB156" s="25">
        <f t="shared" si="143"/>
        <v>26769.71699099688</v>
      </c>
      <c r="BC156" s="25">
        <f t="shared" si="144"/>
        <v>24704.644907560512</v>
      </c>
      <c r="BD156" s="25">
        <f t="shared" si="145"/>
        <v>20820.501713341888</v>
      </c>
      <c r="BE156" s="25">
        <f t="shared" si="146"/>
        <v>15278.175908831869</v>
      </c>
      <c r="BF156" s="25">
        <f t="shared" si="147"/>
        <v>8268.4914373425581</v>
      </c>
      <c r="BG156" s="25">
        <f t="shared" si="148"/>
        <v>0</v>
      </c>
      <c r="BI156" s="25"/>
      <c r="BJ156" s="25"/>
      <c r="BK156" s="25">
        <f t="shared" ref="BK156:BK157" si="150">MAX(AY156,0)</f>
        <v>21227.786606716494</v>
      </c>
      <c r="BL156" s="25">
        <f t="shared" ref="BL156:BL208" si="151">MAX(AZ156,0)</f>
        <v>25024.014761634142</v>
      </c>
      <c r="BM156" s="25">
        <f t="shared" ref="BM156:BM219" si="152">MAX(BA156,0)</f>
        <v>26898.150298731896</v>
      </c>
      <c r="BN156" s="25">
        <f t="shared" ref="BN156:BN219" si="153">MAX(BB156,0)</f>
        <v>26769.71699099688</v>
      </c>
      <c r="BO156" s="25">
        <f t="shared" ref="BO156:BO219" si="154">MAX(BC156,0)</f>
        <v>24704.644907560512</v>
      </c>
      <c r="BP156" s="25">
        <f t="shared" ref="BP156:BP219" si="155">MAX(BD156,0)</f>
        <v>20820.501713341888</v>
      </c>
      <c r="BQ156" s="25">
        <f t="shared" ref="BQ156:BQ219" si="156">MAX(BE156,0)</f>
        <v>15278.175908831869</v>
      </c>
      <c r="BR156" s="25">
        <f t="shared" ref="BR156:BR219" si="157">MAX(BF156,0)</f>
        <v>8268.4914373425581</v>
      </c>
      <c r="BS156" s="25">
        <f t="shared" ref="BS156:BS219" si="158">MAX(BG156,0)</f>
        <v>0</v>
      </c>
    </row>
    <row r="157" spans="1:71" x14ac:dyDescent="0.2">
      <c r="A157" s="29">
        <f t="shared" si="149"/>
        <v>1.4900000000000011</v>
      </c>
      <c r="B157" s="30">
        <v>4.6857104932296459E-2</v>
      </c>
      <c r="C157" s="30">
        <v>5.1473823903895821E-2</v>
      </c>
      <c r="D157" s="30">
        <v>5.5546527699067406E-2</v>
      </c>
      <c r="E157" s="30">
        <v>5.9345736740420464E-2</v>
      </c>
      <c r="F157" s="30">
        <v>6.323546414747111E-2</v>
      </c>
      <c r="G157" s="30">
        <v>6.7326086094371781E-2</v>
      </c>
      <c r="H157" s="30">
        <v>7.1589951351207923E-2</v>
      </c>
      <c r="I157" s="30">
        <v>7.5966171347895142E-2</v>
      </c>
      <c r="J157" s="30">
        <v>8.0398742803395859E-2</v>
      </c>
      <c r="K157" s="30">
        <v>8.4845070863621058E-2</v>
      </c>
      <c r="L157" s="30">
        <v>8.9273670573338473E-2</v>
      </c>
      <c r="N157" s="1"/>
      <c r="O157" s="1"/>
      <c r="P157" s="54">
        <f t="shared" si="114"/>
        <v>0.97260886739307661</v>
      </c>
      <c r="Q157" s="54">
        <f t="shared" si="115"/>
        <v>0.97076304890934728</v>
      </c>
      <c r="R157" s="1">
        <f t="shared" si="116"/>
        <v>0.93872241219162733</v>
      </c>
      <c r="S157" s="1">
        <f t="shared" si="117"/>
        <v>0.90394285946731756</v>
      </c>
      <c r="T157" s="61">
        <f t="shared" si="118"/>
        <v>0.86659815152156372</v>
      </c>
      <c r="U157" s="62">
        <f t="shared" si="119"/>
        <v>0.82702907418291849</v>
      </c>
      <c r="V157" s="63">
        <f t="shared" si="120"/>
        <v>0.78568743706399791</v>
      </c>
      <c r="W157" s="68">
        <f t="shared" si="121"/>
        <v>0.743075408103964</v>
      </c>
      <c r="Y157" s="24"/>
      <c r="Z157" s="24"/>
      <c r="AA157" s="24">
        <f t="shared" si="132"/>
        <v>5.9345736740420464E-2</v>
      </c>
      <c r="AB157" s="24">
        <f t="shared" si="133"/>
        <v>6.323546414747111E-2</v>
      </c>
      <c r="AC157" s="24">
        <f t="shared" si="134"/>
        <v>6.7326086094371781E-2</v>
      </c>
      <c r="AD157" s="24">
        <f t="shared" si="135"/>
        <v>7.1589951351207923E-2</v>
      </c>
      <c r="AE157" s="24">
        <f t="shared" si="136"/>
        <v>7.5966171347895142E-2</v>
      </c>
      <c r="AF157" s="24">
        <f t="shared" si="137"/>
        <v>8.0398742803395859E-2</v>
      </c>
      <c r="AG157" s="24">
        <f t="shared" si="138"/>
        <v>8.4845070863621058E-2</v>
      </c>
      <c r="AH157" s="24">
        <f t="shared" si="139"/>
        <v>8.9273670573338473E-2</v>
      </c>
      <c r="AL157" s="23">
        <f t="shared" si="122"/>
        <v>0</v>
      </c>
      <c r="AM157" s="23">
        <f t="shared" si="123"/>
        <v>0</v>
      </c>
      <c r="AN157" s="23">
        <f t="shared" si="124"/>
        <v>-4063.8668406413858</v>
      </c>
      <c r="AO157" s="23">
        <f t="shared" si="125"/>
        <v>-2168.1526098578684</v>
      </c>
      <c r="AP157" s="23">
        <f t="shared" si="126"/>
        <v>-176.61213710786296</v>
      </c>
      <c r="AQ157" s="23">
        <f t="shared" si="127"/>
        <v>1757.0765977023</v>
      </c>
      <c r="AR157" s="23">
        <f t="shared" si="128"/>
        <v>3580.6983454801625</v>
      </c>
      <c r="AS157" s="23">
        <f t="shared" si="129"/>
        <v>5250.1355424735793</v>
      </c>
      <c r="AT157" s="23">
        <f t="shared" si="130"/>
        <v>6734.4031318962498</v>
      </c>
      <c r="AU157" s="23">
        <f t="shared" si="131"/>
        <v>8014.55222513642</v>
      </c>
      <c r="AW157" s="25"/>
      <c r="AX157" s="25"/>
      <c r="AY157" s="25">
        <f t="shared" si="140"/>
        <v>18928.234255081596</v>
      </c>
      <c r="AZ157" s="25">
        <f t="shared" si="141"/>
        <v>22992.101095722981</v>
      </c>
      <c r="BA157" s="25">
        <f t="shared" si="142"/>
        <v>25160.253705580846</v>
      </c>
      <c r="BB157" s="25">
        <f t="shared" si="143"/>
        <v>25336.865842688709</v>
      </c>
      <c r="BC157" s="25">
        <f t="shared" si="144"/>
        <v>23579.789244986412</v>
      </c>
      <c r="BD157" s="25">
        <f t="shared" si="145"/>
        <v>19999.090899506249</v>
      </c>
      <c r="BE157" s="25">
        <f t="shared" si="146"/>
        <v>14748.95535703267</v>
      </c>
      <c r="BF157" s="25">
        <f t="shared" si="147"/>
        <v>8014.55222513642</v>
      </c>
      <c r="BG157" s="25">
        <f t="shared" si="148"/>
        <v>0</v>
      </c>
      <c r="BI157" s="25"/>
      <c r="BJ157" s="25"/>
      <c r="BK157" s="25">
        <f t="shared" si="150"/>
        <v>18928.234255081596</v>
      </c>
      <c r="BL157" s="25">
        <f t="shared" si="151"/>
        <v>22992.101095722981</v>
      </c>
      <c r="BM157" s="25">
        <f t="shared" si="152"/>
        <v>25160.253705580846</v>
      </c>
      <c r="BN157" s="25">
        <f t="shared" si="153"/>
        <v>25336.865842688709</v>
      </c>
      <c r="BO157" s="25">
        <f t="shared" si="154"/>
        <v>23579.789244986412</v>
      </c>
      <c r="BP157" s="25">
        <f t="shared" si="155"/>
        <v>19999.090899506249</v>
      </c>
      <c r="BQ157" s="25">
        <f t="shared" si="156"/>
        <v>14748.95535703267</v>
      </c>
      <c r="BR157" s="25">
        <f t="shared" si="157"/>
        <v>8014.55222513642</v>
      </c>
      <c r="BS157" s="25">
        <f t="shared" si="158"/>
        <v>0</v>
      </c>
    </row>
    <row r="158" spans="1:71" x14ac:dyDescent="0.2">
      <c r="A158" s="29">
        <f t="shared" si="149"/>
        <v>1.5000000000000011</v>
      </c>
      <c r="B158" s="30">
        <v>4.6447217769007218E-2</v>
      </c>
      <c r="C158" s="30">
        <v>5.1083124378813231E-2</v>
      </c>
      <c r="D158" s="30">
        <v>5.5174918983155054E-2</v>
      </c>
      <c r="E158" s="30">
        <v>5.8995254878834648E-2</v>
      </c>
      <c r="F158" s="30">
        <v>6.2903332638652804E-2</v>
      </c>
      <c r="G158" s="30">
        <v>6.7007025754683619E-2</v>
      </c>
      <c r="H158" s="30">
        <v>7.1278274241677153E-2</v>
      </c>
      <c r="I158" s="30">
        <v>7.5656541755932449E-2</v>
      </c>
      <c r="J158" s="30">
        <v>8.0086346592607022E-2</v>
      </c>
      <c r="K158" s="30">
        <v>8.4525568704701862E-2</v>
      </c>
      <c r="L158" s="30">
        <v>8.8943116463673977E-2</v>
      </c>
      <c r="N158" s="1"/>
      <c r="O158" s="1"/>
      <c r="P158" s="54">
        <f t="shared" si="114"/>
        <v>0.97278959914907914</v>
      </c>
      <c r="Q158" s="54">
        <f t="shared" si="115"/>
        <v>0.97093318123625572</v>
      </c>
      <c r="R158" s="1">
        <f t="shared" si="116"/>
        <v>0.93903424326434592</v>
      </c>
      <c r="S158" s="1">
        <f t="shared" si="117"/>
        <v>0.90437558148108299</v>
      </c>
      <c r="T158" s="61">
        <f t="shared" si="118"/>
        <v>0.86713851753776616</v>
      </c>
      <c r="U158" s="62">
        <f t="shared" si="119"/>
        <v>0.82766950370780712</v>
      </c>
      <c r="V158" s="63">
        <f t="shared" si="120"/>
        <v>0.78642411954991276</v>
      </c>
      <c r="W158" s="68">
        <f t="shared" si="121"/>
        <v>0.74390682257503249</v>
      </c>
      <c r="Y158" s="24"/>
      <c r="Z158" s="24"/>
      <c r="AA158" s="24">
        <f t="shared" si="132"/>
        <v>5.8995254878834648E-2</v>
      </c>
      <c r="AB158" s="24">
        <f t="shared" si="133"/>
        <v>6.2903332638652804E-2</v>
      </c>
      <c r="AC158" s="24">
        <f t="shared" si="134"/>
        <v>6.7007025754683619E-2</v>
      </c>
      <c r="AD158" s="24">
        <f t="shared" si="135"/>
        <v>7.1278274241677153E-2</v>
      </c>
      <c r="AE158" s="24">
        <f t="shared" si="136"/>
        <v>7.5656541755932435E-2</v>
      </c>
      <c r="AF158" s="24">
        <f t="shared" si="137"/>
        <v>8.0086346592607022E-2</v>
      </c>
      <c r="AG158" s="24">
        <f t="shared" si="138"/>
        <v>8.4525568704701862E-2</v>
      </c>
      <c r="AH158" s="24">
        <f t="shared" si="139"/>
        <v>8.8943116463673977E-2</v>
      </c>
      <c r="AL158" s="23">
        <f t="shared" si="122"/>
        <v>0</v>
      </c>
      <c r="AM158" s="23">
        <f t="shared" si="123"/>
        <v>0</v>
      </c>
      <c r="AN158" s="23">
        <f t="shared" si="124"/>
        <v>-4235.094549784385</v>
      </c>
      <c r="AO158" s="23">
        <f t="shared" si="125"/>
        <v>-2329.7713434554585</v>
      </c>
      <c r="AP158" s="23">
        <f t="shared" si="126"/>
        <v>-326.47509762304486</v>
      </c>
      <c r="AQ158" s="23">
        <f t="shared" si="127"/>
        <v>1616.9811355636805</v>
      </c>
      <c r="AR158" s="23">
        <f t="shared" si="128"/>
        <v>3448.6852120422373</v>
      </c>
      <c r="AS158" s="23">
        <f t="shared" si="129"/>
        <v>5124.9207007377627</v>
      </c>
      <c r="AT158" s="23">
        <f t="shared" si="130"/>
        <v>6615.0853943592056</v>
      </c>
      <c r="AU158" s="23">
        <f t="shared" si="131"/>
        <v>7900.5688429841075</v>
      </c>
      <c r="AW158" s="25"/>
      <c r="AX158" s="25"/>
      <c r="AY158" s="25">
        <f t="shared" si="140"/>
        <v>17814.900294824103</v>
      </c>
      <c r="AZ158" s="25">
        <f t="shared" si="141"/>
        <v>22049.994844608489</v>
      </c>
      <c r="BA158" s="25">
        <f t="shared" si="142"/>
        <v>24379.766188063946</v>
      </c>
      <c r="BB158" s="25">
        <f t="shared" si="143"/>
        <v>24706.241285686992</v>
      </c>
      <c r="BC158" s="25">
        <f t="shared" si="144"/>
        <v>23089.260150123311</v>
      </c>
      <c r="BD158" s="25">
        <f t="shared" si="145"/>
        <v>19640.574938081074</v>
      </c>
      <c r="BE158" s="25">
        <f t="shared" si="146"/>
        <v>14515.654237343313</v>
      </c>
      <c r="BF158" s="25">
        <f t="shared" si="147"/>
        <v>7900.5688429841075</v>
      </c>
      <c r="BG158" s="25">
        <f t="shared" si="148"/>
        <v>0</v>
      </c>
      <c r="BI158" s="25"/>
      <c r="BJ158" s="25"/>
      <c r="BK158" s="25">
        <f>MAX(AY158,0)</f>
        <v>17814.900294824103</v>
      </c>
      <c r="BL158" s="25">
        <f t="shared" si="151"/>
        <v>22049.994844608489</v>
      </c>
      <c r="BM158" s="25">
        <f t="shared" si="152"/>
        <v>24379.766188063946</v>
      </c>
      <c r="BN158" s="25">
        <f t="shared" si="153"/>
        <v>24706.241285686992</v>
      </c>
      <c r="BO158" s="25">
        <f t="shared" si="154"/>
        <v>23089.260150123311</v>
      </c>
      <c r="BP158" s="25">
        <f t="shared" si="155"/>
        <v>19640.574938081074</v>
      </c>
      <c r="BQ158" s="25">
        <f t="shared" si="156"/>
        <v>14515.654237343313</v>
      </c>
      <c r="BR158" s="25">
        <f t="shared" si="157"/>
        <v>7900.5688429841075</v>
      </c>
      <c r="BS158" s="25">
        <f t="shared" si="158"/>
        <v>0</v>
      </c>
    </row>
    <row r="159" spans="1:71" x14ac:dyDescent="0.2">
      <c r="A159" s="29">
        <f t="shared" si="149"/>
        <v>1.5100000000000011</v>
      </c>
      <c r="B159" s="30">
        <v>4.7725147967523397E-2</v>
      </c>
      <c r="C159" s="30">
        <v>5.2252754924838864E-2</v>
      </c>
      <c r="D159" s="30">
        <v>5.6252663375001448E-2</v>
      </c>
      <c r="E159" s="30">
        <v>5.9998825534069586E-2</v>
      </c>
      <c r="F159" s="30">
        <v>6.3844980578903407E-2</v>
      </c>
      <c r="G159" s="30">
        <v>6.7895846151515393E-2</v>
      </c>
      <c r="H159" s="30">
        <v>7.212227368443655E-2</v>
      </c>
      <c r="I159" s="30">
        <v>7.6463387400827476E-2</v>
      </c>
      <c r="J159" s="30">
        <v>8.0863531190140628E-2</v>
      </c>
      <c r="K159" s="30">
        <v>8.5280363136340867E-2</v>
      </c>
      <c r="L159" s="30">
        <v>8.9682488750014056E-2</v>
      </c>
      <c r="N159" s="1"/>
      <c r="O159" s="1"/>
      <c r="P159" s="1"/>
      <c r="Q159" s="54">
        <f t="shared" si="115"/>
        <v>0.97044610342628379</v>
      </c>
      <c r="R159" s="1">
        <f t="shared" si="116"/>
        <v>0.93815041979393377</v>
      </c>
      <c r="S159" s="1">
        <f>EXP(-G159*($S$7-$Q$7))</f>
        <v>0.93435778546863968</v>
      </c>
      <c r="T159" s="62">
        <f>EXP(-H159*($T$7-$Q$7))</f>
        <v>0.89746297717714707</v>
      </c>
      <c r="U159" s="65">
        <f>EXP(-I159*($U$7-$Q$7))</f>
        <v>0.85819256083115103</v>
      </c>
      <c r="V159" s="67">
        <f>EXP(-J159*($V$7-$Q$7))</f>
        <v>0.81696516071476732</v>
      </c>
      <c r="W159" s="68">
        <f>EXP(-K159*($W$7-$Q$7))</f>
        <v>0.77426499792506676</v>
      </c>
      <c r="Y159" s="24"/>
      <c r="Z159" s="24"/>
      <c r="AA159" s="24"/>
      <c r="AB159" s="24">
        <f t="shared" si="133"/>
        <v>6.3844980578903407E-2</v>
      </c>
      <c r="AC159" s="24">
        <f t="shared" si="134"/>
        <v>6.7895846151515393E-2</v>
      </c>
      <c r="AD159" s="24">
        <f t="shared" si="135"/>
        <v>7.212227368443655E-2</v>
      </c>
      <c r="AE159" s="24">
        <f t="shared" si="136"/>
        <v>7.6463387400827476E-2</v>
      </c>
      <c r="AF159" s="24">
        <f t="shared" si="137"/>
        <v>8.0863531190140628E-2</v>
      </c>
      <c r="AG159" s="24">
        <f t="shared" si="138"/>
        <v>8.5280363136340867E-2</v>
      </c>
      <c r="AH159" s="24">
        <f t="shared" si="139"/>
        <v>8.9682488750014056E-2</v>
      </c>
      <c r="AL159" s="23">
        <f t="shared" si="122"/>
        <v>0</v>
      </c>
      <c r="AM159" s="23">
        <f t="shared" si="123"/>
        <v>0</v>
      </c>
      <c r="AN159" s="23">
        <f t="shared" si="124"/>
        <v>0</v>
      </c>
      <c r="AO159" s="23">
        <f t="shared" si="125"/>
        <v>-1871.6933044265984</v>
      </c>
      <c r="AP159" s="23">
        <f t="shared" si="126"/>
        <v>90.75579648729429</v>
      </c>
      <c r="AQ159" s="23">
        <f t="shared" si="127"/>
        <v>2064.8866356324515</v>
      </c>
      <c r="AR159" s="23">
        <f t="shared" si="128"/>
        <v>3931.3452695903416</v>
      </c>
      <c r="AS159" s="23">
        <f t="shared" si="129"/>
        <v>5647.4061634721593</v>
      </c>
      <c r="AT159" s="23">
        <f t="shared" si="130"/>
        <v>7180.3048037960352</v>
      </c>
      <c r="AU159" s="23">
        <f t="shared" si="131"/>
        <v>8509.2190668113362</v>
      </c>
      <c r="AW159" s="25"/>
      <c r="AX159" s="25"/>
      <c r="AY159" s="25"/>
      <c r="AZ159" s="25">
        <f t="shared" si="141"/>
        <v>25552.224431363022</v>
      </c>
      <c r="BA159" s="25">
        <f t="shared" si="142"/>
        <v>27423.917735789619</v>
      </c>
      <c r="BB159" s="25">
        <f t="shared" si="143"/>
        <v>27333.161939302325</v>
      </c>
      <c r="BC159" s="25">
        <f t="shared" si="144"/>
        <v>25268.275303669874</v>
      </c>
      <c r="BD159" s="25">
        <f t="shared" si="145"/>
        <v>21336.930034079531</v>
      </c>
      <c r="BE159" s="25">
        <f t="shared" si="146"/>
        <v>15689.523870607372</v>
      </c>
      <c r="BF159" s="25">
        <f t="shared" si="147"/>
        <v>8509.2190668113362</v>
      </c>
      <c r="BG159" s="25">
        <f t="shared" si="148"/>
        <v>0</v>
      </c>
      <c r="BI159" s="25"/>
      <c r="BJ159" s="25"/>
      <c r="BK159" s="25"/>
      <c r="BL159" s="25">
        <f t="shared" si="151"/>
        <v>25552.224431363022</v>
      </c>
      <c r="BM159" s="25">
        <f t="shared" si="152"/>
        <v>27423.917735789619</v>
      </c>
      <c r="BN159" s="25">
        <f t="shared" si="153"/>
        <v>27333.161939302325</v>
      </c>
      <c r="BO159" s="25">
        <f t="shared" si="154"/>
        <v>25268.275303669874</v>
      </c>
      <c r="BP159" s="25">
        <f t="shared" si="155"/>
        <v>21336.930034079531</v>
      </c>
      <c r="BQ159" s="25">
        <f t="shared" si="156"/>
        <v>15689.523870607372</v>
      </c>
      <c r="BR159" s="25">
        <f t="shared" si="157"/>
        <v>8509.2190668113362</v>
      </c>
      <c r="BS159" s="25">
        <f t="shared" si="158"/>
        <v>0</v>
      </c>
    </row>
    <row r="160" spans="1:71" x14ac:dyDescent="0.2">
      <c r="A160" s="29">
        <f t="shared" si="149"/>
        <v>1.5200000000000011</v>
      </c>
      <c r="B160" s="30">
        <v>5.064861685643645E-2</v>
      </c>
      <c r="C160" s="30">
        <v>5.508229992608657E-2</v>
      </c>
      <c r="D160" s="30">
        <v>5.9000970283908036E-2</v>
      </c>
      <c r="E160" s="30">
        <v>6.2679928335560006E-2</v>
      </c>
      <c r="F160" s="30">
        <v>6.6467682449527693E-2</v>
      </c>
      <c r="G160" s="30">
        <v>7.0466020239767002E-2</v>
      </c>
      <c r="H160" s="30">
        <v>7.464490401621969E-2</v>
      </c>
      <c r="I160" s="30">
        <v>7.8943306346104733E-2</v>
      </c>
      <c r="J160" s="30">
        <v>8.3305580240551083E-2</v>
      </c>
      <c r="K160" s="30">
        <v>8.7689344771298972E-2</v>
      </c>
      <c r="L160" s="30">
        <v>9.2063085932911445E-2</v>
      </c>
      <c r="N160" s="1"/>
      <c r="O160" s="1"/>
      <c r="P160" s="1"/>
      <c r="Q160" s="54">
        <f t="shared" si="115"/>
        <v>0.96914604213717159</v>
      </c>
      <c r="R160" s="1">
        <f t="shared" si="116"/>
        <v>0.93569315467845871</v>
      </c>
      <c r="S160" s="1">
        <f t="shared" ref="S160:S208" si="159">EXP(-G160*($S$7-$Q$7))</f>
        <v>0.93195940674496303</v>
      </c>
      <c r="T160" s="62">
        <f t="shared" ref="T160:T208" si="160">EXP(-H160*($T$7-$Q$7))</f>
        <v>0.89407344313571246</v>
      </c>
      <c r="U160" s="65">
        <f t="shared" ref="U160:U208" si="161">EXP(-I160*($U$7-$Q$7))</f>
        <v>0.85394660318556148</v>
      </c>
      <c r="V160" s="67">
        <f t="shared" ref="V160:V208" si="162">EXP(-J160*($V$7-$Q$7))</f>
        <v>0.81199268246686618</v>
      </c>
      <c r="W160" s="68">
        <f t="shared" ref="W160:W208" si="163">EXP(-K160*($W$7-$Q$7))</f>
        <v>0.768689598262698</v>
      </c>
      <c r="Y160" s="24"/>
      <c r="Z160" s="24"/>
      <c r="AA160" s="24"/>
      <c r="AB160" s="24">
        <f t="shared" si="133"/>
        <v>6.6467682449527693E-2</v>
      </c>
      <c r="AC160" s="24">
        <f t="shared" si="134"/>
        <v>7.0466020239767002E-2</v>
      </c>
      <c r="AD160" s="24">
        <f t="shared" si="135"/>
        <v>7.464490401621969E-2</v>
      </c>
      <c r="AE160" s="24">
        <f t="shared" si="136"/>
        <v>7.8943306346104733E-2</v>
      </c>
      <c r="AF160" s="24">
        <f t="shared" si="137"/>
        <v>8.3305580240551083E-2</v>
      </c>
      <c r="AG160" s="24">
        <f t="shared" si="138"/>
        <v>8.7689344771298972E-2</v>
      </c>
      <c r="AH160" s="24">
        <f t="shared" si="139"/>
        <v>9.2063085932911445E-2</v>
      </c>
      <c r="AL160" s="23">
        <f t="shared" si="122"/>
        <v>0</v>
      </c>
      <c r="AM160" s="23">
        <f t="shared" si="123"/>
        <v>0</v>
      </c>
      <c r="AN160" s="23">
        <f t="shared" si="124"/>
        <v>0</v>
      </c>
      <c r="AO160" s="23">
        <f t="shared" si="125"/>
        <v>-598.29531557316977</v>
      </c>
      <c r="AP160" s="23">
        <f t="shared" si="126"/>
        <v>1292.9652333066938</v>
      </c>
      <c r="AQ160" s="23">
        <f t="shared" si="127"/>
        <v>3235.0808654986467</v>
      </c>
      <c r="AR160" s="23">
        <f t="shared" si="128"/>
        <v>5025.1122179217837</v>
      </c>
      <c r="AS160" s="23">
        <f t="shared" si="129"/>
        <v>6662.1550384778238</v>
      </c>
      <c r="AT160" s="23">
        <f t="shared" si="130"/>
        <v>8114.6394345016188</v>
      </c>
      <c r="AU160" s="23">
        <f t="shared" si="131"/>
        <v>9362.9152340282744</v>
      </c>
      <c r="AW160" s="25"/>
      <c r="AX160" s="25"/>
      <c r="AY160" s="25"/>
      <c r="AZ160" s="25">
        <f t="shared" si="141"/>
        <v>33094.572708161671</v>
      </c>
      <c r="BA160" s="25">
        <f t="shared" si="142"/>
        <v>33692.868023734845</v>
      </c>
      <c r="BB160" s="25">
        <f t="shared" si="143"/>
        <v>32399.902790428147</v>
      </c>
      <c r="BC160" s="25">
        <f t="shared" si="144"/>
        <v>29164.8219249295</v>
      </c>
      <c r="BD160" s="25">
        <f t="shared" si="145"/>
        <v>24139.709707007718</v>
      </c>
      <c r="BE160" s="25">
        <f t="shared" si="146"/>
        <v>17477.554668529894</v>
      </c>
      <c r="BF160" s="25">
        <f t="shared" si="147"/>
        <v>9362.9152340282744</v>
      </c>
      <c r="BG160" s="25">
        <f t="shared" si="148"/>
        <v>0</v>
      </c>
      <c r="BI160" s="25"/>
      <c r="BJ160" s="25"/>
      <c r="BK160" s="25"/>
      <c r="BL160" s="25">
        <f t="shared" si="151"/>
        <v>33094.572708161671</v>
      </c>
      <c r="BM160" s="25">
        <f t="shared" si="152"/>
        <v>33692.868023734845</v>
      </c>
      <c r="BN160" s="25">
        <f t="shared" si="153"/>
        <v>32399.902790428147</v>
      </c>
      <c r="BO160" s="25">
        <f t="shared" si="154"/>
        <v>29164.8219249295</v>
      </c>
      <c r="BP160" s="25">
        <f t="shared" si="155"/>
        <v>24139.709707007718</v>
      </c>
      <c r="BQ160" s="25">
        <f t="shared" si="156"/>
        <v>17477.554668529894</v>
      </c>
      <c r="BR160" s="25">
        <f t="shared" si="157"/>
        <v>9362.9152340282744</v>
      </c>
      <c r="BS160" s="25">
        <f t="shared" si="158"/>
        <v>0</v>
      </c>
    </row>
    <row r="161" spans="1:71" x14ac:dyDescent="0.2">
      <c r="A161" s="29">
        <f t="shared" si="149"/>
        <v>1.5300000000000011</v>
      </c>
      <c r="B161" s="30">
        <v>5.0958992349918915E-2</v>
      </c>
      <c r="C161" s="30">
        <v>5.5508108590706609E-2</v>
      </c>
      <c r="D161" s="30">
        <v>5.9531194312835635E-2</v>
      </c>
      <c r="E161" s="30">
        <v>6.3305724065460645E-2</v>
      </c>
      <c r="F161" s="30">
        <v>6.7175978958152679E-2</v>
      </c>
      <c r="G161" s="30">
        <v>7.1241814928774752E-2</v>
      </c>
      <c r="H161" s="30">
        <v>7.5473277447866624E-2</v>
      </c>
      <c r="I161" s="30">
        <v>7.9810148176112372E-2</v>
      </c>
      <c r="J161" s="30">
        <v>8.4197745817493744E-2</v>
      </c>
      <c r="K161" s="30">
        <v>8.8594606355304723E-2</v>
      </c>
      <c r="L161" s="30">
        <v>9.2970052679333601E-2</v>
      </c>
      <c r="N161" s="1"/>
      <c r="O161" s="1"/>
      <c r="P161" s="1"/>
      <c r="Q161" s="54">
        <f t="shared" si="115"/>
        <v>0.96884284584697145</v>
      </c>
      <c r="R161" s="1">
        <f t="shared" si="116"/>
        <v>0.93503064113956669</v>
      </c>
      <c r="S161" s="1">
        <f t="shared" si="159"/>
        <v>0.9312366779676613</v>
      </c>
      <c r="T161" s="62">
        <f t="shared" si="160"/>
        <v>0.89296319302547877</v>
      </c>
      <c r="U161" s="65">
        <f t="shared" si="161"/>
        <v>0.85246741250794233</v>
      </c>
      <c r="V161" s="67">
        <f t="shared" si="162"/>
        <v>0.81018362089484541</v>
      </c>
      <c r="W161" s="68">
        <f t="shared" si="163"/>
        <v>0.76660483493827114</v>
      </c>
      <c r="Y161" s="24"/>
      <c r="Z161" s="24"/>
      <c r="AA161" s="24"/>
      <c r="AB161" s="24">
        <f t="shared" si="133"/>
        <v>6.7175978958152679E-2</v>
      </c>
      <c r="AC161" s="24">
        <f t="shared" si="134"/>
        <v>7.1241814928774752E-2</v>
      </c>
      <c r="AD161" s="24">
        <f t="shared" si="135"/>
        <v>7.5473277447866624E-2</v>
      </c>
      <c r="AE161" s="24">
        <f t="shared" si="136"/>
        <v>7.9810148176112358E-2</v>
      </c>
      <c r="AF161" s="24">
        <f t="shared" si="137"/>
        <v>8.4197745817493744E-2</v>
      </c>
      <c r="AG161" s="24">
        <f t="shared" si="138"/>
        <v>8.8594606355304723E-2</v>
      </c>
      <c r="AH161" s="24">
        <f t="shared" si="139"/>
        <v>9.2970052679333601E-2</v>
      </c>
      <c r="AL161" s="23">
        <f t="shared" si="122"/>
        <v>0</v>
      </c>
      <c r="AM161" s="23">
        <f t="shared" si="123"/>
        <v>0</v>
      </c>
      <c r="AN161" s="23">
        <f t="shared" si="124"/>
        <v>0</v>
      </c>
      <c r="AO161" s="23">
        <f t="shared" si="125"/>
        <v>-254.99413697148327</v>
      </c>
      <c r="AP161" s="23">
        <f t="shared" si="126"/>
        <v>1654.7456575273516</v>
      </c>
      <c r="AQ161" s="23">
        <f t="shared" si="127"/>
        <v>3618.2779415234381</v>
      </c>
      <c r="AR161" s="23">
        <f t="shared" si="128"/>
        <v>5405.9010155981869</v>
      </c>
      <c r="AS161" s="23">
        <f t="shared" si="129"/>
        <v>7030.886015899423</v>
      </c>
      <c r="AT161" s="23">
        <f t="shared" si="130"/>
        <v>8463.2746527016097</v>
      </c>
      <c r="AU161" s="23">
        <f t="shared" si="131"/>
        <v>9685.1646148622604</v>
      </c>
      <c r="AW161" s="25"/>
      <c r="AX161" s="25"/>
      <c r="AY161" s="25"/>
      <c r="AZ161" s="25">
        <f t="shared" si="141"/>
        <v>35603.255761140783</v>
      </c>
      <c r="BA161" s="25">
        <f t="shared" si="142"/>
        <v>35858.24989811227</v>
      </c>
      <c r="BB161" s="25">
        <f t="shared" si="143"/>
        <v>34203.504240584916</v>
      </c>
      <c r="BC161" s="25">
        <f t="shared" si="144"/>
        <v>30585.22629906148</v>
      </c>
      <c r="BD161" s="25">
        <f t="shared" si="145"/>
        <v>25179.325283463295</v>
      </c>
      <c r="BE161" s="25">
        <f t="shared" si="146"/>
        <v>18148.43926756387</v>
      </c>
      <c r="BF161" s="25">
        <f t="shared" si="147"/>
        <v>9685.1646148622604</v>
      </c>
      <c r="BG161" s="25">
        <f t="shared" si="148"/>
        <v>0</v>
      </c>
      <c r="BI161" s="25"/>
      <c r="BJ161" s="25"/>
      <c r="BK161" s="25"/>
      <c r="BL161" s="25">
        <f t="shared" si="151"/>
        <v>35603.255761140783</v>
      </c>
      <c r="BM161" s="25">
        <f t="shared" si="152"/>
        <v>35858.24989811227</v>
      </c>
      <c r="BN161" s="25">
        <f t="shared" si="153"/>
        <v>34203.504240584916</v>
      </c>
      <c r="BO161" s="25">
        <f t="shared" si="154"/>
        <v>30585.22629906148</v>
      </c>
      <c r="BP161" s="25">
        <f t="shared" si="155"/>
        <v>25179.325283463295</v>
      </c>
      <c r="BQ161" s="25">
        <f t="shared" si="156"/>
        <v>18148.43926756387</v>
      </c>
      <c r="BR161" s="25">
        <f t="shared" si="157"/>
        <v>9685.1646148622604</v>
      </c>
      <c r="BS161" s="25">
        <f t="shared" si="158"/>
        <v>0</v>
      </c>
    </row>
    <row r="162" spans="1:71" x14ac:dyDescent="0.2">
      <c r="A162" s="29">
        <f t="shared" si="149"/>
        <v>1.5400000000000011</v>
      </c>
      <c r="B162" s="30">
        <v>5.1061964957329141E-2</v>
      </c>
      <c r="C162" s="30">
        <v>5.5622244092679955E-2</v>
      </c>
      <c r="D162" s="30">
        <v>5.966110529727222E-2</v>
      </c>
      <c r="E162" s="30">
        <v>6.3457382532062637E-2</v>
      </c>
      <c r="F162" s="30">
        <v>6.7350488855719232E-2</v>
      </c>
      <c r="G162" s="30">
        <v>7.1437702123100688E-2</v>
      </c>
      <c r="H162" s="30">
        <v>7.5688478780356824E-2</v>
      </c>
      <c r="I162" s="30">
        <v>8.0042726009979359E-2</v>
      </c>
      <c r="J162" s="30">
        <v>8.4446040529531571E-2</v>
      </c>
      <c r="K162" s="30">
        <v>8.8857186929889365E-2</v>
      </c>
      <c r="L162" s="30">
        <v>9.3245637178959256E-2</v>
      </c>
      <c r="N162" s="1"/>
      <c r="O162" s="1"/>
      <c r="P162" s="1"/>
      <c r="Q162" s="54">
        <f t="shared" si="115"/>
        <v>0.96876938202216967</v>
      </c>
      <c r="R162" s="1">
        <f t="shared" si="116"/>
        <v>0.93486748327490499</v>
      </c>
      <c r="S162" s="1">
        <f t="shared" si="159"/>
        <v>0.93105427849300482</v>
      </c>
      <c r="T162" s="62">
        <f t="shared" si="160"/>
        <v>0.89267498924085453</v>
      </c>
      <c r="U162" s="65">
        <f t="shared" si="161"/>
        <v>0.85207097466925763</v>
      </c>
      <c r="V162" s="67">
        <f t="shared" si="162"/>
        <v>0.80968086617804103</v>
      </c>
      <c r="W162" s="68">
        <f t="shared" si="163"/>
        <v>0.76600118611505663</v>
      </c>
      <c r="Y162" s="24"/>
      <c r="Z162" s="24"/>
      <c r="AA162" s="24"/>
      <c r="AB162" s="24">
        <f t="shared" si="133"/>
        <v>6.7350488855719232E-2</v>
      </c>
      <c r="AC162" s="24">
        <f t="shared" si="134"/>
        <v>7.1437702123100688E-2</v>
      </c>
      <c r="AD162" s="24">
        <f t="shared" si="135"/>
        <v>7.5688478780356824E-2</v>
      </c>
      <c r="AE162" s="24">
        <f t="shared" si="136"/>
        <v>8.0042726009979345E-2</v>
      </c>
      <c r="AF162" s="24">
        <f t="shared" si="137"/>
        <v>8.4446040529531571E-2</v>
      </c>
      <c r="AG162" s="24">
        <f t="shared" si="138"/>
        <v>8.8857186929889365E-2</v>
      </c>
      <c r="AH162" s="24">
        <f t="shared" si="139"/>
        <v>9.3245637178959256E-2</v>
      </c>
      <c r="AL162" s="23">
        <f t="shared" si="122"/>
        <v>0</v>
      </c>
      <c r="AM162" s="23">
        <f t="shared" si="123"/>
        <v>0</v>
      </c>
      <c r="AN162" s="23">
        <f t="shared" si="124"/>
        <v>0</v>
      </c>
      <c r="AO162" s="23">
        <f t="shared" si="125"/>
        <v>-170.44487888352893</v>
      </c>
      <c r="AP162" s="23">
        <f t="shared" si="126"/>
        <v>1746.0211974098945</v>
      </c>
      <c r="AQ162" s="23">
        <f t="shared" si="127"/>
        <v>3717.7512973007533</v>
      </c>
      <c r="AR162" s="23">
        <f t="shared" si="128"/>
        <v>5507.9644692380189</v>
      </c>
      <c r="AS162" s="23">
        <f t="shared" si="129"/>
        <v>7133.3986785833422</v>
      </c>
      <c r="AT162" s="23">
        <f t="shared" si="130"/>
        <v>8564.326050552665</v>
      </c>
      <c r="AU162" s="23">
        <f t="shared" si="131"/>
        <v>9783.0872376005082</v>
      </c>
      <c r="AW162" s="25"/>
      <c r="AX162" s="25"/>
      <c r="AY162" s="25"/>
      <c r="AZ162" s="25">
        <f t="shared" si="141"/>
        <v>36282.104051801653</v>
      </c>
      <c r="BA162" s="25">
        <f t="shared" si="142"/>
        <v>36452.548930685181</v>
      </c>
      <c r="BB162" s="25">
        <f t="shared" si="143"/>
        <v>34706.527733275288</v>
      </c>
      <c r="BC162" s="25">
        <f t="shared" si="144"/>
        <v>30988.776435974534</v>
      </c>
      <c r="BD162" s="25">
        <f t="shared" si="145"/>
        <v>25480.811966736517</v>
      </c>
      <c r="BE162" s="25">
        <f t="shared" si="146"/>
        <v>18347.413288153173</v>
      </c>
      <c r="BF162" s="25">
        <f t="shared" si="147"/>
        <v>9783.0872376005082</v>
      </c>
      <c r="BG162" s="25">
        <f t="shared" si="148"/>
        <v>0</v>
      </c>
      <c r="BI162" s="25"/>
      <c r="BJ162" s="25"/>
      <c r="BK162" s="25"/>
      <c r="BL162" s="25">
        <f t="shared" si="151"/>
        <v>36282.104051801653</v>
      </c>
      <c r="BM162" s="25">
        <f t="shared" si="152"/>
        <v>36452.548930685181</v>
      </c>
      <c r="BN162" s="25">
        <f t="shared" si="153"/>
        <v>34706.527733275288</v>
      </c>
      <c r="BO162" s="25">
        <f t="shared" si="154"/>
        <v>30988.776435974534</v>
      </c>
      <c r="BP162" s="25">
        <f t="shared" si="155"/>
        <v>25480.811966736517</v>
      </c>
      <c r="BQ162" s="25">
        <f t="shared" si="156"/>
        <v>18347.413288153173</v>
      </c>
      <c r="BR162" s="25">
        <f t="shared" si="157"/>
        <v>9783.0872376005082</v>
      </c>
      <c r="BS162" s="25">
        <f t="shared" si="158"/>
        <v>0</v>
      </c>
    </row>
    <row r="163" spans="1:71" x14ac:dyDescent="0.2">
      <c r="A163" s="29">
        <f t="shared" si="149"/>
        <v>1.5500000000000012</v>
      </c>
      <c r="B163" s="30">
        <v>5.2506923885872581E-2</v>
      </c>
      <c r="C163" s="30">
        <v>5.7094468716344861E-2</v>
      </c>
      <c r="D163" s="30">
        <v>6.1156504153013838E-2</v>
      </c>
      <c r="E163" s="30">
        <v>6.4973557034339449E-2</v>
      </c>
      <c r="F163" s="30">
        <v>6.8880676182399944E-2</v>
      </c>
      <c r="G163" s="30">
        <v>7.2973059165177254E-2</v>
      </c>
      <c r="H163" s="30">
        <v>7.722004571031052E-2</v>
      </c>
      <c r="I163" s="30">
        <v>8.1562129586889812E-2</v>
      </c>
      <c r="J163" s="30">
        <v>8.5945642552895274E-2</v>
      </c>
      <c r="K163" s="30">
        <v>9.0330034231150699E-2</v>
      </c>
      <c r="L163" s="30">
        <v>9.4685382578269764E-2</v>
      </c>
      <c r="N163" s="1"/>
      <c r="O163" s="1"/>
      <c r="P163" s="1"/>
      <c r="Q163" s="54">
        <f t="shared" si="115"/>
        <v>0.96803524860811507</v>
      </c>
      <c r="R163" s="1">
        <f t="shared" si="116"/>
        <v>0.93343805482543474</v>
      </c>
      <c r="S163" s="1">
        <f t="shared" si="159"/>
        <v>0.92962587458556467</v>
      </c>
      <c r="T163" s="62">
        <f t="shared" si="160"/>
        <v>0.89062655588730255</v>
      </c>
      <c r="U163" s="65">
        <f t="shared" si="161"/>
        <v>0.84948562547418516</v>
      </c>
      <c r="V163" s="67">
        <f t="shared" si="162"/>
        <v>0.80665105145907556</v>
      </c>
      <c r="W163" s="68">
        <f t="shared" si="163"/>
        <v>0.76262404429166064</v>
      </c>
      <c r="Y163" s="24"/>
      <c r="Z163" s="24"/>
      <c r="AA163" s="24"/>
      <c r="AB163" s="24">
        <f t="shared" si="133"/>
        <v>6.8880676182399944E-2</v>
      </c>
      <c r="AC163" s="24">
        <f t="shared" si="134"/>
        <v>7.2973059165177254E-2</v>
      </c>
      <c r="AD163" s="24">
        <f t="shared" si="135"/>
        <v>7.722004571031052E-2</v>
      </c>
      <c r="AE163" s="24">
        <f t="shared" si="136"/>
        <v>8.1562129586889812E-2</v>
      </c>
      <c r="AF163" s="24">
        <f t="shared" si="137"/>
        <v>8.5945642552895274E-2</v>
      </c>
      <c r="AG163" s="24">
        <f t="shared" si="138"/>
        <v>9.0330034231150699E-2</v>
      </c>
      <c r="AH163" s="24">
        <f t="shared" si="139"/>
        <v>9.4685382578269764E-2</v>
      </c>
      <c r="AL163" s="23">
        <f t="shared" si="122"/>
        <v>0</v>
      </c>
      <c r="AM163" s="23">
        <f t="shared" si="123"/>
        <v>0</v>
      </c>
      <c r="AN163" s="23">
        <f t="shared" si="124"/>
        <v>0</v>
      </c>
      <c r="AO163" s="23">
        <f t="shared" si="125"/>
        <v>570.32191884170481</v>
      </c>
      <c r="AP163" s="23">
        <f t="shared" si="126"/>
        <v>2459.9318463994755</v>
      </c>
      <c r="AQ163" s="23">
        <f t="shared" si="127"/>
        <v>4423.9397247633133</v>
      </c>
      <c r="AR163" s="23">
        <f t="shared" si="128"/>
        <v>6171.9358561376866</v>
      </c>
      <c r="AS163" s="23">
        <f t="shared" si="129"/>
        <v>7748.6997398468566</v>
      </c>
      <c r="AT163" s="23">
        <f t="shared" si="130"/>
        <v>9126.315371793793</v>
      </c>
      <c r="AU163" s="23">
        <f t="shared" si="131"/>
        <v>10288.947845890452</v>
      </c>
      <c r="AW163" s="25"/>
      <c r="AX163" s="25"/>
      <c r="AY163" s="25"/>
      <c r="AZ163" s="25">
        <f t="shared" si="141"/>
        <v>40790.092303673286</v>
      </c>
      <c r="BA163" s="25">
        <f t="shared" si="142"/>
        <v>40219.770384831572</v>
      </c>
      <c r="BB163" s="25">
        <f t="shared" si="143"/>
        <v>37759.838538432101</v>
      </c>
      <c r="BC163" s="25">
        <f t="shared" si="144"/>
        <v>33335.898813668784</v>
      </c>
      <c r="BD163" s="25">
        <f t="shared" si="145"/>
        <v>27163.962957531101</v>
      </c>
      <c r="BE163" s="25">
        <f t="shared" si="146"/>
        <v>19415.263217684245</v>
      </c>
      <c r="BF163" s="25">
        <f t="shared" si="147"/>
        <v>10288.947845890452</v>
      </c>
      <c r="BG163" s="25">
        <f t="shared" si="148"/>
        <v>0</v>
      </c>
      <c r="BI163" s="25"/>
      <c r="BJ163" s="25"/>
      <c r="BK163" s="25"/>
      <c r="BL163" s="25">
        <f t="shared" si="151"/>
        <v>40790.092303673286</v>
      </c>
      <c r="BM163" s="25">
        <f t="shared" si="152"/>
        <v>40219.770384831572</v>
      </c>
      <c r="BN163" s="25">
        <f t="shared" si="153"/>
        <v>37759.838538432101</v>
      </c>
      <c r="BO163" s="25">
        <f t="shared" si="154"/>
        <v>33335.898813668784</v>
      </c>
      <c r="BP163" s="25">
        <f t="shared" si="155"/>
        <v>27163.962957531101</v>
      </c>
      <c r="BQ163" s="25">
        <f t="shared" si="156"/>
        <v>19415.263217684245</v>
      </c>
      <c r="BR163" s="25">
        <f t="shared" si="157"/>
        <v>10288.947845890452</v>
      </c>
      <c r="BS163" s="25">
        <f t="shared" si="158"/>
        <v>0</v>
      </c>
    </row>
    <row r="164" spans="1:71" x14ac:dyDescent="0.2">
      <c r="A164" s="29">
        <f t="shared" si="149"/>
        <v>1.5600000000000012</v>
      </c>
      <c r="B164" s="30">
        <v>5.312525114496839E-2</v>
      </c>
      <c r="C164" s="30">
        <v>5.7744872239848401E-2</v>
      </c>
      <c r="D164" s="30">
        <v>6.1838094007938632E-2</v>
      </c>
      <c r="E164" s="30">
        <v>6.5686830289631792E-2</v>
      </c>
      <c r="F164" s="30">
        <v>6.9621626616122076E-2</v>
      </c>
      <c r="G164" s="30">
        <v>7.3735454806593353E-2</v>
      </c>
      <c r="H164" s="30">
        <v>7.7997367202987708E-2</v>
      </c>
      <c r="I164" s="30">
        <v>8.2348262396781322E-2</v>
      </c>
      <c r="J164" s="30">
        <v>8.6735021452913258E-2</v>
      </c>
      <c r="K164" s="30">
        <v>9.1117592712001802E-2</v>
      </c>
      <c r="L164" s="30">
        <v>9.546647429075919E-2</v>
      </c>
      <c r="N164" s="1"/>
      <c r="O164" s="1"/>
      <c r="P164" s="1"/>
      <c r="Q164" s="54">
        <f t="shared" si="115"/>
        <v>0.96769007333633983</v>
      </c>
      <c r="R164" s="1">
        <f t="shared" si="116"/>
        <v>0.93274667966285318</v>
      </c>
      <c r="S164" s="1">
        <f t="shared" si="159"/>
        <v>0.92891740197316541</v>
      </c>
      <c r="T164" s="62">
        <f t="shared" si="160"/>
        <v>0.88958870631620646</v>
      </c>
      <c r="U164" s="65">
        <f t="shared" si="161"/>
        <v>0.84815105785306921</v>
      </c>
      <c r="V164" s="67">
        <f t="shared" si="162"/>
        <v>0.80506073787593357</v>
      </c>
      <c r="W164" s="68">
        <f t="shared" si="163"/>
        <v>0.76082433808833572</v>
      </c>
      <c r="Y164" s="24"/>
      <c r="Z164" s="24"/>
      <c r="AA164" s="24"/>
      <c r="AB164" s="24">
        <f t="shared" si="133"/>
        <v>6.9621626616122076E-2</v>
      </c>
      <c r="AC164" s="24">
        <f t="shared" si="134"/>
        <v>7.3735454806593353E-2</v>
      </c>
      <c r="AD164" s="24">
        <f t="shared" si="135"/>
        <v>7.7997367202987708E-2</v>
      </c>
      <c r="AE164" s="24">
        <f t="shared" si="136"/>
        <v>8.2348262396781322E-2</v>
      </c>
      <c r="AF164" s="24">
        <f t="shared" si="137"/>
        <v>8.6735021452913258E-2</v>
      </c>
      <c r="AG164" s="24">
        <f t="shared" si="138"/>
        <v>9.1117592712001802E-2</v>
      </c>
      <c r="AH164" s="24">
        <f t="shared" si="139"/>
        <v>9.546647429075919E-2</v>
      </c>
      <c r="AL164" s="23">
        <f t="shared" si="122"/>
        <v>0</v>
      </c>
      <c r="AM164" s="23">
        <f t="shared" si="123"/>
        <v>0</v>
      </c>
      <c r="AN164" s="23">
        <f t="shared" si="124"/>
        <v>0</v>
      </c>
      <c r="AO164" s="23">
        <f t="shared" si="125"/>
        <v>928.62374719469869</v>
      </c>
      <c r="AP164" s="23">
        <f t="shared" si="126"/>
        <v>2813.6708354849329</v>
      </c>
      <c r="AQ164" s="23">
        <f t="shared" si="127"/>
        <v>4781.6019485114884</v>
      </c>
      <c r="AR164" s="23">
        <f t="shared" si="128"/>
        <v>6514.4111170094193</v>
      </c>
      <c r="AS164" s="23">
        <f t="shared" si="129"/>
        <v>8071.2825726461642</v>
      </c>
      <c r="AT164" s="23">
        <f t="shared" si="130"/>
        <v>9425.3390351835496</v>
      </c>
      <c r="AU164" s="23">
        <f t="shared" si="131"/>
        <v>10561.803889115954</v>
      </c>
      <c r="AW164" s="25"/>
      <c r="AX164" s="25"/>
      <c r="AY164" s="25"/>
      <c r="AZ164" s="25">
        <f t="shared" si="141"/>
        <v>43096.733145146201</v>
      </c>
      <c r="BA164" s="25">
        <f t="shared" si="142"/>
        <v>42168.109397951506</v>
      </c>
      <c r="BB164" s="25">
        <f t="shared" si="143"/>
        <v>39354.438562466574</v>
      </c>
      <c r="BC164" s="25">
        <f t="shared" si="144"/>
        <v>34572.836613955085</v>
      </c>
      <c r="BD164" s="25">
        <f t="shared" si="145"/>
        <v>28058.425496945667</v>
      </c>
      <c r="BE164" s="25">
        <f t="shared" si="146"/>
        <v>19987.142924299504</v>
      </c>
      <c r="BF164" s="25">
        <f t="shared" si="147"/>
        <v>10561.803889115954</v>
      </c>
      <c r="BG164" s="25">
        <f t="shared" si="148"/>
        <v>0</v>
      </c>
      <c r="BI164" s="25"/>
      <c r="BJ164" s="25"/>
      <c r="BK164" s="25"/>
      <c r="BL164" s="25">
        <f t="shared" si="151"/>
        <v>43096.733145146201</v>
      </c>
      <c r="BM164" s="25">
        <f t="shared" si="152"/>
        <v>42168.109397951506</v>
      </c>
      <c r="BN164" s="25">
        <f t="shared" si="153"/>
        <v>39354.438562466574</v>
      </c>
      <c r="BO164" s="25">
        <f t="shared" si="154"/>
        <v>34572.836613955085</v>
      </c>
      <c r="BP164" s="25">
        <f t="shared" si="155"/>
        <v>28058.425496945667</v>
      </c>
      <c r="BQ164" s="25">
        <f t="shared" si="156"/>
        <v>19987.142924299504</v>
      </c>
      <c r="BR164" s="25">
        <f t="shared" si="157"/>
        <v>10561.803889115954</v>
      </c>
      <c r="BS164" s="25">
        <f t="shared" si="158"/>
        <v>0</v>
      </c>
    </row>
    <row r="165" spans="1:71" x14ac:dyDescent="0.2">
      <c r="A165" s="29">
        <f t="shared" si="149"/>
        <v>1.5700000000000012</v>
      </c>
      <c r="B165" s="30">
        <v>5.3086884739035022E-2</v>
      </c>
      <c r="C165" s="30">
        <v>5.768726674709334E-2</v>
      </c>
      <c r="D165" s="30">
        <v>6.1769569225751976E-2</v>
      </c>
      <c r="E165" s="30">
        <v>6.5616553341491995E-2</v>
      </c>
      <c r="F165" s="30">
        <v>6.9553885015477171E-2</v>
      </c>
      <c r="G165" s="30">
        <v>7.367192721536725E-2</v>
      </c>
      <c r="H165" s="30">
        <v>7.7939036871580838E-2</v>
      </c>
      <c r="I165" s="30">
        <v>8.2296098417683622E-2</v>
      </c>
      <c r="J165" s="30">
        <v>8.6690119343802191E-2</v>
      </c>
      <c r="K165" s="30">
        <v>9.1081123267207312E-2</v>
      </c>
      <c r="L165" s="30">
        <v>9.5439605508398875E-2</v>
      </c>
      <c r="N165" s="1"/>
      <c r="O165" s="1"/>
      <c r="P165" s="1"/>
      <c r="Q165" s="54">
        <f t="shared" si="115"/>
        <v>0.96772407708630592</v>
      </c>
      <c r="R165" s="1">
        <f t="shared" si="116"/>
        <v>0.93280986755613016</v>
      </c>
      <c r="S165" s="1">
        <f t="shared" si="159"/>
        <v>0.92897641573264189</v>
      </c>
      <c r="T165" s="62">
        <f t="shared" si="160"/>
        <v>0.88966654472749496</v>
      </c>
      <c r="U165" s="65">
        <f t="shared" si="161"/>
        <v>0.84823954833711179</v>
      </c>
      <c r="V165" s="67">
        <f t="shared" si="162"/>
        <v>0.80515111526124061</v>
      </c>
      <c r="W165" s="68">
        <f t="shared" si="163"/>
        <v>0.76090758316569396</v>
      </c>
      <c r="Y165" s="24"/>
      <c r="Z165" s="24"/>
      <c r="AA165" s="24"/>
      <c r="AB165" s="24">
        <f t="shared" si="133"/>
        <v>6.9553885015477171E-2</v>
      </c>
      <c r="AC165" s="24">
        <f t="shared" si="134"/>
        <v>7.367192721536725E-2</v>
      </c>
      <c r="AD165" s="24">
        <f t="shared" si="135"/>
        <v>7.7939036871580838E-2</v>
      </c>
      <c r="AE165" s="24">
        <f t="shared" si="136"/>
        <v>8.2296098417683622E-2</v>
      </c>
      <c r="AF165" s="24">
        <f t="shared" si="137"/>
        <v>8.6690119343802191E-2</v>
      </c>
      <c r="AG165" s="24">
        <f t="shared" si="138"/>
        <v>9.1081123267207312E-2</v>
      </c>
      <c r="AH165" s="24">
        <f t="shared" si="139"/>
        <v>9.5439605508398875E-2</v>
      </c>
      <c r="AL165" s="23">
        <f t="shared" si="122"/>
        <v>0</v>
      </c>
      <c r="AM165" s="23">
        <f t="shared" si="123"/>
        <v>0</v>
      </c>
      <c r="AN165" s="23">
        <f t="shared" si="124"/>
        <v>0</v>
      </c>
      <c r="AO165" s="23">
        <f t="shared" si="125"/>
        <v>895.87878920723858</v>
      </c>
      <c r="AP165" s="23">
        <f t="shared" si="126"/>
        <v>2784.2318625281332</v>
      </c>
      <c r="AQ165" s="23">
        <f t="shared" si="127"/>
        <v>4754.8119707149444</v>
      </c>
      <c r="AR165" s="23">
        <f t="shared" si="128"/>
        <v>6491.7768500630809</v>
      </c>
      <c r="AS165" s="23">
        <f t="shared" si="129"/>
        <v>8053.0808046278589</v>
      </c>
      <c r="AT165" s="23">
        <f t="shared" si="130"/>
        <v>9411.7154315010757</v>
      </c>
      <c r="AU165" s="23">
        <f t="shared" si="131"/>
        <v>10552.737171579021</v>
      </c>
      <c r="AW165" s="25"/>
      <c r="AX165" s="25"/>
      <c r="AY165" s="25"/>
      <c r="AZ165" s="25">
        <f t="shared" si="141"/>
        <v>42944.232880221352</v>
      </c>
      <c r="BA165" s="25">
        <f t="shared" si="142"/>
        <v>42048.354091014116</v>
      </c>
      <c r="BB165" s="25">
        <f t="shared" si="143"/>
        <v>39264.122228485983</v>
      </c>
      <c r="BC165" s="25">
        <f t="shared" si="144"/>
        <v>34509.310257771038</v>
      </c>
      <c r="BD165" s="25">
        <f t="shared" si="145"/>
        <v>28017.533407707957</v>
      </c>
      <c r="BE165" s="25">
        <f t="shared" si="146"/>
        <v>19964.452603080099</v>
      </c>
      <c r="BF165" s="25">
        <f t="shared" si="147"/>
        <v>10552.737171579021</v>
      </c>
      <c r="BG165" s="25">
        <f t="shared" si="148"/>
        <v>0</v>
      </c>
      <c r="BI165" s="25"/>
      <c r="BJ165" s="25"/>
      <c r="BK165" s="25"/>
      <c r="BL165" s="25">
        <f t="shared" si="151"/>
        <v>42944.232880221352</v>
      </c>
      <c r="BM165" s="25">
        <f t="shared" si="152"/>
        <v>42048.354091014116</v>
      </c>
      <c r="BN165" s="25">
        <f t="shared" si="153"/>
        <v>39264.122228485983</v>
      </c>
      <c r="BO165" s="25">
        <f t="shared" si="154"/>
        <v>34509.310257771038</v>
      </c>
      <c r="BP165" s="25">
        <f t="shared" si="155"/>
        <v>28017.533407707957</v>
      </c>
      <c r="BQ165" s="25">
        <f t="shared" si="156"/>
        <v>19964.452603080099</v>
      </c>
      <c r="BR165" s="25">
        <f t="shared" si="157"/>
        <v>10552.737171579021</v>
      </c>
      <c r="BS165" s="25">
        <f t="shared" si="158"/>
        <v>0</v>
      </c>
    </row>
    <row r="166" spans="1:71" x14ac:dyDescent="0.2">
      <c r="A166" s="29">
        <f t="shared" si="149"/>
        <v>1.5800000000000012</v>
      </c>
      <c r="B166" s="30">
        <v>5.3602553338959039E-2</v>
      </c>
      <c r="C166" s="30">
        <v>5.8321245840039421E-2</v>
      </c>
      <c r="D166" s="30">
        <v>6.251132108757021E-2</v>
      </c>
      <c r="E166" s="30">
        <v>6.6457084819698128E-2</v>
      </c>
      <c r="F166" s="30">
        <v>7.0480180547026275E-2</v>
      </c>
      <c r="G166" s="30">
        <v>7.4669212438789961E-2</v>
      </c>
      <c r="H166" s="30">
        <v>7.8992667423256238E-2</v>
      </c>
      <c r="I166" s="30">
        <v>8.3392230372041895E-2</v>
      </c>
      <c r="J166" s="30">
        <v>8.781584596179004E-2</v>
      </c>
      <c r="K166" s="30">
        <v>9.2224423309266251E-2</v>
      </c>
      <c r="L166" s="30">
        <v>9.6589265645682987E-2</v>
      </c>
      <c r="N166" s="1"/>
      <c r="O166" s="1"/>
      <c r="P166" s="1"/>
      <c r="Q166" s="54">
        <f t="shared" si="115"/>
        <v>0.96731746126113638</v>
      </c>
      <c r="R166" s="1">
        <f t="shared" si="116"/>
        <v>0.93194621000684552</v>
      </c>
      <c r="S166" s="1">
        <f t="shared" si="159"/>
        <v>0.92805042309645769</v>
      </c>
      <c r="T166" s="62">
        <f t="shared" si="160"/>
        <v>0.88826158547244194</v>
      </c>
      <c r="U166" s="65">
        <f t="shared" si="161"/>
        <v>0.84638202022920472</v>
      </c>
      <c r="V166" s="67">
        <f t="shared" si="162"/>
        <v>0.80288835071770182</v>
      </c>
      <c r="W166" s="68">
        <f t="shared" si="163"/>
        <v>0.75830221677761034</v>
      </c>
      <c r="Y166" s="24"/>
      <c r="Z166" s="24"/>
      <c r="AA166" s="24"/>
      <c r="AB166" s="24">
        <f t="shared" si="133"/>
        <v>7.0480180547026275E-2</v>
      </c>
      <c r="AC166" s="24">
        <f t="shared" si="134"/>
        <v>7.4669212438789961E-2</v>
      </c>
      <c r="AD166" s="24">
        <f t="shared" si="135"/>
        <v>7.8992667423256238E-2</v>
      </c>
      <c r="AE166" s="24">
        <f t="shared" si="136"/>
        <v>8.3392230372041895E-2</v>
      </c>
      <c r="AF166" s="24">
        <f t="shared" si="137"/>
        <v>8.781584596179004E-2</v>
      </c>
      <c r="AG166" s="24">
        <f t="shared" si="138"/>
        <v>9.2224423309266251E-2</v>
      </c>
      <c r="AH166" s="24">
        <f t="shared" si="139"/>
        <v>9.6589265645682987E-2</v>
      </c>
      <c r="AL166" s="23">
        <f t="shared" si="122"/>
        <v>0</v>
      </c>
      <c r="AM166" s="23">
        <f t="shared" si="123"/>
        <v>0</v>
      </c>
      <c r="AN166" s="23">
        <f t="shared" si="124"/>
        <v>0</v>
      </c>
      <c r="AO166" s="23">
        <f t="shared" si="125"/>
        <v>1343.5132821290008</v>
      </c>
      <c r="AP166" s="23">
        <f t="shared" si="126"/>
        <v>3246.362127226726</v>
      </c>
      <c r="AQ166" s="23">
        <f t="shared" si="127"/>
        <v>5238.9835703606705</v>
      </c>
      <c r="AR166" s="23">
        <f t="shared" si="128"/>
        <v>6968.3510055997349</v>
      </c>
      <c r="AS166" s="23">
        <f t="shared" si="129"/>
        <v>8511.8430483094289</v>
      </c>
      <c r="AT166" s="23">
        <f t="shared" si="130"/>
        <v>9844.236264847219</v>
      </c>
      <c r="AU166" s="23">
        <f t="shared" si="131"/>
        <v>10952.499253771724</v>
      </c>
      <c r="AW166" s="25"/>
      <c r="AX166" s="25"/>
      <c r="AY166" s="25"/>
      <c r="AZ166" s="25">
        <f t="shared" si="141"/>
        <v>46105.788552244507</v>
      </c>
      <c r="BA166" s="25">
        <f t="shared" si="142"/>
        <v>44762.275270115504</v>
      </c>
      <c r="BB166" s="25">
        <f t="shared" si="143"/>
        <v>41515.913142888778</v>
      </c>
      <c r="BC166" s="25">
        <f t="shared" si="144"/>
        <v>36276.929572528104</v>
      </c>
      <c r="BD166" s="25">
        <f t="shared" si="145"/>
        <v>29308.578566928372</v>
      </c>
      <c r="BE166" s="25">
        <f t="shared" si="146"/>
        <v>20796.735518618945</v>
      </c>
      <c r="BF166" s="25">
        <f t="shared" si="147"/>
        <v>10952.499253771724</v>
      </c>
      <c r="BG166" s="25">
        <f t="shared" si="148"/>
        <v>0</v>
      </c>
      <c r="BI166" s="25"/>
      <c r="BJ166" s="25"/>
      <c r="BK166" s="25"/>
      <c r="BL166" s="25">
        <f t="shared" si="151"/>
        <v>46105.788552244507</v>
      </c>
      <c r="BM166" s="25">
        <f t="shared" si="152"/>
        <v>44762.275270115504</v>
      </c>
      <c r="BN166" s="25">
        <f t="shared" si="153"/>
        <v>41515.913142888778</v>
      </c>
      <c r="BO166" s="25">
        <f t="shared" si="154"/>
        <v>36276.929572528104</v>
      </c>
      <c r="BP166" s="25">
        <f t="shared" si="155"/>
        <v>29308.578566928372</v>
      </c>
      <c r="BQ166" s="25">
        <f t="shared" si="156"/>
        <v>20796.735518618945</v>
      </c>
      <c r="BR166" s="25">
        <f t="shared" si="157"/>
        <v>10952.499253771724</v>
      </c>
      <c r="BS166" s="25">
        <f t="shared" si="158"/>
        <v>0</v>
      </c>
    </row>
    <row r="167" spans="1:71" x14ac:dyDescent="0.2">
      <c r="A167" s="29">
        <f t="shared" si="149"/>
        <v>1.5900000000000012</v>
      </c>
      <c r="B167" s="30">
        <v>5.388079110562536E-2</v>
      </c>
      <c r="C167" s="30">
        <v>5.8639469454542348E-2</v>
      </c>
      <c r="D167" s="30">
        <v>6.287527745096122E-2</v>
      </c>
      <c r="E167" s="30">
        <v>6.6873185260504467E-2</v>
      </c>
      <c r="F167" s="30">
        <v>7.0950090450911843E-2</v>
      </c>
      <c r="G167" s="30">
        <v>7.5192107364374372E-2</v>
      </c>
      <c r="H167" s="30">
        <v>7.9567097531266159E-2</v>
      </c>
      <c r="I167" s="30">
        <v>8.4016780191679116E-2</v>
      </c>
      <c r="J167" s="30">
        <v>8.8489267370486999E-2</v>
      </c>
      <c r="K167" s="30">
        <v>9.2945583327629255E-2</v>
      </c>
      <c r="L167" s="30">
        <v>9.7357069332009605E-2</v>
      </c>
      <c r="N167" s="1"/>
      <c r="O167" s="1"/>
      <c r="P167" s="1"/>
      <c r="Q167" s="54">
        <f t="shared" si="115"/>
        <v>0.96711623158378635</v>
      </c>
      <c r="R167" s="1">
        <f t="shared" si="116"/>
        <v>0.93150838213075893</v>
      </c>
      <c r="S167" s="1">
        <f t="shared" si="159"/>
        <v>0.9275652770907804</v>
      </c>
      <c r="T167" s="62">
        <f t="shared" si="160"/>
        <v>0.88749654881711471</v>
      </c>
      <c r="U167" s="65">
        <f t="shared" si="161"/>
        <v>0.84532546476194881</v>
      </c>
      <c r="V167" s="67">
        <f t="shared" si="162"/>
        <v>0.80153778240330498</v>
      </c>
      <c r="W167" s="68">
        <f t="shared" si="163"/>
        <v>0.75666341844885099</v>
      </c>
      <c r="Y167" s="24"/>
      <c r="Z167" s="24"/>
      <c r="AA167" s="24"/>
      <c r="AB167" s="24">
        <f t="shared" si="133"/>
        <v>7.0950090450911843E-2</v>
      </c>
      <c r="AC167" s="24">
        <f t="shared" si="134"/>
        <v>7.5192107364374372E-2</v>
      </c>
      <c r="AD167" s="24">
        <f t="shared" si="135"/>
        <v>7.9567097531266159E-2</v>
      </c>
      <c r="AE167" s="24">
        <f t="shared" si="136"/>
        <v>8.4016780191679116E-2</v>
      </c>
      <c r="AF167" s="24">
        <f t="shared" si="137"/>
        <v>8.8489267370486999E-2</v>
      </c>
      <c r="AG167" s="24">
        <f t="shared" si="138"/>
        <v>9.2945583327629255E-2</v>
      </c>
      <c r="AH167" s="24">
        <f t="shared" si="139"/>
        <v>9.7357069332009605E-2</v>
      </c>
      <c r="AL167" s="23">
        <f t="shared" si="122"/>
        <v>0</v>
      </c>
      <c r="AM167" s="23">
        <f t="shared" si="123"/>
        <v>0</v>
      </c>
      <c r="AN167" s="23">
        <f t="shared" si="124"/>
        <v>0</v>
      </c>
      <c r="AO167" s="23">
        <f t="shared" si="125"/>
        <v>1570.4625406842929</v>
      </c>
      <c r="AP167" s="23">
        <f t="shared" si="126"/>
        <v>3488.377490956409</v>
      </c>
      <c r="AQ167" s="23">
        <f t="shared" si="127"/>
        <v>5502.6555596835387</v>
      </c>
      <c r="AR167" s="23">
        <f t="shared" si="128"/>
        <v>7239.4922504366623</v>
      </c>
      <c r="AS167" s="23">
        <f t="shared" si="129"/>
        <v>8785.8476784091617</v>
      </c>
      <c r="AT167" s="23">
        <f t="shared" si="130"/>
        <v>10116.695410344813</v>
      </c>
      <c r="AU167" s="23">
        <f t="shared" si="131"/>
        <v>11219.313834990147</v>
      </c>
      <c r="AW167" s="25"/>
      <c r="AX167" s="25"/>
      <c r="AY167" s="25"/>
      <c r="AZ167" s="25">
        <f t="shared" si="141"/>
        <v>47922.844765505026</v>
      </c>
      <c r="BA167" s="25">
        <f t="shared" si="142"/>
        <v>46352.382224820736</v>
      </c>
      <c r="BB167" s="25">
        <f t="shared" si="143"/>
        <v>42864.004733864327</v>
      </c>
      <c r="BC167" s="25">
        <f t="shared" si="144"/>
        <v>37361.349174180788</v>
      </c>
      <c r="BD167" s="25">
        <f t="shared" si="145"/>
        <v>30121.856923744126</v>
      </c>
      <c r="BE167" s="25">
        <f t="shared" si="146"/>
        <v>21336.009245334961</v>
      </c>
      <c r="BF167" s="25">
        <f t="shared" si="147"/>
        <v>11219.313834990147</v>
      </c>
      <c r="BG167" s="25">
        <f t="shared" si="148"/>
        <v>0</v>
      </c>
      <c r="BI167" s="25"/>
      <c r="BJ167" s="25"/>
      <c r="BK167" s="25"/>
      <c r="BL167" s="25">
        <f t="shared" si="151"/>
        <v>47922.844765505026</v>
      </c>
      <c r="BM167" s="25">
        <f t="shared" si="152"/>
        <v>46352.382224820736</v>
      </c>
      <c r="BN167" s="25">
        <f t="shared" si="153"/>
        <v>42864.004733864327</v>
      </c>
      <c r="BO167" s="25">
        <f t="shared" si="154"/>
        <v>37361.349174180788</v>
      </c>
      <c r="BP167" s="25">
        <f t="shared" si="155"/>
        <v>30121.856923744126</v>
      </c>
      <c r="BQ167" s="25">
        <f t="shared" si="156"/>
        <v>21336.009245334961</v>
      </c>
      <c r="BR167" s="25">
        <f t="shared" si="157"/>
        <v>11219.313834990147</v>
      </c>
      <c r="BS167" s="25">
        <f t="shared" si="158"/>
        <v>0</v>
      </c>
    </row>
    <row r="168" spans="1:71" x14ac:dyDescent="0.2">
      <c r="A168" s="29">
        <f t="shared" si="149"/>
        <v>1.6000000000000012</v>
      </c>
      <c r="B168" s="30">
        <v>5.3801495591883117E-2</v>
      </c>
      <c r="C168" s="30">
        <v>5.8528579148558114E-2</v>
      </c>
      <c r="D168" s="30">
        <v>6.2744053044303333E-2</v>
      </c>
      <c r="E168" s="30">
        <v>6.6733262018875847E-2</v>
      </c>
      <c r="F168" s="30">
        <v>7.0808221173534067E-2</v>
      </c>
      <c r="G168" s="30">
        <v>7.5052410666073363E-2</v>
      </c>
      <c r="H168" s="30">
        <v>7.9432898178367878E-2</v>
      </c>
      <c r="I168" s="30">
        <v>8.3891258332645324E-2</v>
      </c>
      <c r="J168" s="30">
        <v>8.8375587811974604E-2</v>
      </c>
      <c r="K168" s="30">
        <v>9.2846842831424983E-2</v>
      </c>
      <c r="L168" s="30">
        <v>9.7276219992030982E-2</v>
      </c>
      <c r="N168" s="1"/>
      <c r="O168" s="1"/>
      <c r="P168" s="1"/>
      <c r="Q168" s="54">
        <f t="shared" si="115"/>
        <v>0.96718389496975621</v>
      </c>
      <c r="R168" s="1">
        <f t="shared" si="116"/>
        <v>0.9316405439264307</v>
      </c>
      <c r="S168" s="1">
        <f t="shared" si="159"/>
        <v>0.92769486394866596</v>
      </c>
      <c r="T168" s="62">
        <f t="shared" si="160"/>
        <v>0.88767521899340396</v>
      </c>
      <c r="U168" s="65">
        <f t="shared" si="161"/>
        <v>0.84553770504928061</v>
      </c>
      <c r="V168" s="67">
        <f t="shared" si="162"/>
        <v>0.80176561092916587</v>
      </c>
      <c r="W168" s="68">
        <f t="shared" si="163"/>
        <v>0.75688759161385788</v>
      </c>
      <c r="Y168" s="24"/>
      <c r="Z168" s="24"/>
      <c r="AA168" s="24"/>
      <c r="AB168" s="24">
        <f t="shared" si="133"/>
        <v>7.0808221173534067E-2</v>
      </c>
      <c r="AC168" s="24">
        <f t="shared" si="134"/>
        <v>7.5052410666073363E-2</v>
      </c>
      <c r="AD168" s="24">
        <f t="shared" si="135"/>
        <v>7.9432898178367878E-2</v>
      </c>
      <c r="AE168" s="24">
        <f t="shared" si="136"/>
        <v>8.3891258332645324E-2</v>
      </c>
      <c r="AF168" s="24">
        <f t="shared" si="137"/>
        <v>8.8375587811974604E-2</v>
      </c>
      <c r="AG168" s="24">
        <f t="shared" si="138"/>
        <v>9.2846842831424983E-2</v>
      </c>
      <c r="AH168" s="24">
        <f t="shared" si="139"/>
        <v>9.7276219992030982E-2</v>
      </c>
      <c r="AL168" s="23">
        <f t="shared" si="122"/>
        <v>0</v>
      </c>
      <c r="AM168" s="23">
        <f t="shared" si="123"/>
        <v>0</v>
      </c>
      <c r="AN168" s="23">
        <f t="shared" si="124"/>
        <v>0</v>
      </c>
      <c r="AO168" s="23">
        <f t="shared" si="125"/>
        <v>1501.965576497181</v>
      </c>
      <c r="AP168" s="23">
        <f t="shared" si="126"/>
        <v>3423.798865662091</v>
      </c>
      <c r="AQ168" s="23">
        <f t="shared" si="127"/>
        <v>5441.1762909777517</v>
      </c>
      <c r="AR168" s="23">
        <f t="shared" si="128"/>
        <v>7185.238378033162</v>
      </c>
      <c r="AS168" s="23">
        <f t="shared" si="129"/>
        <v>8739.9934106471137</v>
      </c>
      <c r="AT168" s="23">
        <f t="shared" si="130"/>
        <v>10079.98760547957</v>
      </c>
      <c r="AU168" s="23">
        <f t="shared" si="131"/>
        <v>11192.040798005695</v>
      </c>
      <c r="AW168" s="25"/>
      <c r="AX168" s="25"/>
      <c r="AY168" s="25"/>
      <c r="AZ168" s="25">
        <f t="shared" si="141"/>
        <v>47564.200925302561</v>
      </c>
      <c r="BA168" s="25">
        <f t="shared" si="142"/>
        <v>46062.235348805378</v>
      </c>
      <c r="BB168" s="25">
        <f t="shared" si="143"/>
        <v>42638.43648314329</v>
      </c>
      <c r="BC168" s="25">
        <f t="shared" si="144"/>
        <v>37197.260192165544</v>
      </c>
      <c r="BD168" s="25">
        <f t="shared" si="145"/>
        <v>30012.021814132378</v>
      </c>
      <c r="BE168" s="25">
        <f t="shared" si="146"/>
        <v>21272.028403485267</v>
      </c>
      <c r="BF168" s="25">
        <f t="shared" si="147"/>
        <v>11192.040798005695</v>
      </c>
      <c r="BG168" s="25">
        <f t="shared" si="148"/>
        <v>0</v>
      </c>
      <c r="BI168" s="25"/>
      <c r="BJ168" s="25"/>
      <c r="BK168" s="25"/>
      <c r="BL168" s="25">
        <f t="shared" si="151"/>
        <v>47564.200925302561</v>
      </c>
      <c r="BM168" s="25">
        <f t="shared" si="152"/>
        <v>46062.235348805378</v>
      </c>
      <c r="BN168" s="25">
        <f t="shared" si="153"/>
        <v>42638.43648314329</v>
      </c>
      <c r="BO168" s="25">
        <f t="shared" si="154"/>
        <v>37197.260192165544</v>
      </c>
      <c r="BP168" s="25">
        <f t="shared" si="155"/>
        <v>30012.021814132378</v>
      </c>
      <c r="BQ168" s="25">
        <f t="shared" si="156"/>
        <v>21272.028403485267</v>
      </c>
      <c r="BR168" s="25">
        <f t="shared" si="157"/>
        <v>11192.040798005695</v>
      </c>
      <c r="BS168" s="25">
        <f t="shared" si="158"/>
        <v>0</v>
      </c>
    </row>
    <row r="169" spans="1:71" x14ac:dyDescent="0.2">
      <c r="A169" s="29">
        <f t="shared" si="149"/>
        <v>1.6100000000000012</v>
      </c>
      <c r="B169" s="30">
        <v>5.345701257733014E-2</v>
      </c>
      <c r="C169" s="30">
        <v>5.8043571103971459E-2</v>
      </c>
      <c r="D169" s="30">
        <v>6.2141566058723161E-2</v>
      </c>
      <c r="E169" s="30">
        <v>6.6036145696980658E-2</v>
      </c>
      <c r="F169" s="30">
        <v>7.0034021701478821E-2</v>
      </c>
      <c r="G169" s="30">
        <v>7.421561093465126E-2</v>
      </c>
      <c r="H169" s="30">
        <v>7.8546734296800966E-2</v>
      </c>
      <c r="I169" s="30">
        <v>8.2968358460128691E-2</v>
      </c>
      <c r="J169" s="30">
        <v>8.7428097794153239E-2</v>
      </c>
      <c r="K169" s="30">
        <v>9.188637301892974E-2</v>
      </c>
      <c r="L169" s="30">
        <v>9.6313769099114099E-2</v>
      </c>
      <c r="N169" s="1"/>
      <c r="O169" s="1"/>
      <c r="P169" s="1"/>
      <c r="Q169" s="54">
        <f t="shared" si="115"/>
        <v>0.96752107356924755</v>
      </c>
      <c r="R169" s="1">
        <f t="shared" si="116"/>
        <v>0.93236209882135235</v>
      </c>
      <c r="S169" s="1">
        <f t="shared" si="159"/>
        <v>0.92847148365392229</v>
      </c>
      <c r="T169" s="62">
        <f t="shared" si="160"/>
        <v>0.8888559421316532</v>
      </c>
      <c r="U169" s="65">
        <f t="shared" si="161"/>
        <v>0.84709983957992274</v>
      </c>
      <c r="V169" s="67">
        <f t="shared" si="162"/>
        <v>0.80366702428530723</v>
      </c>
      <c r="W169" s="68">
        <f t="shared" si="163"/>
        <v>0.75907163972077174</v>
      </c>
      <c r="Y169" s="24"/>
      <c r="Z169" s="24"/>
      <c r="AA169" s="24"/>
      <c r="AB169" s="24">
        <f t="shared" si="133"/>
        <v>7.0034021701478821E-2</v>
      </c>
      <c r="AC169" s="24">
        <f t="shared" si="134"/>
        <v>7.421561093465126E-2</v>
      </c>
      <c r="AD169" s="24">
        <f t="shared" si="135"/>
        <v>7.8546734296800966E-2</v>
      </c>
      <c r="AE169" s="24">
        <f t="shared" si="136"/>
        <v>8.2968358460128691E-2</v>
      </c>
      <c r="AF169" s="24">
        <f t="shared" si="137"/>
        <v>8.7428097794153239E-2</v>
      </c>
      <c r="AG169" s="24">
        <f t="shared" si="138"/>
        <v>9.188637301892974E-2</v>
      </c>
      <c r="AH169" s="24">
        <f t="shared" si="139"/>
        <v>9.6313769099114099E-2</v>
      </c>
      <c r="AL169" s="23">
        <f t="shared" si="122"/>
        <v>0</v>
      </c>
      <c r="AM169" s="23">
        <f t="shared" si="123"/>
        <v>0</v>
      </c>
      <c r="AN169" s="23">
        <f t="shared" si="124"/>
        <v>0</v>
      </c>
      <c r="AO169" s="23">
        <f t="shared" si="125"/>
        <v>1127.9620379261107</v>
      </c>
      <c r="AP169" s="23">
        <f t="shared" si="126"/>
        <v>3036.3504183467699</v>
      </c>
      <c r="AQ169" s="23">
        <f t="shared" si="127"/>
        <v>5034.3424244764292</v>
      </c>
      <c r="AR169" s="23">
        <f t="shared" si="128"/>
        <v>6784.6331588827261</v>
      </c>
      <c r="AS169" s="23">
        <f t="shared" si="129"/>
        <v>8354.8312648476094</v>
      </c>
      <c r="AT169" s="23">
        <f t="shared" si="130"/>
        <v>9717.9436675401193</v>
      </c>
      <c r="AU169" s="23">
        <f t="shared" si="131"/>
        <v>10859.05156699707</v>
      </c>
      <c r="AW169" s="25"/>
      <c r="AX169" s="25"/>
      <c r="AY169" s="25"/>
      <c r="AZ169" s="25">
        <f t="shared" si="141"/>
        <v>44915.114539016831</v>
      </c>
      <c r="BA169" s="25">
        <f t="shared" si="142"/>
        <v>43787.152501090728</v>
      </c>
      <c r="BB169" s="25">
        <f t="shared" si="143"/>
        <v>40750.802082743954</v>
      </c>
      <c r="BC169" s="25">
        <f t="shared" si="144"/>
        <v>35716.459658267529</v>
      </c>
      <c r="BD169" s="25">
        <f t="shared" si="145"/>
        <v>28931.826499384799</v>
      </c>
      <c r="BE169" s="25">
        <f t="shared" si="146"/>
        <v>20576.995234537189</v>
      </c>
      <c r="BF169" s="25">
        <f t="shared" si="147"/>
        <v>10859.05156699707</v>
      </c>
      <c r="BG169" s="25">
        <f t="shared" si="148"/>
        <v>0</v>
      </c>
      <c r="BI169" s="25"/>
      <c r="BJ169" s="25"/>
      <c r="BK169" s="25"/>
      <c r="BL169" s="25">
        <f t="shared" si="151"/>
        <v>44915.114539016831</v>
      </c>
      <c r="BM169" s="25">
        <f t="shared" si="152"/>
        <v>43787.152501090728</v>
      </c>
      <c r="BN169" s="25">
        <f t="shared" si="153"/>
        <v>40750.802082743954</v>
      </c>
      <c r="BO169" s="25">
        <f t="shared" si="154"/>
        <v>35716.459658267529</v>
      </c>
      <c r="BP169" s="25">
        <f t="shared" si="155"/>
        <v>28931.826499384799</v>
      </c>
      <c r="BQ169" s="25">
        <f t="shared" si="156"/>
        <v>20576.995234537189</v>
      </c>
      <c r="BR169" s="25">
        <f t="shared" si="157"/>
        <v>10859.05156699707</v>
      </c>
      <c r="BS169" s="25">
        <f t="shared" si="158"/>
        <v>0</v>
      </c>
    </row>
    <row r="170" spans="1:71" x14ac:dyDescent="0.2">
      <c r="A170" s="29">
        <f t="shared" si="149"/>
        <v>1.6200000000000012</v>
      </c>
      <c r="B170" s="30">
        <v>5.4345818095059228E-2</v>
      </c>
      <c r="C170" s="30">
        <v>5.8972848760708949E-2</v>
      </c>
      <c r="D170" s="30">
        <v>6.3104732510021758E-2</v>
      </c>
      <c r="E170" s="30">
        <v>6.7027654060060338E-2</v>
      </c>
      <c r="F170" s="30">
        <v>7.1044401562211382E-2</v>
      </c>
      <c r="G170" s="30">
        <v>7.5233699998534756E-2</v>
      </c>
      <c r="H170" s="30">
        <v>7.9561471349105364E-2</v>
      </c>
      <c r="I170" s="30">
        <v>8.3969411933538671E-2</v>
      </c>
      <c r="J170" s="30">
        <v>8.840598782888627E-2</v>
      </c>
      <c r="K170" s="30">
        <v>9.2832417822074048E-2</v>
      </c>
      <c r="L170" s="30">
        <v>9.7220009284017389E-2</v>
      </c>
      <c r="N170" s="1"/>
      <c r="O170" s="1"/>
      <c r="P170" s="1"/>
      <c r="Q170" s="54">
        <f t="shared" si="115"/>
        <v>0.96704153982654806</v>
      </c>
      <c r="R170" s="1">
        <f t="shared" si="116"/>
        <v>0.93142053468261565</v>
      </c>
      <c r="S170" s="1">
        <f t="shared" si="159"/>
        <v>0.92752669800985887</v>
      </c>
      <c r="T170" s="62">
        <f t="shared" si="160"/>
        <v>0.88750403867459515</v>
      </c>
      <c r="U170" s="65">
        <f t="shared" si="161"/>
        <v>0.84540555174512488</v>
      </c>
      <c r="V170" s="67">
        <f t="shared" si="162"/>
        <v>0.80170467902428033</v>
      </c>
      <c r="W170" s="68">
        <f t="shared" si="163"/>
        <v>0.75692034665435037</v>
      </c>
      <c r="Y170" s="24"/>
      <c r="Z170" s="24"/>
      <c r="AA170" s="24"/>
      <c r="AB170" s="24">
        <f t="shared" si="133"/>
        <v>7.1044401562211382E-2</v>
      </c>
      <c r="AC170" s="24">
        <f t="shared" si="134"/>
        <v>7.5233699998534756E-2</v>
      </c>
      <c r="AD170" s="24">
        <f t="shared" si="135"/>
        <v>7.9561471349105364E-2</v>
      </c>
      <c r="AE170" s="24">
        <f t="shared" si="136"/>
        <v>8.3969411933538671E-2</v>
      </c>
      <c r="AF170" s="24">
        <f t="shared" si="137"/>
        <v>8.840598782888627E-2</v>
      </c>
      <c r="AG170" s="24">
        <f t="shared" si="138"/>
        <v>9.2832417822074048E-2</v>
      </c>
      <c r="AH170" s="24">
        <f t="shared" si="139"/>
        <v>9.7220009284017389E-2</v>
      </c>
      <c r="AL170" s="23">
        <f t="shared" si="122"/>
        <v>0</v>
      </c>
      <c r="AM170" s="23">
        <f t="shared" si="123"/>
        <v>0</v>
      </c>
      <c r="AN170" s="23">
        <f t="shared" si="124"/>
        <v>0</v>
      </c>
      <c r="AO170" s="23">
        <f t="shared" si="125"/>
        <v>1615.9426327834224</v>
      </c>
      <c r="AP170" s="23">
        <f t="shared" si="126"/>
        <v>3507.4186304862146</v>
      </c>
      <c r="AQ170" s="23">
        <f t="shared" si="127"/>
        <v>5499.8174774225181</v>
      </c>
      <c r="AR170" s="23">
        <f t="shared" si="128"/>
        <v>7218.5335865453817</v>
      </c>
      <c r="AS170" s="23">
        <f t="shared" si="129"/>
        <v>8751.4775650305346</v>
      </c>
      <c r="AT170" s="23">
        <f t="shared" si="130"/>
        <v>10073.439256359872</v>
      </c>
      <c r="AU170" s="23">
        <f t="shared" si="131"/>
        <v>11171.251630067507</v>
      </c>
      <c r="AW170" s="25"/>
      <c r="AX170" s="25"/>
      <c r="AY170" s="25"/>
      <c r="AZ170" s="25">
        <f t="shared" si="141"/>
        <v>47837.880778695449</v>
      </c>
      <c r="BA170" s="25">
        <f t="shared" si="142"/>
        <v>46221.938145912027</v>
      </c>
      <c r="BB170" s="25">
        <f t="shared" si="143"/>
        <v>42714.519515425811</v>
      </c>
      <c r="BC170" s="25">
        <f t="shared" si="144"/>
        <v>37214.702038003292</v>
      </c>
      <c r="BD170" s="25">
        <f t="shared" si="145"/>
        <v>29996.16845145791</v>
      </c>
      <c r="BE170" s="25">
        <f t="shared" si="146"/>
        <v>21244.690886427379</v>
      </c>
      <c r="BF170" s="25">
        <f t="shared" si="147"/>
        <v>11171.251630067507</v>
      </c>
      <c r="BG170" s="25">
        <f t="shared" si="148"/>
        <v>0</v>
      </c>
      <c r="BI170" s="25"/>
      <c r="BJ170" s="25"/>
      <c r="BK170" s="25"/>
      <c r="BL170" s="25">
        <f t="shared" si="151"/>
        <v>47837.880778695449</v>
      </c>
      <c r="BM170" s="25">
        <f t="shared" si="152"/>
        <v>46221.938145912027</v>
      </c>
      <c r="BN170" s="25">
        <f t="shared" si="153"/>
        <v>42714.519515425811</v>
      </c>
      <c r="BO170" s="25">
        <f t="shared" si="154"/>
        <v>37214.702038003292</v>
      </c>
      <c r="BP170" s="25">
        <f t="shared" si="155"/>
        <v>29996.16845145791</v>
      </c>
      <c r="BQ170" s="25">
        <f t="shared" si="156"/>
        <v>21244.690886427379</v>
      </c>
      <c r="BR170" s="25">
        <f t="shared" si="157"/>
        <v>11171.251630067507</v>
      </c>
      <c r="BS170" s="25">
        <f t="shared" si="158"/>
        <v>0</v>
      </c>
    </row>
    <row r="171" spans="1:71" x14ac:dyDescent="0.2">
      <c r="A171" s="29">
        <f t="shared" si="149"/>
        <v>1.6300000000000012</v>
      </c>
      <c r="B171" s="30">
        <v>5.4048407939512787E-2</v>
      </c>
      <c r="C171" s="30">
        <v>5.8675789421147588E-2</v>
      </c>
      <c r="D171" s="30">
        <v>6.2812813697758291E-2</v>
      </c>
      <c r="E171" s="30">
        <v>6.674604050421705E-2</v>
      </c>
      <c r="F171" s="30">
        <v>7.0773816849584434E-2</v>
      </c>
      <c r="G171" s="30">
        <v>7.4972649450751966E-2</v>
      </c>
      <c r="H171" s="30">
        <v>7.9308011694921826E-2</v>
      </c>
      <c r="I171" s="30">
        <v>8.3721769746329125E-2</v>
      </c>
      <c r="J171" s="30">
        <v>8.8162678072747511E-2</v>
      </c>
      <c r="K171" s="30">
        <v>9.2592189770763902E-2</v>
      </c>
      <c r="L171" s="30">
        <v>9.6981771340184E-2</v>
      </c>
      <c r="N171" s="1"/>
      <c r="O171" s="1"/>
      <c r="P171" s="1"/>
      <c r="Q171" s="54">
        <f t="shared" si="115"/>
        <v>0.96717771541688558</v>
      </c>
      <c r="R171" s="1">
        <f t="shared" si="116"/>
        <v>0.93167259694088655</v>
      </c>
      <c r="S171" s="1">
        <f t="shared" si="159"/>
        <v>0.92776886096946887</v>
      </c>
      <c r="T171" s="62">
        <f t="shared" si="160"/>
        <v>0.88784152252452841</v>
      </c>
      <c r="U171" s="65">
        <f t="shared" si="161"/>
        <v>0.84582437161385804</v>
      </c>
      <c r="V171" s="67">
        <f t="shared" si="162"/>
        <v>0.8021924837936858</v>
      </c>
      <c r="W171" s="68">
        <f t="shared" si="163"/>
        <v>0.7574660437679841</v>
      </c>
      <c r="Y171" s="24"/>
      <c r="Z171" s="24"/>
      <c r="AA171" s="24"/>
      <c r="AB171" s="24">
        <f t="shared" si="133"/>
        <v>7.0773816849584434E-2</v>
      </c>
      <c r="AC171" s="24">
        <f t="shared" si="134"/>
        <v>7.4972649450751966E-2</v>
      </c>
      <c r="AD171" s="24">
        <f t="shared" si="135"/>
        <v>7.9308011694921826E-2</v>
      </c>
      <c r="AE171" s="24">
        <f t="shared" si="136"/>
        <v>8.3721769746329125E-2</v>
      </c>
      <c r="AF171" s="24">
        <f t="shared" si="137"/>
        <v>8.8162678072747511E-2</v>
      </c>
      <c r="AG171" s="24">
        <f t="shared" si="138"/>
        <v>9.2592189770763902E-2</v>
      </c>
      <c r="AH171" s="24">
        <f t="shared" si="139"/>
        <v>9.6981771340184E-2</v>
      </c>
      <c r="AL171" s="23">
        <f t="shared" si="122"/>
        <v>0</v>
      </c>
      <c r="AM171" s="23">
        <f t="shared" si="123"/>
        <v>0</v>
      </c>
      <c r="AN171" s="23">
        <f t="shared" si="124"/>
        <v>0</v>
      </c>
      <c r="AO171" s="23">
        <f t="shared" si="125"/>
        <v>1485.3184323862527</v>
      </c>
      <c r="AP171" s="23">
        <f t="shared" si="126"/>
        <v>3386.7609918669059</v>
      </c>
      <c r="AQ171" s="23">
        <f t="shared" si="127"/>
        <v>5383.6774078713233</v>
      </c>
      <c r="AR171" s="23">
        <f t="shared" si="128"/>
        <v>7111.3450105826369</v>
      </c>
      <c r="AS171" s="23">
        <f t="shared" si="129"/>
        <v>8652.9144478996677</v>
      </c>
      <c r="AT171" s="23">
        <f t="shared" si="130"/>
        <v>9983.2139668562886</v>
      </c>
      <c r="AU171" s="23">
        <f t="shared" si="131"/>
        <v>11089.07689949236</v>
      </c>
      <c r="AW171" s="25"/>
      <c r="AX171" s="25"/>
      <c r="AY171" s="25"/>
      <c r="AZ171" s="25">
        <f t="shared" si="141"/>
        <v>47092.30715695543</v>
      </c>
      <c r="BA171" s="25">
        <f t="shared" si="142"/>
        <v>45606.988724569179</v>
      </c>
      <c r="BB171" s="25">
        <f t="shared" si="143"/>
        <v>42220.227732702275</v>
      </c>
      <c r="BC171" s="25">
        <f t="shared" si="144"/>
        <v>36836.550324830954</v>
      </c>
      <c r="BD171" s="25">
        <f t="shared" si="145"/>
        <v>29725.205314248316</v>
      </c>
      <c r="BE171" s="25">
        <f t="shared" si="146"/>
        <v>21072.290866348649</v>
      </c>
      <c r="BF171" s="25">
        <f t="shared" si="147"/>
        <v>11089.07689949236</v>
      </c>
      <c r="BG171" s="25">
        <f t="shared" si="148"/>
        <v>0</v>
      </c>
      <c r="BI171" s="25"/>
      <c r="BJ171" s="25"/>
      <c r="BK171" s="25"/>
      <c r="BL171" s="25">
        <f t="shared" si="151"/>
        <v>47092.30715695543</v>
      </c>
      <c r="BM171" s="25">
        <f t="shared" si="152"/>
        <v>45606.988724569179</v>
      </c>
      <c r="BN171" s="25">
        <f t="shared" si="153"/>
        <v>42220.227732702275</v>
      </c>
      <c r="BO171" s="25">
        <f t="shared" si="154"/>
        <v>36836.550324830954</v>
      </c>
      <c r="BP171" s="25">
        <f t="shared" si="155"/>
        <v>29725.205314248316</v>
      </c>
      <c r="BQ171" s="25">
        <f t="shared" si="156"/>
        <v>21072.290866348649</v>
      </c>
      <c r="BR171" s="25">
        <f t="shared" si="157"/>
        <v>11089.07689949236</v>
      </c>
      <c r="BS171" s="25">
        <f t="shared" si="158"/>
        <v>0</v>
      </c>
    </row>
    <row r="172" spans="1:71" x14ac:dyDescent="0.2">
      <c r="A172" s="29">
        <f t="shared" si="149"/>
        <v>1.6400000000000012</v>
      </c>
      <c r="B172" s="30">
        <v>5.3932992488533844E-2</v>
      </c>
      <c r="C172" s="30">
        <v>5.8556813360266247E-2</v>
      </c>
      <c r="D172" s="30">
        <v>6.2692624001397509E-2</v>
      </c>
      <c r="E172" s="30">
        <v>6.6627406121798682E-2</v>
      </c>
      <c r="F172" s="30">
        <v>7.0655253326139464E-2</v>
      </c>
      <c r="G172" s="30">
        <v>7.4850632739981104E-2</v>
      </c>
      <c r="H172" s="30">
        <v>7.9178724806795012E-2</v>
      </c>
      <c r="I172" s="30">
        <v>8.3581711186750104E-2</v>
      </c>
      <c r="J172" s="30">
        <v>8.8008776937112995E-2</v>
      </c>
      <c r="K172" s="30">
        <v>9.2421751240908387E-2</v>
      </c>
      <c r="L172" s="30">
        <v>9.6792401982505882E-2</v>
      </c>
      <c r="N172" s="1"/>
      <c r="O172" s="1"/>
      <c r="P172" s="1"/>
      <c r="Q172" s="54">
        <f t="shared" si="115"/>
        <v>0.96723508738391928</v>
      </c>
      <c r="R172" s="1">
        <f t="shared" si="116"/>
        <v>0.93178306587534065</v>
      </c>
      <c r="S172" s="1">
        <f t="shared" si="159"/>
        <v>0.9278820711808683</v>
      </c>
      <c r="T172" s="62">
        <f t="shared" si="160"/>
        <v>0.88801371862240741</v>
      </c>
      <c r="U172" s="65">
        <f t="shared" si="161"/>
        <v>0.84606133468730549</v>
      </c>
      <c r="V172" s="67">
        <f t="shared" si="162"/>
        <v>0.80250118901311573</v>
      </c>
      <c r="W172" s="68">
        <f t="shared" si="163"/>
        <v>0.7578534469989453</v>
      </c>
      <c r="Y172" s="24"/>
      <c r="Z172" s="24"/>
      <c r="AA172" s="24"/>
      <c r="AB172" s="24">
        <f t="shared" si="133"/>
        <v>7.0655253326139464E-2</v>
      </c>
      <c r="AC172" s="24">
        <f t="shared" si="134"/>
        <v>7.4850632739981104E-2</v>
      </c>
      <c r="AD172" s="24">
        <f t="shared" si="135"/>
        <v>7.9178724806795012E-2</v>
      </c>
      <c r="AE172" s="24">
        <f t="shared" si="136"/>
        <v>8.3581711186750104E-2</v>
      </c>
      <c r="AF172" s="24">
        <f t="shared" si="137"/>
        <v>8.8008776937112995E-2</v>
      </c>
      <c r="AG172" s="24">
        <f t="shared" si="138"/>
        <v>9.2421751240908387E-2</v>
      </c>
      <c r="AH172" s="24">
        <f t="shared" si="139"/>
        <v>9.6792401982505882E-2</v>
      </c>
      <c r="AL172" s="23">
        <f t="shared" si="122"/>
        <v>0</v>
      </c>
      <c r="AM172" s="23">
        <f t="shared" si="123"/>
        <v>0</v>
      </c>
      <c r="AN172" s="23">
        <f t="shared" si="124"/>
        <v>0</v>
      </c>
      <c r="AO172" s="23">
        <f t="shared" si="125"/>
        <v>1428.0671399369123</v>
      </c>
      <c r="AP172" s="23">
        <f t="shared" si="126"/>
        <v>3330.3160095634325</v>
      </c>
      <c r="AQ172" s="23">
        <f t="shared" si="127"/>
        <v>5324.3528537925977</v>
      </c>
      <c r="AR172" s="23">
        <f t="shared" si="128"/>
        <v>7050.5372886583646</v>
      </c>
      <c r="AS172" s="23">
        <f t="shared" si="129"/>
        <v>8590.2337167644837</v>
      </c>
      <c r="AT172" s="23">
        <f t="shared" si="130"/>
        <v>9918.6672143679498</v>
      </c>
      <c r="AU172" s="23">
        <f t="shared" si="131"/>
        <v>11022.991256980171</v>
      </c>
      <c r="AW172" s="25"/>
      <c r="AX172" s="25"/>
      <c r="AY172" s="25"/>
      <c r="AZ172" s="25">
        <f t="shared" si="141"/>
        <v>46665.165480063908</v>
      </c>
      <c r="BA172" s="25">
        <f t="shared" si="142"/>
        <v>45237.098340126991</v>
      </c>
      <c r="BB172" s="25">
        <f t="shared" si="143"/>
        <v>41906.782330563568</v>
      </c>
      <c r="BC172" s="25">
        <f t="shared" si="144"/>
        <v>36582.429476770965</v>
      </c>
      <c r="BD172" s="25">
        <f t="shared" si="145"/>
        <v>29531.892188112604</v>
      </c>
      <c r="BE172" s="25">
        <f t="shared" si="146"/>
        <v>20941.658471348121</v>
      </c>
      <c r="BF172" s="25">
        <f t="shared" si="147"/>
        <v>11022.991256980171</v>
      </c>
      <c r="BG172" s="25">
        <f t="shared" si="148"/>
        <v>0</v>
      </c>
      <c r="BI172" s="25"/>
      <c r="BJ172" s="25"/>
      <c r="BK172" s="25"/>
      <c r="BL172" s="25">
        <f t="shared" si="151"/>
        <v>46665.165480063908</v>
      </c>
      <c r="BM172" s="25">
        <f t="shared" si="152"/>
        <v>45237.098340126991</v>
      </c>
      <c r="BN172" s="25">
        <f t="shared" si="153"/>
        <v>41906.782330563568</v>
      </c>
      <c r="BO172" s="25">
        <f t="shared" si="154"/>
        <v>36582.429476770965</v>
      </c>
      <c r="BP172" s="25">
        <f t="shared" si="155"/>
        <v>29531.892188112604</v>
      </c>
      <c r="BQ172" s="25">
        <f t="shared" si="156"/>
        <v>20941.658471348121</v>
      </c>
      <c r="BR172" s="25">
        <f t="shared" si="157"/>
        <v>11022.991256980171</v>
      </c>
      <c r="BS172" s="25">
        <f t="shared" si="158"/>
        <v>0</v>
      </c>
    </row>
    <row r="173" spans="1:71" x14ac:dyDescent="0.2">
      <c r="A173" s="29">
        <f t="shared" si="149"/>
        <v>1.6500000000000012</v>
      </c>
      <c r="B173" s="30">
        <v>5.4610381822150653E-2</v>
      </c>
      <c r="C173" s="30">
        <v>5.9062426563085357E-2</v>
      </c>
      <c r="D173" s="30">
        <v>6.3047255050959317E-2</v>
      </c>
      <c r="E173" s="30">
        <v>6.6851443508431585E-2</v>
      </c>
      <c r="F173" s="30">
        <v>7.0764142457419146E-2</v>
      </c>
      <c r="G173" s="30">
        <v>7.4857080410481905E-2</v>
      </c>
      <c r="H173" s="30">
        <v>7.9094423081530751E-2</v>
      </c>
      <c r="I173" s="30">
        <v>8.3417935973916488E-2</v>
      </c>
      <c r="J173" s="30">
        <v>8.7776499689714557E-2</v>
      </c>
      <c r="K173" s="30">
        <v>9.2131584049726878E-2</v>
      </c>
      <c r="L173" s="30">
        <v>9.6454523352149574E-2</v>
      </c>
      <c r="N173" s="1"/>
      <c r="O173" s="1"/>
      <c r="P173" s="1"/>
      <c r="Q173" s="54">
        <f t="shared" si="115"/>
        <v>0.9671267450415979</v>
      </c>
      <c r="R173" s="1">
        <f t="shared" si="116"/>
        <v>0.93168161035055852</v>
      </c>
      <c r="S173" s="1">
        <f t="shared" si="159"/>
        <v>0.92787608852229686</v>
      </c>
      <c r="T173" s="62">
        <f t="shared" si="160"/>
        <v>0.88812601735529784</v>
      </c>
      <c r="U173" s="65">
        <f t="shared" si="161"/>
        <v>0.84633850782923503</v>
      </c>
      <c r="V173" s="67">
        <f t="shared" si="162"/>
        <v>0.80296733126085951</v>
      </c>
      <c r="W173" s="68">
        <f t="shared" si="163"/>
        <v>0.75851344684084698</v>
      </c>
      <c r="Y173" s="24"/>
      <c r="Z173" s="24"/>
      <c r="AA173" s="24"/>
      <c r="AB173" s="24">
        <f t="shared" si="133"/>
        <v>7.0764142457419146E-2</v>
      </c>
      <c r="AC173" s="24">
        <f t="shared" si="134"/>
        <v>7.4857080410481905E-2</v>
      </c>
      <c r="AD173" s="24">
        <f t="shared" si="135"/>
        <v>7.9094423081530751E-2</v>
      </c>
      <c r="AE173" s="24">
        <f t="shared" si="136"/>
        <v>8.3417935973916488E-2</v>
      </c>
      <c r="AF173" s="24">
        <f t="shared" si="137"/>
        <v>8.7776499689714557E-2</v>
      </c>
      <c r="AG173" s="24">
        <f t="shared" si="138"/>
        <v>9.2131584049726878E-2</v>
      </c>
      <c r="AH173" s="24">
        <f t="shared" si="139"/>
        <v>9.6454523352149574E-2</v>
      </c>
      <c r="AL173" s="23">
        <f t="shared" si="122"/>
        <v>0</v>
      </c>
      <c r="AM173" s="23">
        <f t="shared" si="123"/>
        <v>0</v>
      </c>
      <c r="AN173" s="23">
        <f t="shared" si="124"/>
        <v>0</v>
      </c>
      <c r="AO173" s="23">
        <f t="shared" si="125"/>
        <v>1480.5619742338843</v>
      </c>
      <c r="AP173" s="23">
        <f t="shared" si="126"/>
        <v>3332.9569821066621</v>
      </c>
      <c r="AQ173" s="23">
        <f t="shared" si="127"/>
        <v>5285.2077466834971</v>
      </c>
      <c r="AR173" s="23">
        <f t="shared" si="128"/>
        <v>6978.7023899591859</v>
      </c>
      <c r="AS173" s="23">
        <f t="shared" si="129"/>
        <v>8494.7553228623729</v>
      </c>
      <c r="AT173" s="23">
        <f t="shared" si="130"/>
        <v>9807.9312012360933</v>
      </c>
      <c r="AU173" s="23">
        <f t="shared" si="131"/>
        <v>10904.448223626481</v>
      </c>
      <c r="AW173" s="25"/>
      <c r="AX173" s="25"/>
      <c r="AY173" s="25"/>
      <c r="AZ173" s="25">
        <f t="shared" si="141"/>
        <v>46284.563840708179</v>
      </c>
      <c r="BA173" s="25">
        <f t="shared" si="142"/>
        <v>44804.001866474289</v>
      </c>
      <c r="BB173" s="25">
        <f t="shared" si="143"/>
        <v>41471.044884367628</v>
      </c>
      <c r="BC173" s="25">
        <f t="shared" si="144"/>
        <v>36185.837137684131</v>
      </c>
      <c r="BD173" s="25">
        <f t="shared" si="145"/>
        <v>29207.134747724947</v>
      </c>
      <c r="BE173" s="25">
        <f t="shared" si="146"/>
        <v>20712.379424862575</v>
      </c>
      <c r="BF173" s="25">
        <f t="shared" si="147"/>
        <v>10904.448223626481</v>
      </c>
      <c r="BG173" s="25">
        <f t="shared" si="148"/>
        <v>0</v>
      </c>
      <c r="BI173" s="25"/>
      <c r="BJ173" s="25"/>
      <c r="BK173" s="25"/>
      <c r="BL173" s="25">
        <f t="shared" si="151"/>
        <v>46284.563840708179</v>
      </c>
      <c r="BM173" s="25">
        <f t="shared" si="152"/>
        <v>44804.001866474289</v>
      </c>
      <c r="BN173" s="25">
        <f t="shared" si="153"/>
        <v>41471.044884367628</v>
      </c>
      <c r="BO173" s="25">
        <f t="shared" si="154"/>
        <v>36185.837137684131</v>
      </c>
      <c r="BP173" s="25">
        <f t="shared" si="155"/>
        <v>29207.134747724947</v>
      </c>
      <c r="BQ173" s="25">
        <f t="shared" si="156"/>
        <v>20712.379424862575</v>
      </c>
      <c r="BR173" s="25">
        <f t="shared" si="157"/>
        <v>10904.448223626481</v>
      </c>
      <c r="BS173" s="25">
        <f t="shared" si="158"/>
        <v>0</v>
      </c>
    </row>
    <row r="174" spans="1:71" x14ac:dyDescent="0.2">
      <c r="A174" s="29">
        <f t="shared" si="149"/>
        <v>1.6600000000000013</v>
      </c>
      <c r="B174" s="30">
        <v>5.4572615710187199E-2</v>
      </c>
      <c r="C174" s="30">
        <v>5.8971570767861983E-2</v>
      </c>
      <c r="D174" s="30">
        <v>6.2913401177262782E-2</v>
      </c>
      <c r="E174" s="30">
        <v>6.6684576732218642E-2</v>
      </c>
      <c r="F174" s="30">
        <v>7.0569738771581639E-2</v>
      </c>
      <c r="G174" s="30">
        <v>7.4638301482871941E-2</v>
      </c>
      <c r="H174" s="30">
        <v>7.8853817632187476E-2</v>
      </c>
      <c r="I174" s="30">
        <v>8.315802861038632E-2</v>
      </c>
      <c r="J174" s="30">
        <v>8.7499899276504881E-2</v>
      </c>
      <c r="K174" s="30">
        <v>9.1840928414936018E-2</v>
      </c>
      <c r="L174" s="30">
        <v>9.6152405540436012E-2</v>
      </c>
      <c r="N174" s="1"/>
      <c r="O174" s="1"/>
      <c r="P174" s="1"/>
      <c r="Q174" s="54">
        <f t="shared" ref="Q174:Q208" si="164">EXP(-E174*($Q$7-$P$7))</f>
        <v>0.96720743906890627</v>
      </c>
      <c r="R174" s="1">
        <f t="shared" ref="R174:R208" si="165">EXP(-F174*($R$7-$P$7))</f>
        <v>0.9318627502962038</v>
      </c>
      <c r="S174" s="1">
        <f t="shared" si="159"/>
        <v>0.92807911046555047</v>
      </c>
      <c r="T174" s="62">
        <f t="shared" si="160"/>
        <v>0.88844660714277413</v>
      </c>
      <c r="U174" s="65">
        <f t="shared" si="161"/>
        <v>0.84677856141294094</v>
      </c>
      <c r="V174" s="67">
        <f t="shared" si="162"/>
        <v>0.8035227760230913</v>
      </c>
      <c r="W174" s="68">
        <f t="shared" si="163"/>
        <v>0.75917513390569979</v>
      </c>
      <c r="Y174" s="24"/>
      <c r="Z174" s="24"/>
      <c r="AA174" s="24"/>
      <c r="AB174" s="24">
        <f t="shared" si="133"/>
        <v>7.0569738771581639E-2</v>
      </c>
      <c r="AC174" s="24">
        <f t="shared" si="134"/>
        <v>7.4638301482871941E-2</v>
      </c>
      <c r="AD174" s="24">
        <f t="shared" si="135"/>
        <v>7.8853817632187476E-2</v>
      </c>
      <c r="AE174" s="24">
        <f t="shared" si="136"/>
        <v>8.315802861038632E-2</v>
      </c>
      <c r="AF174" s="24">
        <f t="shared" si="137"/>
        <v>8.7499899276504881E-2</v>
      </c>
      <c r="AG174" s="24">
        <f t="shared" si="138"/>
        <v>9.1840928414936018E-2</v>
      </c>
      <c r="AH174" s="24">
        <f t="shared" si="139"/>
        <v>9.6152405540436012E-2</v>
      </c>
      <c r="AL174" s="23">
        <f t="shared" si="122"/>
        <v>0</v>
      </c>
      <c r="AM174" s="23">
        <f t="shared" si="123"/>
        <v>0</v>
      </c>
      <c r="AN174" s="23">
        <f t="shared" si="124"/>
        <v>0</v>
      </c>
      <c r="AO174" s="23">
        <f t="shared" si="125"/>
        <v>1386.6711621268059</v>
      </c>
      <c r="AP174" s="23">
        <f t="shared" si="126"/>
        <v>3231.6690176189422</v>
      </c>
      <c r="AQ174" s="23">
        <f t="shared" si="127"/>
        <v>5174.7137195620735</v>
      </c>
      <c r="AR174" s="23">
        <f t="shared" si="128"/>
        <v>6865.7646076049487</v>
      </c>
      <c r="AS174" s="23">
        <f t="shared" si="129"/>
        <v>8382.062519661562</v>
      </c>
      <c r="AT174" s="23">
        <f t="shared" si="130"/>
        <v>9697.9415300145029</v>
      </c>
      <c r="AU174" s="23">
        <f t="shared" si="131"/>
        <v>10799.280523180914</v>
      </c>
      <c r="AW174" s="25"/>
      <c r="AX174" s="25"/>
      <c r="AY174" s="25"/>
      <c r="AZ174" s="25">
        <f t="shared" si="141"/>
        <v>45538.103079769746</v>
      </c>
      <c r="BA174" s="25">
        <f t="shared" si="142"/>
        <v>44151.431917642942</v>
      </c>
      <c r="BB174" s="25">
        <f t="shared" si="143"/>
        <v>40919.762900023998</v>
      </c>
      <c r="BC174" s="25">
        <f t="shared" si="144"/>
        <v>35745.049180461923</v>
      </c>
      <c r="BD174" s="25">
        <f t="shared" si="145"/>
        <v>28879.284572856977</v>
      </c>
      <c r="BE174" s="25">
        <f t="shared" si="146"/>
        <v>20497.222053195415</v>
      </c>
      <c r="BF174" s="25">
        <f t="shared" si="147"/>
        <v>10799.280523180914</v>
      </c>
      <c r="BG174" s="25">
        <f t="shared" si="148"/>
        <v>0</v>
      </c>
      <c r="BI174" s="25"/>
      <c r="BJ174" s="25"/>
      <c r="BK174" s="25"/>
      <c r="BL174" s="25">
        <f t="shared" si="151"/>
        <v>45538.103079769746</v>
      </c>
      <c r="BM174" s="25">
        <f t="shared" si="152"/>
        <v>44151.431917642942</v>
      </c>
      <c r="BN174" s="25">
        <f t="shared" si="153"/>
        <v>40919.762900023998</v>
      </c>
      <c r="BO174" s="25">
        <f t="shared" si="154"/>
        <v>35745.049180461923</v>
      </c>
      <c r="BP174" s="25">
        <f t="shared" si="155"/>
        <v>28879.284572856977</v>
      </c>
      <c r="BQ174" s="25">
        <f t="shared" si="156"/>
        <v>20497.222053195415</v>
      </c>
      <c r="BR174" s="25">
        <f t="shared" si="157"/>
        <v>10799.280523180914</v>
      </c>
      <c r="BS174" s="25">
        <f t="shared" si="158"/>
        <v>0</v>
      </c>
    </row>
    <row r="175" spans="1:71" x14ac:dyDescent="0.2">
      <c r="A175" s="29">
        <f t="shared" si="149"/>
        <v>1.6700000000000013</v>
      </c>
      <c r="B175" s="30">
        <v>5.4283513792003128E-2</v>
      </c>
      <c r="C175" s="30">
        <v>5.8575171436830796E-2</v>
      </c>
      <c r="D175" s="30">
        <v>6.2427100288512713E-2</v>
      </c>
      <c r="E175" s="30">
        <v>6.6125263542778812E-2</v>
      </c>
      <c r="F175" s="30">
        <v>6.9949525138392379E-2</v>
      </c>
      <c r="G175" s="30">
        <v>7.3966706851193997E-2</v>
      </c>
      <c r="H175" s="30">
        <v>7.8139448161990699E-2</v>
      </c>
      <c r="I175" s="30">
        <v>8.240915640235251E-2</v>
      </c>
      <c r="J175" s="30">
        <v>8.6724567468224989E-2</v>
      </c>
      <c r="K175" s="30">
        <v>9.104689551846698E-2</v>
      </c>
      <c r="L175" s="30">
        <v>9.5347072171157413E-2</v>
      </c>
      <c r="N175" s="1"/>
      <c r="O175" s="1"/>
      <c r="P175" s="1"/>
      <c r="Q175" s="54">
        <f t="shared" si="164"/>
        <v>0.96747796283281828</v>
      </c>
      <c r="R175" s="1">
        <f t="shared" si="165"/>
        <v>0.93244088354272703</v>
      </c>
      <c r="S175" s="1">
        <f t="shared" si="159"/>
        <v>0.9287026127608734</v>
      </c>
      <c r="T175" s="62">
        <f t="shared" si="160"/>
        <v>0.88939913609289589</v>
      </c>
      <c r="U175" s="65">
        <f t="shared" si="161"/>
        <v>0.8480477695123535</v>
      </c>
      <c r="V175" s="67">
        <f t="shared" si="162"/>
        <v>0.80508177838244599</v>
      </c>
      <c r="W175" s="68">
        <f t="shared" si="163"/>
        <v>0.76098571963799233</v>
      </c>
      <c r="Y175" s="24"/>
      <c r="Z175" s="24"/>
      <c r="AA175" s="24"/>
      <c r="AB175" s="24">
        <f t="shared" si="133"/>
        <v>6.9949525138392379E-2</v>
      </c>
      <c r="AC175" s="24">
        <f t="shared" si="134"/>
        <v>7.3966706851193997E-2</v>
      </c>
      <c r="AD175" s="24">
        <f t="shared" si="135"/>
        <v>7.8139448161990699E-2</v>
      </c>
      <c r="AE175" s="24">
        <f t="shared" si="136"/>
        <v>8.240915640235251E-2</v>
      </c>
      <c r="AF175" s="24">
        <f t="shared" si="137"/>
        <v>8.6724567468224989E-2</v>
      </c>
      <c r="AG175" s="24">
        <f t="shared" si="138"/>
        <v>9.104689551846698E-2</v>
      </c>
      <c r="AH175" s="24">
        <f t="shared" si="139"/>
        <v>9.5347072171157413E-2</v>
      </c>
      <c r="AL175" s="23">
        <f t="shared" si="122"/>
        <v>0</v>
      </c>
      <c r="AM175" s="23">
        <f t="shared" si="123"/>
        <v>0</v>
      </c>
      <c r="AN175" s="23">
        <f t="shared" si="124"/>
        <v>0</v>
      </c>
      <c r="AO175" s="23">
        <f t="shared" si="125"/>
        <v>1087.0374969117731</v>
      </c>
      <c r="AP175" s="23">
        <f t="shared" si="126"/>
        <v>2920.5628186128783</v>
      </c>
      <c r="AQ175" s="23">
        <f t="shared" si="127"/>
        <v>4846.4718000534767</v>
      </c>
      <c r="AR175" s="23">
        <f t="shared" si="128"/>
        <v>6540.1024422494802</v>
      </c>
      <c r="AS175" s="23">
        <f t="shared" si="129"/>
        <v>8065.8669078510638</v>
      </c>
      <c r="AT175" s="23">
        <f t="shared" si="130"/>
        <v>9397.1268581285585</v>
      </c>
      <c r="AU175" s="23">
        <f t="shared" si="131"/>
        <v>10518.612542407856</v>
      </c>
      <c r="AW175" s="25"/>
      <c r="AX175" s="25"/>
      <c r="AY175" s="25"/>
      <c r="AZ175" s="25">
        <f t="shared" si="141"/>
        <v>43375.780866215086</v>
      </c>
      <c r="BA175" s="25">
        <f t="shared" si="142"/>
        <v>42288.743369303316</v>
      </c>
      <c r="BB175" s="25">
        <f t="shared" si="143"/>
        <v>39368.180550690435</v>
      </c>
      <c r="BC175" s="25">
        <f t="shared" si="144"/>
        <v>34521.708750636957</v>
      </c>
      <c r="BD175" s="25">
        <f t="shared" si="145"/>
        <v>27981.60630838748</v>
      </c>
      <c r="BE175" s="25">
        <f t="shared" si="146"/>
        <v>19915.739400536415</v>
      </c>
      <c r="BF175" s="25">
        <f t="shared" si="147"/>
        <v>10518.612542407856</v>
      </c>
      <c r="BG175" s="25">
        <f t="shared" si="148"/>
        <v>0</v>
      </c>
      <c r="BI175" s="25"/>
      <c r="BJ175" s="25"/>
      <c r="BK175" s="25"/>
      <c r="BL175" s="25">
        <f t="shared" si="151"/>
        <v>43375.780866215086</v>
      </c>
      <c r="BM175" s="25">
        <f t="shared" si="152"/>
        <v>42288.743369303316</v>
      </c>
      <c r="BN175" s="25">
        <f t="shared" si="153"/>
        <v>39368.180550690435</v>
      </c>
      <c r="BO175" s="25">
        <f t="shared" si="154"/>
        <v>34521.708750636957</v>
      </c>
      <c r="BP175" s="25">
        <f t="shared" si="155"/>
        <v>27981.60630838748</v>
      </c>
      <c r="BQ175" s="25">
        <f t="shared" si="156"/>
        <v>19915.739400536415</v>
      </c>
      <c r="BR175" s="25">
        <f t="shared" si="157"/>
        <v>10518.612542407856</v>
      </c>
      <c r="BS175" s="25">
        <f t="shared" si="158"/>
        <v>0</v>
      </c>
    </row>
    <row r="176" spans="1:71" x14ac:dyDescent="0.2">
      <c r="A176" s="29">
        <f t="shared" si="149"/>
        <v>1.6800000000000013</v>
      </c>
      <c r="B176" s="30">
        <v>5.453904283974044E-2</v>
      </c>
      <c r="C176" s="30">
        <v>5.8886293400123919E-2</v>
      </c>
      <c r="D176" s="30">
        <v>6.2794287822494174E-2</v>
      </c>
      <c r="E176" s="30">
        <v>6.6549056291125466E-2</v>
      </c>
      <c r="F176" s="30">
        <v>7.0426388047143712E-2</v>
      </c>
      <c r="G176" s="30">
        <v>7.4491205039920891E-2</v>
      </c>
      <c r="H176" s="30">
        <v>7.8705904052176423E-2</v>
      </c>
      <c r="I176" s="30">
        <v>8.3012219460799425E-2</v>
      </c>
      <c r="J176" s="30">
        <v>8.7359316088079009E-2</v>
      </c>
      <c r="K176" s="30">
        <v>9.1708781004600337E-2</v>
      </c>
      <c r="L176" s="30">
        <v>9.6031845943852306E-2</v>
      </c>
      <c r="N176" s="1"/>
      <c r="O176" s="1"/>
      <c r="P176" s="1"/>
      <c r="Q176" s="54">
        <f t="shared" si="164"/>
        <v>0.9672729794787831</v>
      </c>
      <c r="R176" s="1">
        <f t="shared" si="165"/>
        <v>0.93199634307161727</v>
      </c>
      <c r="S176" s="1">
        <f t="shared" si="159"/>
        <v>0.92821563764256199</v>
      </c>
      <c r="T176" s="62">
        <f t="shared" si="160"/>
        <v>0.88864374898939946</v>
      </c>
      <c r="U176" s="65">
        <f t="shared" si="161"/>
        <v>0.84702553354584342</v>
      </c>
      <c r="V176" s="67">
        <f t="shared" si="162"/>
        <v>0.80380523014012462</v>
      </c>
      <c r="W176" s="68">
        <f t="shared" si="163"/>
        <v>0.75947616265582241</v>
      </c>
      <c r="Y176" s="24"/>
      <c r="Z176" s="24"/>
      <c r="AA176" s="24"/>
      <c r="AB176" s="24">
        <f t="shared" si="133"/>
        <v>7.0426388047143712E-2</v>
      </c>
      <c r="AC176" s="24">
        <f t="shared" si="134"/>
        <v>7.4491205039920891E-2</v>
      </c>
      <c r="AD176" s="24">
        <f t="shared" si="135"/>
        <v>7.8705904052176423E-2</v>
      </c>
      <c r="AE176" s="24">
        <f t="shared" si="136"/>
        <v>8.3012219460799425E-2</v>
      </c>
      <c r="AF176" s="24">
        <f t="shared" si="137"/>
        <v>8.7359316088079009E-2</v>
      </c>
      <c r="AG176" s="24">
        <f t="shared" si="138"/>
        <v>9.1708781004600337E-2</v>
      </c>
      <c r="AH176" s="24">
        <f t="shared" si="139"/>
        <v>9.6031845943852306E-2</v>
      </c>
      <c r="AL176" s="23">
        <f t="shared" si="122"/>
        <v>0</v>
      </c>
      <c r="AM176" s="23">
        <f t="shared" si="123"/>
        <v>0</v>
      </c>
      <c r="AN176" s="23">
        <f t="shared" si="124"/>
        <v>0</v>
      </c>
      <c r="AO176" s="23">
        <f t="shared" si="125"/>
        <v>1317.4354852853055</v>
      </c>
      <c r="AP176" s="23">
        <f t="shared" si="126"/>
        <v>3163.585639465216</v>
      </c>
      <c r="AQ176" s="23">
        <f t="shared" si="127"/>
        <v>5106.8271085368606</v>
      </c>
      <c r="AR176" s="23">
        <f t="shared" si="128"/>
        <v>6802.5018916771041</v>
      </c>
      <c r="AS176" s="23">
        <f t="shared" si="129"/>
        <v>8324.9684638302242</v>
      </c>
      <c r="AT176" s="23">
        <f t="shared" si="130"/>
        <v>9648.240158107661</v>
      </c>
      <c r="AU176" s="23">
        <f t="shared" si="131"/>
        <v>10757.781592906838</v>
      </c>
      <c r="AW176" s="25"/>
      <c r="AX176" s="25"/>
      <c r="AY176" s="25"/>
      <c r="AZ176" s="25">
        <f t="shared" si="141"/>
        <v>45121.340339809212</v>
      </c>
      <c r="BA176" s="25">
        <f t="shared" si="142"/>
        <v>43803.904854523906</v>
      </c>
      <c r="BB176" s="25">
        <f t="shared" si="143"/>
        <v>40640.319215058691</v>
      </c>
      <c r="BC176" s="25">
        <f t="shared" si="144"/>
        <v>35533.49210652183</v>
      </c>
      <c r="BD176" s="25">
        <f t="shared" si="145"/>
        <v>28730.990214844722</v>
      </c>
      <c r="BE176" s="25">
        <f t="shared" si="146"/>
        <v>20406.021751014501</v>
      </c>
      <c r="BF176" s="25">
        <f t="shared" si="147"/>
        <v>10757.781592906838</v>
      </c>
      <c r="BG176" s="25">
        <f t="shared" si="148"/>
        <v>0</v>
      </c>
      <c r="BI176" s="25"/>
      <c r="BJ176" s="25"/>
      <c r="BK176" s="25"/>
      <c r="BL176" s="25">
        <f t="shared" si="151"/>
        <v>45121.340339809212</v>
      </c>
      <c r="BM176" s="25">
        <f t="shared" si="152"/>
        <v>43803.904854523906</v>
      </c>
      <c r="BN176" s="25">
        <f t="shared" si="153"/>
        <v>40640.319215058691</v>
      </c>
      <c r="BO176" s="25">
        <f t="shared" si="154"/>
        <v>35533.49210652183</v>
      </c>
      <c r="BP176" s="25">
        <f t="shared" si="155"/>
        <v>28730.990214844722</v>
      </c>
      <c r="BQ176" s="25">
        <f t="shared" si="156"/>
        <v>20406.021751014501</v>
      </c>
      <c r="BR176" s="25">
        <f t="shared" si="157"/>
        <v>10757.781592906838</v>
      </c>
      <c r="BS176" s="25">
        <f t="shared" si="158"/>
        <v>0</v>
      </c>
    </row>
    <row r="177" spans="1:71" x14ac:dyDescent="0.2">
      <c r="A177" s="29">
        <f t="shared" si="149"/>
        <v>1.6900000000000013</v>
      </c>
      <c r="B177" s="30">
        <v>5.5594887621335076E-2</v>
      </c>
      <c r="C177" s="30">
        <v>5.9933326028232002E-2</v>
      </c>
      <c r="D177" s="30">
        <v>6.383271300113097E-2</v>
      </c>
      <c r="E177" s="30">
        <v>6.7579189623426156E-2</v>
      </c>
      <c r="F177" s="30">
        <v>7.1444640680328658E-2</v>
      </c>
      <c r="G177" s="30">
        <v>7.5492248181608698E-2</v>
      </c>
      <c r="H177" s="30">
        <v>7.9684304351065452E-2</v>
      </c>
      <c r="I177" s="30">
        <v>8.3962999392826781E-2</v>
      </c>
      <c r="J177" s="30">
        <v>8.8278052679532204E-2</v>
      </c>
      <c r="K177" s="30">
        <v>9.2591549481866126E-2</v>
      </c>
      <c r="L177" s="30">
        <v>9.6875147410838955E-2</v>
      </c>
      <c r="N177" s="1"/>
      <c r="O177" s="1"/>
      <c r="P177" s="1"/>
      <c r="Q177" s="54">
        <f t="shared" si="164"/>
        <v>0.96677489769365943</v>
      </c>
      <c r="R177" s="1">
        <f t="shared" si="165"/>
        <v>0.93104781834202321</v>
      </c>
      <c r="S177" s="1">
        <f t="shared" si="159"/>
        <v>0.92728691866592838</v>
      </c>
      <c r="T177" s="62">
        <f t="shared" si="160"/>
        <v>0.88734053156012682</v>
      </c>
      <c r="U177" s="65">
        <f t="shared" si="161"/>
        <v>0.84541639420968973</v>
      </c>
      <c r="V177" s="67">
        <f t="shared" si="162"/>
        <v>0.80196113555397164</v>
      </c>
      <c r="W177" s="68">
        <f t="shared" si="163"/>
        <v>0.75746749876067632</v>
      </c>
      <c r="Y177" s="24"/>
      <c r="Z177" s="24"/>
      <c r="AA177" s="24"/>
      <c r="AB177" s="24">
        <f t="shared" si="133"/>
        <v>7.1444640680328658E-2</v>
      </c>
      <c r="AC177" s="24">
        <f t="shared" si="134"/>
        <v>7.5492248181608698E-2</v>
      </c>
      <c r="AD177" s="24">
        <f t="shared" si="135"/>
        <v>7.9684304351065452E-2</v>
      </c>
      <c r="AE177" s="24">
        <f t="shared" si="136"/>
        <v>8.3962999392826781E-2</v>
      </c>
      <c r="AF177" s="24">
        <f t="shared" si="137"/>
        <v>8.8278052679532204E-2</v>
      </c>
      <c r="AG177" s="24">
        <f t="shared" si="138"/>
        <v>9.2591549481866126E-2</v>
      </c>
      <c r="AH177" s="24">
        <f t="shared" si="139"/>
        <v>9.6875147410838955E-2</v>
      </c>
      <c r="AL177" s="23">
        <f t="shared" si="122"/>
        <v>0</v>
      </c>
      <c r="AM177" s="23">
        <f t="shared" si="123"/>
        <v>0</v>
      </c>
      <c r="AN177" s="23">
        <f t="shared" si="124"/>
        <v>0</v>
      </c>
      <c r="AO177" s="23">
        <f t="shared" si="125"/>
        <v>1808.9676355425177</v>
      </c>
      <c r="AP177" s="23">
        <f t="shared" si="126"/>
        <v>3626.3754661319144</v>
      </c>
      <c r="AQ177" s="23">
        <f t="shared" si="127"/>
        <v>5555.3464113632754</v>
      </c>
      <c r="AR177" s="23">
        <f t="shared" si="128"/>
        <v>7214.3586441975631</v>
      </c>
      <c r="AS177" s="23">
        <f t="shared" si="129"/>
        <v>8697.5105678328255</v>
      </c>
      <c r="AT177" s="23">
        <f t="shared" si="130"/>
        <v>9980.0781152257678</v>
      </c>
      <c r="AU177" s="23">
        <f t="shared" si="131"/>
        <v>11048.71611961678</v>
      </c>
      <c r="AW177" s="25"/>
      <c r="AX177" s="25"/>
      <c r="AY177" s="25"/>
      <c r="AZ177" s="25">
        <f t="shared" si="141"/>
        <v>47931.352959910648</v>
      </c>
      <c r="BA177" s="25">
        <f t="shared" si="142"/>
        <v>46122.38532436813</v>
      </c>
      <c r="BB177" s="25">
        <f t="shared" si="143"/>
        <v>42496.009858236212</v>
      </c>
      <c r="BC177" s="25">
        <f t="shared" si="144"/>
        <v>36940.663446872939</v>
      </c>
      <c r="BD177" s="25">
        <f t="shared" si="145"/>
        <v>29726.304802675375</v>
      </c>
      <c r="BE177" s="25">
        <f t="shared" si="146"/>
        <v>21028.794234842549</v>
      </c>
      <c r="BF177" s="25">
        <f t="shared" si="147"/>
        <v>11048.71611961678</v>
      </c>
      <c r="BG177" s="25">
        <f t="shared" si="148"/>
        <v>0</v>
      </c>
      <c r="BI177" s="25"/>
      <c r="BJ177" s="25"/>
      <c r="BK177" s="25"/>
      <c r="BL177" s="25">
        <f t="shared" si="151"/>
        <v>47931.352959910648</v>
      </c>
      <c r="BM177" s="25">
        <f t="shared" si="152"/>
        <v>46122.38532436813</v>
      </c>
      <c r="BN177" s="25">
        <f t="shared" si="153"/>
        <v>42496.009858236212</v>
      </c>
      <c r="BO177" s="25">
        <f t="shared" si="154"/>
        <v>36940.663446872939</v>
      </c>
      <c r="BP177" s="25">
        <f t="shared" si="155"/>
        <v>29726.304802675375</v>
      </c>
      <c r="BQ177" s="25">
        <f t="shared" si="156"/>
        <v>21028.794234842549</v>
      </c>
      <c r="BR177" s="25">
        <f t="shared" si="157"/>
        <v>11048.71611961678</v>
      </c>
      <c r="BS177" s="25">
        <f t="shared" si="158"/>
        <v>0</v>
      </c>
    </row>
    <row r="178" spans="1:71" x14ac:dyDescent="0.2">
      <c r="A178" s="29">
        <f t="shared" si="149"/>
        <v>1.7000000000000013</v>
      </c>
      <c r="B178" s="30">
        <v>5.5373659574486936E-2</v>
      </c>
      <c r="C178" s="30">
        <v>5.972632772490398E-2</v>
      </c>
      <c r="D178" s="30">
        <v>6.3644296319658136E-2</v>
      </c>
      <c r="E178" s="30">
        <v>6.7413466443306008E-2</v>
      </c>
      <c r="F178" s="30">
        <v>7.1301591124613345E-2</v>
      </c>
      <c r="G178" s="30">
        <v>7.5369874550505436E-2</v>
      </c>
      <c r="H178" s="30">
        <v>7.9580245002727576E-2</v>
      </c>
      <c r="I178" s="30">
        <v>8.3875079896251828E-2</v>
      </c>
      <c r="J178" s="30">
        <v>8.8204381436206306E-2</v>
      </c>
      <c r="K178" s="30">
        <v>9.2530461056066257E-2</v>
      </c>
      <c r="L178" s="30">
        <v>9.6825130679678628E-2</v>
      </c>
      <c r="N178" s="1"/>
      <c r="O178" s="1"/>
      <c r="P178" s="1"/>
      <c r="Q178" s="54">
        <f t="shared" si="164"/>
        <v>0.96685500951796322</v>
      </c>
      <c r="R178" s="1">
        <f t="shared" si="165"/>
        <v>0.93118101384533836</v>
      </c>
      <c r="S178" s="1">
        <f t="shared" si="159"/>
        <v>0.92740040107672583</v>
      </c>
      <c r="T178" s="62">
        <f t="shared" si="160"/>
        <v>0.88747904648637732</v>
      </c>
      <c r="U178" s="65">
        <f t="shared" si="161"/>
        <v>0.84556506444786939</v>
      </c>
      <c r="V178" s="67">
        <f t="shared" si="162"/>
        <v>0.80210885284158773</v>
      </c>
      <c r="W178" s="68">
        <f t="shared" si="163"/>
        <v>0.757606328972948</v>
      </c>
      <c r="Y178" s="24"/>
      <c r="Z178" s="24"/>
      <c r="AA178" s="24"/>
      <c r="AB178" s="24">
        <f t="shared" si="133"/>
        <v>7.1301591124613345E-2</v>
      </c>
      <c r="AC178" s="24">
        <f t="shared" si="134"/>
        <v>7.5369874550505436E-2</v>
      </c>
      <c r="AD178" s="24">
        <f t="shared" si="135"/>
        <v>7.9580245002727576E-2</v>
      </c>
      <c r="AE178" s="24">
        <f t="shared" si="136"/>
        <v>8.3875079896251828E-2</v>
      </c>
      <c r="AF178" s="24">
        <f t="shared" si="137"/>
        <v>8.8204381436206306E-2</v>
      </c>
      <c r="AG178" s="24">
        <f t="shared" si="138"/>
        <v>9.2530461056066257E-2</v>
      </c>
      <c r="AH178" s="24">
        <f t="shared" si="139"/>
        <v>9.6825130679678628E-2</v>
      </c>
      <c r="AL178" s="23">
        <f t="shared" si="122"/>
        <v>0</v>
      </c>
      <c r="AM178" s="23">
        <f t="shared" si="123"/>
        <v>0</v>
      </c>
      <c r="AN178" s="23">
        <f t="shared" si="124"/>
        <v>0</v>
      </c>
      <c r="AO178" s="23">
        <f t="shared" si="125"/>
        <v>1739.9634459112274</v>
      </c>
      <c r="AP178" s="23">
        <f t="shared" si="126"/>
        <v>3569.9182536972139</v>
      </c>
      <c r="AQ178" s="23">
        <f t="shared" si="127"/>
        <v>5507.773940181708</v>
      </c>
      <c r="AR178" s="23">
        <f t="shared" si="128"/>
        <v>7176.471458781506</v>
      </c>
      <c r="AS178" s="23">
        <f t="shared" si="129"/>
        <v>8667.893148997151</v>
      </c>
      <c r="AT178" s="23">
        <f t="shared" si="130"/>
        <v>9957.4166128441284</v>
      </c>
      <c r="AU178" s="23">
        <f t="shared" si="131"/>
        <v>11031.79465515387</v>
      </c>
      <c r="AW178" s="25"/>
      <c r="AX178" s="25"/>
      <c r="AY178" s="25"/>
      <c r="AZ178" s="25">
        <f t="shared" si="141"/>
        <v>47651.231515566804</v>
      </c>
      <c r="BA178" s="25">
        <f t="shared" si="142"/>
        <v>45911.268069655576</v>
      </c>
      <c r="BB178" s="25">
        <f t="shared" si="143"/>
        <v>42341.349815958361</v>
      </c>
      <c r="BC178" s="25">
        <f t="shared" si="144"/>
        <v>36833.57587577666</v>
      </c>
      <c r="BD178" s="25">
        <f t="shared" si="145"/>
        <v>29657.104416995149</v>
      </c>
      <c r="BE178" s="25">
        <f t="shared" si="146"/>
        <v>20989.211267997998</v>
      </c>
      <c r="BF178" s="25">
        <f t="shared" si="147"/>
        <v>11031.79465515387</v>
      </c>
      <c r="BG178" s="25">
        <f t="shared" si="148"/>
        <v>0</v>
      </c>
      <c r="BI178" s="25"/>
      <c r="BJ178" s="25"/>
      <c r="BK178" s="25"/>
      <c r="BL178" s="25">
        <f t="shared" si="151"/>
        <v>47651.231515566804</v>
      </c>
      <c r="BM178" s="25">
        <f t="shared" si="152"/>
        <v>45911.268069655576</v>
      </c>
      <c r="BN178" s="25">
        <f t="shared" si="153"/>
        <v>42341.349815958361</v>
      </c>
      <c r="BO178" s="25">
        <f t="shared" si="154"/>
        <v>36833.57587577666</v>
      </c>
      <c r="BP178" s="25">
        <f t="shared" si="155"/>
        <v>29657.104416995149</v>
      </c>
      <c r="BQ178" s="25">
        <f t="shared" si="156"/>
        <v>20989.211267997998</v>
      </c>
      <c r="BR178" s="25">
        <f t="shared" si="157"/>
        <v>11031.79465515387</v>
      </c>
      <c r="BS178" s="25">
        <f t="shared" si="158"/>
        <v>0</v>
      </c>
    </row>
    <row r="179" spans="1:71" x14ac:dyDescent="0.2">
      <c r="A179" s="29">
        <f t="shared" si="149"/>
        <v>1.7100000000000013</v>
      </c>
      <c r="B179" s="30">
        <v>5.5754090723546604E-2</v>
      </c>
      <c r="C179" s="30">
        <v>6.0051828394059911E-2</v>
      </c>
      <c r="D179" s="30">
        <v>6.3923984615726695E-2</v>
      </c>
      <c r="E179" s="30">
        <v>6.7655997332141449E-2</v>
      </c>
      <c r="F179" s="30">
        <v>7.15113855873242E-2</v>
      </c>
      <c r="G179" s="30">
        <v>7.5549262715998725E-2</v>
      </c>
      <c r="H179" s="30">
        <v>7.9731058773942015E-2</v>
      </c>
      <c r="I179" s="30">
        <v>8.3999194992430873E-2</v>
      </c>
      <c r="J179" s="30">
        <v>8.8303809968715605E-2</v>
      </c>
      <c r="K179" s="30">
        <v>9.260729455509091E-2</v>
      </c>
      <c r="L179" s="30">
        <v>9.6881468715750277E-2</v>
      </c>
      <c r="N179" s="1"/>
      <c r="O179" s="1"/>
      <c r="P179" s="1"/>
      <c r="Q179" s="54">
        <f t="shared" si="164"/>
        <v>0.96673777052420962</v>
      </c>
      <c r="R179" s="1">
        <f t="shared" si="165"/>
        <v>0.93098567771578777</v>
      </c>
      <c r="S179" s="1">
        <f t="shared" si="159"/>
        <v>0.9272340513411319</v>
      </c>
      <c r="T179" s="62">
        <f t="shared" si="160"/>
        <v>0.8872783031005721</v>
      </c>
      <c r="U179" s="65">
        <f t="shared" si="161"/>
        <v>0.84535519571822537</v>
      </c>
      <c r="V179" s="67">
        <f t="shared" si="162"/>
        <v>0.80190949635439102</v>
      </c>
      <c r="W179" s="68">
        <f t="shared" si="163"/>
        <v>0.75743172046198071</v>
      </c>
      <c r="Y179" s="24"/>
      <c r="Z179" s="24"/>
      <c r="AA179" s="24"/>
      <c r="AB179" s="24">
        <f t="shared" si="133"/>
        <v>7.15113855873242E-2</v>
      </c>
      <c r="AC179" s="24">
        <f t="shared" si="134"/>
        <v>7.5549262715998725E-2</v>
      </c>
      <c r="AD179" s="24">
        <f t="shared" si="135"/>
        <v>7.9731058773942015E-2</v>
      </c>
      <c r="AE179" s="24">
        <f t="shared" si="136"/>
        <v>8.3999194992430873E-2</v>
      </c>
      <c r="AF179" s="24">
        <f t="shared" si="137"/>
        <v>8.8303809968715605E-2</v>
      </c>
      <c r="AG179" s="24">
        <f t="shared" si="138"/>
        <v>9.260729455509091E-2</v>
      </c>
      <c r="AH179" s="24">
        <f t="shared" si="139"/>
        <v>9.6881468715750277E-2</v>
      </c>
      <c r="AL179" s="23">
        <f t="shared" si="122"/>
        <v>0</v>
      </c>
      <c r="AM179" s="23">
        <f t="shared" si="123"/>
        <v>0</v>
      </c>
      <c r="AN179" s="23">
        <f t="shared" si="124"/>
        <v>0</v>
      </c>
      <c r="AO179" s="23">
        <f t="shared" si="125"/>
        <v>1841.1605768382287</v>
      </c>
      <c r="AP179" s="23">
        <f t="shared" si="126"/>
        <v>3652.6732895854298</v>
      </c>
      <c r="AQ179" s="23">
        <f t="shared" si="127"/>
        <v>5576.7058313743237</v>
      </c>
      <c r="AR179" s="23">
        <f t="shared" si="128"/>
        <v>7229.9104922748293</v>
      </c>
      <c r="AS179" s="23">
        <f t="shared" si="129"/>
        <v>8707.7679965211355</v>
      </c>
      <c r="AT179" s="23">
        <f t="shared" si="130"/>
        <v>9985.7485483911169</v>
      </c>
      <c r="AU179" s="23">
        <f t="shared" si="131"/>
        <v>11050.58822183659</v>
      </c>
      <c r="AW179" s="25"/>
      <c r="AX179" s="25"/>
      <c r="AY179" s="25"/>
      <c r="AZ179" s="25">
        <f t="shared" si="141"/>
        <v>48044.554956821652</v>
      </c>
      <c r="BA179" s="25">
        <f t="shared" si="142"/>
        <v>46203.394379983423</v>
      </c>
      <c r="BB179" s="25">
        <f t="shared" si="143"/>
        <v>42550.721090397994</v>
      </c>
      <c r="BC179" s="25">
        <f t="shared" si="144"/>
        <v>36974.015259023668</v>
      </c>
      <c r="BD179" s="25">
        <f t="shared" si="145"/>
        <v>29744.104766748838</v>
      </c>
      <c r="BE179" s="25">
        <f t="shared" si="146"/>
        <v>21036.336770227706</v>
      </c>
      <c r="BF179" s="25">
        <f t="shared" si="147"/>
        <v>11050.58822183659</v>
      </c>
      <c r="BG179" s="25">
        <f t="shared" si="148"/>
        <v>0</v>
      </c>
      <c r="BI179" s="25"/>
      <c r="BJ179" s="25"/>
      <c r="BK179" s="25"/>
      <c r="BL179" s="25">
        <f t="shared" si="151"/>
        <v>48044.554956821652</v>
      </c>
      <c r="BM179" s="25">
        <f t="shared" si="152"/>
        <v>46203.394379983423</v>
      </c>
      <c r="BN179" s="25">
        <f t="shared" si="153"/>
        <v>42550.721090397994</v>
      </c>
      <c r="BO179" s="25">
        <f t="shared" si="154"/>
        <v>36974.015259023668</v>
      </c>
      <c r="BP179" s="25">
        <f t="shared" si="155"/>
        <v>29744.104766748838</v>
      </c>
      <c r="BQ179" s="25">
        <f t="shared" si="156"/>
        <v>21036.336770227706</v>
      </c>
      <c r="BR179" s="25">
        <f t="shared" si="157"/>
        <v>11050.58822183659</v>
      </c>
      <c r="BS179" s="25">
        <f t="shared" si="158"/>
        <v>0</v>
      </c>
    </row>
    <row r="180" spans="1:71" x14ac:dyDescent="0.2">
      <c r="A180" s="29">
        <f t="shared" si="149"/>
        <v>1.7200000000000013</v>
      </c>
      <c r="B180" s="30">
        <v>5.749243214317646E-2</v>
      </c>
      <c r="C180" s="30">
        <v>6.1792591402147115E-2</v>
      </c>
      <c r="D180" s="30">
        <v>6.5670743895203637E-2</v>
      </c>
      <c r="E180" s="30">
        <v>6.9411997729651786E-2</v>
      </c>
      <c r="F180" s="30">
        <v>7.3275889548965856E-2</v>
      </c>
      <c r="G180" s="30">
        <v>7.7319682409741894E-2</v>
      </c>
      <c r="H180" s="30">
        <v>8.1504527704183094E-2</v>
      </c>
      <c r="I180" s="30">
        <v>8.5773101052936451E-2</v>
      </c>
      <c r="J180" s="30">
        <v>9.0075885027457517E-2</v>
      </c>
      <c r="K180" s="30">
        <v>9.4375557192840034E-2</v>
      </c>
      <c r="L180" s="30">
        <v>9.8644153317917579E-2</v>
      </c>
      <c r="N180" s="1"/>
      <c r="O180" s="1"/>
      <c r="P180" s="1"/>
      <c r="Q180" s="54">
        <f t="shared" si="164"/>
        <v>0.96588934708202367</v>
      </c>
      <c r="R180" s="1">
        <f t="shared" si="165"/>
        <v>0.929344398247129</v>
      </c>
      <c r="S180" s="1">
        <f t="shared" si="159"/>
        <v>0.92559391021340776</v>
      </c>
      <c r="T180" s="62">
        <f t="shared" si="160"/>
        <v>0.88492109905723149</v>
      </c>
      <c r="U180" s="65">
        <f t="shared" si="161"/>
        <v>0.84236134825274833</v>
      </c>
      <c r="V180" s="67">
        <f t="shared" si="162"/>
        <v>0.79836474456514606</v>
      </c>
      <c r="W180" s="68">
        <f t="shared" si="163"/>
        <v>0.75342434436385963</v>
      </c>
      <c r="Y180" s="24"/>
      <c r="Z180" s="24"/>
      <c r="AA180" s="24"/>
      <c r="AB180" s="24">
        <f t="shared" si="133"/>
        <v>7.3275889548965856E-2</v>
      </c>
      <c r="AC180" s="24">
        <f t="shared" si="134"/>
        <v>7.7319682409741894E-2</v>
      </c>
      <c r="AD180" s="24">
        <f t="shared" si="135"/>
        <v>8.1504527704183094E-2</v>
      </c>
      <c r="AE180" s="24">
        <f t="shared" si="136"/>
        <v>8.5773101052936451E-2</v>
      </c>
      <c r="AF180" s="24">
        <f t="shared" si="137"/>
        <v>9.0075885027457517E-2</v>
      </c>
      <c r="AG180" s="24">
        <f t="shared" si="138"/>
        <v>9.4375557192840034E-2</v>
      </c>
      <c r="AH180" s="24">
        <f t="shared" si="139"/>
        <v>9.8644153317917579E-2</v>
      </c>
      <c r="AL180" s="23">
        <f t="shared" si="122"/>
        <v>0</v>
      </c>
      <c r="AM180" s="23">
        <f t="shared" si="123"/>
        <v>0</v>
      </c>
      <c r="AN180" s="23">
        <f t="shared" si="124"/>
        <v>0</v>
      </c>
      <c r="AO180" s="23">
        <f t="shared" si="125"/>
        <v>2691.7025366559642</v>
      </c>
      <c r="AP180" s="23">
        <f t="shared" si="126"/>
        <v>4468.898628467763</v>
      </c>
      <c r="AQ180" s="23">
        <f t="shared" si="127"/>
        <v>6387.5974770547946</v>
      </c>
      <c r="AR180" s="23">
        <f t="shared" si="128"/>
        <v>7995.5864693983931</v>
      </c>
      <c r="AS180" s="23">
        <f t="shared" si="129"/>
        <v>9423.292976978657</v>
      </c>
      <c r="AT180" s="23">
        <f t="shared" si="130"/>
        <v>10647.466931493263</v>
      </c>
      <c r="AU180" s="23">
        <f t="shared" si="131"/>
        <v>11656.147151838559</v>
      </c>
      <c r="AW180" s="25"/>
      <c r="AX180" s="25"/>
      <c r="AY180" s="25"/>
      <c r="AZ180" s="25">
        <f t="shared" si="141"/>
        <v>53270.692171887393</v>
      </c>
      <c r="BA180" s="25">
        <f t="shared" si="142"/>
        <v>50578.989635231432</v>
      </c>
      <c r="BB180" s="25">
        <f t="shared" si="143"/>
        <v>46110.091006763665</v>
      </c>
      <c r="BC180" s="25">
        <f t="shared" si="144"/>
        <v>39722.493529708874</v>
      </c>
      <c r="BD180" s="25">
        <f t="shared" si="145"/>
        <v>31726.907060310477</v>
      </c>
      <c r="BE180" s="25">
        <f t="shared" si="146"/>
        <v>22303.61408333182</v>
      </c>
      <c r="BF180" s="25">
        <f t="shared" si="147"/>
        <v>11656.147151838559</v>
      </c>
      <c r="BG180" s="25">
        <f t="shared" si="148"/>
        <v>0</v>
      </c>
      <c r="BI180" s="25"/>
      <c r="BJ180" s="25"/>
      <c r="BK180" s="25"/>
      <c r="BL180" s="25">
        <f t="shared" si="151"/>
        <v>53270.692171887393</v>
      </c>
      <c r="BM180" s="25">
        <f t="shared" si="152"/>
        <v>50578.989635231432</v>
      </c>
      <c r="BN180" s="25">
        <f t="shared" si="153"/>
        <v>46110.091006763665</v>
      </c>
      <c r="BO180" s="25">
        <f t="shared" si="154"/>
        <v>39722.493529708874</v>
      </c>
      <c r="BP180" s="25">
        <f t="shared" si="155"/>
        <v>31726.907060310477</v>
      </c>
      <c r="BQ180" s="25">
        <f t="shared" si="156"/>
        <v>22303.61408333182</v>
      </c>
      <c r="BR180" s="25">
        <f t="shared" si="157"/>
        <v>11656.147151838559</v>
      </c>
      <c r="BS180" s="25">
        <f t="shared" si="158"/>
        <v>0</v>
      </c>
    </row>
    <row r="181" spans="1:71" x14ac:dyDescent="0.2">
      <c r="A181" s="29">
        <f t="shared" si="149"/>
        <v>1.7300000000000013</v>
      </c>
      <c r="B181" s="30">
        <v>5.6725113514736338E-2</v>
      </c>
      <c r="C181" s="30">
        <v>6.1010676607150031E-2</v>
      </c>
      <c r="D181" s="30">
        <v>6.4882424598220578E-2</v>
      </c>
      <c r="E181" s="30">
        <v>6.8624835108738291E-2</v>
      </c>
      <c r="F181" s="30">
        <v>7.2493277425138433E-2</v>
      </c>
      <c r="G181" s="30">
        <v>7.6542968159238819E-2</v>
      </c>
      <c r="H181" s="30">
        <v>8.0734563101786089E-2</v>
      </c>
      <c r="I181" s="30">
        <v>8.5010766455552528E-2</v>
      </c>
      <c r="J181" s="30">
        <v>8.9322176022029187E-2</v>
      </c>
      <c r="K181" s="30">
        <v>9.3631527062004075E-2</v>
      </c>
      <c r="L181" s="30">
        <v>9.7910842600966913E-2</v>
      </c>
      <c r="N181" s="1"/>
      <c r="O181" s="1"/>
      <c r="P181" s="1"/>
      <c r="Q181" s="54">
        <f t="shared" si="164"/>
        <v>0.96626957789796741</v>
      </c>
      <c r="R181" s="1">
        <f t="shared" si="165"/>
        <v>0.93007199911790284</v>
      </c>
      <c r="S181" s="1">
        <f t="shared" si="159"/>
        <v>0.92631311146442274</v>
      </c>
      <c r="T181" s="62">
        <f t="shared" si="160"/>
        <v>0.88594372636696272</v>
      </c>
      <c r="U181" s="65">
        <f t="shared" si="161"/>
        <v>0.84364665023247354</v>
      </c>
      <c r="V181" s="67">
        <f t="shared" si="162"/>
        <v>0.7998704994899295</v>
      </c>
      <c r="W181" s="68">
        <f t="shared" si="163"/>
        <v>0.75510793386737152</v>
      </c>
      <c r="Y181" s="24"/>
      <c r="Z181" s="24"/>
      <c r="AA181" s="24"/>
      <c r="AB181" s="24">
        <f t="shared" si="133"/>
        <v>7.2493277425138433E-2</v>
      </c>
      <c r="AC181" s="24">
        <f t="shared" si="134"/>
        <v>7.6542968159238819E-2</v>
      </c>
      <c r="AD181" s="24">
        <f t="shared" si="135"/>
        <v>8.0734563101786089E-2</v>
      </c>
      <c r="AE181" s="24">
        <f t="shared" si="136"/>
        <v>8.5010766455552528E-2</v>
      </c>
      <c r="AF181" s="24">
        <f t="shared" si="137"/>
        <v>8.9322176022029187E-2</v>
      </c>
      <c r="AG181" s="24">
        <f t="shared" si="138"/>
        <v>9.3631527062004075E-2</v>
      </c>
      <c r="AH181" s="24">
        <f t="shared" si="139"/>
        <v>9.7910842600966913E-2</v>
      </c>
      <c r="AL181" s="23">
        <f t="shared" si="122"/>
        <v>0</v>
      </c>
      <c r="AM181" s="23">
        <f t="shared" si="123"/>
        <v>0</v>
      </c>
      <c r="AN181" s="23">
        <f t="shared" si="124"/>
        <v>0</v>
      </c>
      <c r="AO181" s="23">
        <f t="shared" si="125"/>
        <v>2314.6550057015475</v>
      </c>
      <c r="AP181" s="23">
        <f t="shared" si="126"/>
        <v>4111.1973237766615</v>
      </c>
      <c r="AQ181" s="23">
        <f t="shared" si="127"/>
        <v>6035.9465890296869</v>
      </c>
      <c r="AR181" s="23">
        <f t="shared" si="128"/>
        <v>7667.1335049806357</v>
      </c>
      <c r="AS181" s="23">
        <f t="shared" si="129"/>
        <v>9119.7393009922089</v>
      </c>
      <c r="AT181" s="23">
        <f t="shared" si="130"/>
        <v>10369.984698280092</v>
      </c>
      <c r="AU181" s="23">
        <f t="shared" si="131"/>
        <v>11405.329414134994</v>
      </c>
      <c r="AW181" s="25"/>
      <c r="AX181" s="25"/>
      <c r="AY181" s="25"/>
      <c r="AZ181" s="25">
        <f t="shared" si="141"/>
        <v>51023.985836895823</v>
      </c>
      <c r="BA181" s="25">
        <f t="shared" si="142"/>
        <v>48709.330831194282</v>
      </c>
      <c r="BB181" s="25">
        <f t="shared" si="143"/>
        <v>44598.133507417617</v>
      </c>
      <c r="BC181" s="25">
        <f t="shared" si="144"/>
        <v>38562.186918387932</v>
      </c>
      <c r="BD181" s="25">
        <f t="shared" si="145"/>
        <v>30895.053413407295</v>
      </c>
      <c r="BE181" s="25">
        <f t="shared" si="146"/>
        <v>21775.314112415086</v>
      </c>
      <c r="BF181" s="25">
        <f t="shared" si="147"/>
        <v>11405.329414134994</v>
      </c>
      <c r="BG181" s="25">
        <f t="shared" si="148"/>
        <v>0</v>
      </c>
      <c r="BI181" s="25"/>
      <c r="BJ181" s="25"/>
      <c r="BK181" s="25"/>
      <c r="BL181" s="25">
        <f t="shared" si="151"/>
        <v>51023.985836895823</v>
      </c>
      <c r="BM181" s="25">
        <f t="shared" si="152"/>
        <v>48709.330831194282</v>
      </c>
      <c r="BN181" s="25">
        <f t="shared" si="153"/>
        <v>44598.133507417617</v>
      </c>
      <c r="BO181" s="25">
        <f t="shared" si="154"/>
        <v>38562.186918387932</v>
      </c>
      <c r="BP181" s="25">
        <f t="shared" si="155"/>
        <v>30895.053413407295</v>
      </c>
      <c r="BQ181" s="25">
        <f t="shared" si="156"/>
        <v>21775.314112415086</v>
      </c>
      <c r="BR181" s="25">
        <f t="shared" si="157"/>
        <v>11405.329414134994</v>
      </c>
      <c r="BS181" s="25">
        <f t="shared" si="158"/>
        <v>0</v>
      </c>
    </row>
    <row r="182" spans="1:71" x14ac:dyDescent="0.2">
      <c r="A182" s="29">
        <f t="shared" si="149"/>
        <v>1.7400000000000013</v>
      </c>
      <c r="B182" s="30">
        <v>5.7380076188008972E-2</v>
      </c>
      <c r="C182" s="30">
        <v>6.1636130230473075E-2</v>
      </c>
      <c r="D182" s="30">
        <v>6.5484023844549127E-2</v>
      </c>
      <c r="E182" s="30">
        <v>6.9207700038740647E-2</v>
      </c>
      <c r="F182" s="30">
        <v>7.3058569772328219E-2</v>
      </c>
      <c r="G182" s="30">
        <v>7.7090000840856959E-2</v>
      </c>
      <c r="H182" s="30">
        <v>8.1262330528927756E-2</v>
      </c>
      <c r="I182" s="30">
        <v>8.5518459966035493E-2</v>
      </c>
      <c r="J182" s="30">
        <v>8.9809267644659047E-2</v>
      </c>
      <c r="K182" s="30">
        <v>9.4097711724138999E-2</v>
      </c>
      <c r="L182" s="30">
        <v>9.8355968157382831E-2</v>
      </c>
      <c r="N182" s="1"/>
      <c r="O182" s="1"/>
      <c r="P182" s="1"/>
      <c r="Q182" s="54">
        <f t="shared" si="164"/>
        <v>0.96598801660306899</v>
      </c>
      <c r="R182" s="1">
        <f t="shared" si="165"/>
        <v>0.92954638511125065</v>
      </c>
      <c r="S182" s="1">
        <f t="shared" si="159"/>
        <v>0.92580652649094131</v>
      </c>
      <c r="T182" s="62">
        <f t="shared" si="160"/>
        <v>0.88524264554770693</v>
      </c>
      <c r="U182" s="65">
        <f t="shared" si="161"/>
        <v>0.84279045713078948</v>
      </c>
      <c r="V182" s="67">
        <f t="shared" si="162"/>
        <v>0.7988970667501587</v>
      </c>
      <c r="W182" s="68">
        <f t="shared" si="163"/>
        <v>0.75405261279005853</v>
      </c>
      <c r="Y182" s="24"/>
      <c r="Z182" s="24"/>
      <c r="AA182" s="24"/>
      <c r="AB182" s="24">
        <f t="shared" si="133"/>
        <v>7.3058569772328219E-2</v>
      </c>
      <c r="AC182" s="24">
        <f t="shared" si="134"/>
        <v>7.7090000840856959E-2</v>
      </c>
      <c r="AD182" s="24">
        <f t="shared" si="135"/>
        <v>8.1262330528927756E-2</v>
      </c>
      <c r="AE182" s="24">
        <f t="shared" si="136"/>
        <v>8.5518459966035493E-2</v>
      </c>
      <c r="AF182" s="24">
        <f t="shared" si="137"/>
        <v>8.9809267644659047E-2</v>
      </c>
      <c r="AG182" s="24">
        <f t="shared" si="138"/>
        <v>9.4097711724138999E-2</v>
      </c>
      <c r="AH182" s="24">
        <f t="shared" si="139"/>
        <v>9.8355968157382831E-2</v>
      </c>
      <c r="AL182" s="23">
        <f t="shared" si="122"/>
        <v>0</v>
      </c>
      <c r="AM182" s="23">
        <f t="shared" si="123"/>
        <v>0</v>
      </c>
      <c r="AN182" s="23">
        <f t="shared" si="124"/>
        <v>0</v>
      </c>
      <c r="AO182" s="23">
        <f t="shared" si="125"/>
        <v>2587.0133550045975</v>
      </c>
      <c r="AP182" s="23">
        <f t="shared" si="126"/>
        <v>4363.1200780136423</v>
      </c>
      <c r="AQ182" s="23">
        <f t="shared" si="127"/>
        <v>6276.9508961875536</v>
      </c>
      <c r="AR182" s="23">
        <f t="shared" si="128"/>
        <v>7885.7821850757064</v>
      </c>
      <c r="AS182" s="23">
        <f t="shared" si="129"/>
        <v>9315.7420214058511</v>
      </c>
      <c r="AT182" s="23">
        <f t="shared" si="130"/>
        <v>10543.581331687352</v>
      </c>
      <c r="AU182" s="23">
        <f t="shared" si="131"/>
        <v>11557.213638581632</v>
      </c>
      <c r="AW182" s="25"/>
      <c r="AX182" s="25"/>
      <c r="AY182" s="25"/>
      <c r="AZ182" s="25">
        <f t="shared" si="141"/>
        <v>52529.403505956339</v>
      </c>
      <c r="BA182" s="25">
        <f t="shared" si="142"/>
        <v>49942.390150951738</v>
      </c>
      <c r="BB182" s="25">
        <f t="shared" si="143"/>
        <v>45579.270072938096</v>
      </c>
      <c r="BC182" s="25">
        <f t="shared" si="144"/>
        <v>39302.319176750541</v>
      </c>
      <c r="BD182" s="25">
        <f t="shared" si="145"/>
        <v>31416.536991674839</v>
      </c>
      <c r="BE182" s="25">
        <f t="shared" si="146"/>
        <v>22100.794970268984</v>
      </c>
      <c r="BF182" s="25">
        <f t="shared" si="147"/>
        <v>11557.213638581632</v>
      </c>
      <c r="BG182" s="25">
        <f t="shared" si="148"/>
        <v>0</v>
      </c>
      <c r="BI182" s="25"/>
      <c r="BJ182" s="25"/>
      <c r="BK182" s="25"/>
      <c r="BL182" s="25">
        <f t="shared" si="151"/>
        <v>52529.403505956339</v>
      </c>
      <c r="BM182" s="25">
        <f t="shared" si="152"/>
        <v>49942.390150951738</v>
      </c>
      <c r="BN182" s="25">
        <f t="shared" si="153"/>
        <v>45579.270072938096</v>
      </c>
      <c r="BO182" s="25">
        <f t="shared" si="154"/>
        <v>39302.319176750541</v>
      </c>
      <c r="BP182" s="25">
        <f t="shared" si="155"/>
        <v>31416.536991674839</v>
      </c>
      <c r="BQ182" s="25">
        <f t="shared" si="156"/>
        <v>22100.794970268984</v>
      </c>
      <c r="BR182" s="25">
        <f t="shared" si="157"/>
        <v>11557.213638581632</v>
      </c>
      <c r="BS182" s="25">
        <f t="shared" si="158"/>
        <v>0</v>
      </c>
    </row>
    <row r="183" spans="1:71" x14ac:dyDescent="0.2">
      <c r="A183" s="29">
        <f t="shared" si="149"/>
        <v>1.7500000000000013</v>
      </c>
      <c r="B183" s="30">
        <v>5.9048875327483694E-2</v>
      </c>
      <c r="C183" s="30">
        <v>6.3255003572723845E-2</v>
      </c>
      <c r="D183" s="30">
        <v>6.7060734646736481E-2</v>
      </c>
      <c r="E183" s="30">
        <v>7.0749326177854552E-2</v>
      </c>
      <c r="F183" s="30">
        <v>7.456819069483521E-2</v>
      </c>
      <c r="G183" s="30">
        <v>7.8568795489566925E-2</v>
      </c>
      <c r="H183" s="30">
        <v>8.2711087355575807E-2</v>
      </c>
      <c r="I183" s="30">
        <v>8.6938083730778201E-2</v>
      </c>
      <c r="J183" s="30">
        <v>9.1200860349205673E-2</v>
      </c>
      <c r="K183" s="30">
        <v>9.5462514575742285E-2</v>
      </c>
      <c r="L183" s="30">
        <v>9.969529206436549E-2</v>
      </c>
      <c r="N183" s="1"/>
      <c r="O183" s="1"/>
      <c r="P183" s="1"/>
      <c r="Q183" s="54">
        <f t="shared" si="164"/>
        <v>0.96524370731335285</v>
      </c>
      <c r="R183" s="1">
        <f t="shared" si="165"/>
        <v>0.92814418110439589</v>
      </c>
      <c r="S183" s="1">
        <f t="shared" si="159"/>
        <v>0.92443846054743495</v>
      </c>
      <c r="T183" s="62">
        <f t="shared" si="160"/>
        <v>0.88332098233202505</v>
      </c>
      <c r="U183" s="65">
        <f t="shared" si="161"/>
        <v>0.84040096019934607</v>
      </c>
      <c r="V183" s="67">
        <f t="shared" si="162"/>
        <v>0.7961225474751088</v>
      </c>
      <c r="W183" s="68">
        <f t="shared" si="163"/>
        <v>0.75097152524140753</v>
      </c>
      <c r="Y183" s="24"/>
      <c r="Z183" s="24"/>
      <c r="AA183" s="24"/>
      <c r="AB183" s="24">
        <f t="shared" si="133"/>
        <v>7.456819069483521E-2</v>
      </c>
      <c r="AC183" s="24">
        <f t="shared" si="134"/>
        <v>7.8568795489566925E-2</v>
      </c>
      <c r="AD183" s="24">
        <f t="shared" si="135"/>
        <v>8.2711087355575807E-2</v>
      </c>
      <c r="AE183" s="24">
        <f t="shared" si="136"/>
        <v>8.6938083730778201E-2</v>
      </c>
      <c r="AF183" s="24">
        <f t="shared" si="137"/>
        <v>9.1200860349205673E-2</v>
      </c>
      <c r="AG183" s="24">
        <f t="shared" si="138"/>
        <v>9.5462514575742285E-2</v>
      </c>
      <c r="AH183" s="24">
        <f t="shared" si="139"/>
        <v>9.969529206436549E-2</v>
      </c>
      <c r="AL183" s="23">
        <f t="shared" si="122"/>
        <v>0</v>
      </c>
      <c r="AM183" s="23">
        <f t="shared" si="123"/>
        <v>0</v>
      </c>
      <c r="AN183" s="23">
        <f t="shared" si="124"/>
        <v>0</v>
      </c>
      <c r="AO183" s="23">
        <f t="shared" si="125"/>
        <v>3313.5960675818374</v>
      </c>
      <c r="AP183" s="23">
        <f t="shared" si="126"/>
        <v>5042.8057139577395</v>
      </c>
      <c r="AQ183" s="23">
        <f t="shared" si="127"/>
        <v>6937.3187000008184</v>
      </c>
      <c r="AR183" s="23">
        <f t="shared" si="128"/>
        <v>8495.655650010227</v>
      </c>
      <c r="AS183" s="23">
        <f t="shared" si="129"/>
        <v>9874.0777595477193</v>
      </c>
      <c r="AT183" s="23">
        <f t="shared" si="130"/>
        <v>11050.2392982539</v>
      </c>
      <c r="AU183" s="23">
        <f t="shared" si="131"/>
        <v>12012.887484334458</v>
      </c>
      <c r="AW183" s="25"/>
      <c r="AX183" s="25"/>
      <c r="AY183" s="25"/>
      <c r="AZ183" s="25">
        <f t="shared" si="141"/>
        <v>56726.580673686702</v>
      </c>
      <c r="BA183" s="25">
        <f t="shared" si="142"/>
        <v>53412.984606104867</v>
      </c>
      <c r="BB183" s="25">
        <f t="shared" si="143"/>
        <v>48370.178892147123</v>
      </c>
      <c r="BC183" s="25">
        <f t="shared" si="144"/>
        <v>41432.860192146305</v>
      </c>
      <c r="BD183" s="25">
        <f t="shared" si="145"/>
        <v>32937.204542136082</v>
      </c>
      <c r="BE183" s="25">
        <f t="shared" si="146"/>
        <v>23063.126782588359</v>
      </c>
      <c r="BF183" s="25">
        <f t="shared" si="147"/>
        <v>12012.887484334458</v>
      </c>
      <c r="BG183" s="25">
        <f t="shared" si="148"/>
        <v>0</v>
      </c>
      <c r="BI183" s="25"/>
      <c r="BJ183" s="25"/>
      <c r="BK183" s="25"/>
      <c r="BL183" s="25">
        <f t="shared" si="151"/>
        <v>56726.580673686702</v>
      </c>
      <c r="BM183" s="25">
        <f t="shared" si="152"/>
        <v>53412.984606104867</v>
      </c>
      <c r="BN183" s="25">
        <f t="shared" si="153"/>
        <v>48370.178892147123</v>
      </c>
      <c r="BO183" s="25">
        <f t="shared" si="154"/>
        <v>41432.860192146305</v>
      </c>
      <c r="BP183" s="25">
        <f t="shared" si="155"/>
        <v>32937.204542136082</v>
      </c>
      <c r="BQ183" s="25">
        <f t="shared" si="156"/>
        <v>23063.126782588359</v>
      </c>
      <c r="BR183" s="25">
        <f t="shared" si="157"/>
        <v>12012.887484334458</v>
      </c>
      <c r="BS183" s="25">
        <f t="shared" si="158"/>
        <v>0</v>
      </c>
    </row>
    <row r="184" spans="1:71" x14ac:dyDescent="0.2">
      <c r="A184" s="29">
        <f t="shared" si="149"/>
        <v>1.7600000000000013</v>
      </c>
      <c r="B184" s="30">
        <v>5.9868817245317209E-2</v>
      </c>
      <c r="C184" s="30">
        <v>6.3978506969091076E-2</v>
      </c>
      <c r="D184" s="30">
        <v>6.7700423758465245E-2</v>
      </c>
      <c r="E184" s="30">
        <v>7.1316883350406882E-2</v>
      </c>
      <c r="F184" s="30">
        <v>7.5071151551498835E-2</v>
      </c>
      <c r="G184" s="30">
        <v>7.9012635100036463E-2</v>
      </c>
      <c r="H184" s="30">
        <v>8.31007101842728E-2</v>
      </c>
      <c r="I184" s="30">
        <v>8.727832191902013E-2</v>
      </c>
      <c r="J184" s="30">
        <v>9.1496551868954348E-2</v>
      </c>
      <c r="K184" s="30">
        <v>9.5718444964225352E-2</v>
      </c>
      <c r="L184" s="30">
        <v>9.9916125384998916E-2</v>
      </c>
      <c r="N184" s="1"/>
      <c r="O184" s="1"/>
      <c r="P184" s="1"/>
      <c r="Q184" s="54">
        <f t="shared" si="164"/>
        <v>0.96496983068067921</v>
      </c>
      <c r="R184" s="1">
        <f t="shared" si="165"/>
        <v>0.92767747828842273</v>
      </c>
      <c r="S184" s="1">
        <f t="shared" si="159"/>
        <v>0.92402824918196302</v>
      </c>
      <c r="T184" s="62">
        <f t="shared" si="160"/>
        <v>0.88280489012801777</v>
      </c>
      <c r="U184" s="65">
        <f t="shared" si="161"/>
        <v>0.83982928172806293</v>
      </c>
      <c r="V184" s="67">
        <f t="shared" si="162"/>
        <v>0.79553424823084817</v>
      </c>
      <c r="W184" s="68">
        <f t="shared" si="163"/>
        <v>0.75039515723227013</v>
      </c>
      <c r="Y184" s="24"/>
      <c r="Z184" s="24"/>
      <c r="AA184" s="24"/>
      <c r="AB184" s="24">
        <f t="shared" si="133"/>
        <v>7.5071151551498835E-2</v>
      </c>
      <c r="AC184" s="24">
        <f t="shared" si="134"/>
        <v>7.9012635100036463E-2</v>
      </c>
      <c r="AD184" s="24">
        <f t="shared" si="135"/>
        <v>8.31007101842728E-2</v>
      </c>
      <c r="AE184" s="24">
        <f t="shared" si="136"/>
        <v>8.7278321919020144E-2</v>
      </c>
      <c r="AF184" s="24">
        <f t="shared" si="137"/>
        <v>9.1496551868954348E-2</v>
      </c>
      <c r="AG184" s="24">
        <f t="shared" si="138"/>
        <v>9.5718444964225352E-2</v>
      </c>
      <c r="AH184" s="24">
        <f t="shared" si="139"/>
        <v>9.9916125384998916E-2</v>
      </c>
      <c r="AL184" s="23">
        <f t="shared" si="122"/>
        <v>0</v>
      </c>
      <c r="AM184" s="23">
        <f t="shared" si="123"/>
        <v>0</v>
      </c>
      <c r="AN184" s="23">
        <f t="shared" si="124"/>
        <v>0</v>
      </c>
      <c r="AO184" s="23">
        <f t="shared" si="125"/>
        <v>3555.3268997309424</v>
      </c>
      <c r="AP184" s="23">
        <f t="shared" si="126"/>
        <v>5246.140023109715</v>
      </c>
      <c r="AQ184" s="23">
        <f t="shared" si="127"/>
        <v>7114.2515764950213</v>
      </c>
      <c r="AR184" s="23">
        <f t="shared" si="128"/>
        <v>8640.8739167452168</v>
      </c>
      <c r="AS184" s="23">
        <f t="shared" si="129"/>
        <v>9991.526166782598</v>
      </c>
      <c r="AT184" s="23">
        <f t="shared" si="130"/>
        <v>11143.874356234062</v>
      </c>
      <c r="AU184" s="23">
        <f t="shared" si="131"/>
        <v>12086.523762544093</v>
      </c>
      <c r="AW184" s="25"/>
      <c r="AX184" s="25"/>
      <c r="AY184" s="25"/>
      <c r="AZ184" s="25">
        <f t="shared" si="141"/>
        <v>57778.516701641645</v>
      </c>
      <c r="BA184" s="25">
        <f t="shared" si="142"/>
        <v>54223.189801910703</v>
      </c>
      <c r="BB184" s="25">
        <f t="shared" si="143"/>
        <v>48977.049778800989</v>
      </c>
      <c r="BC184" s="25">
        <f t="shared" si="144"/>
        <v>41862.798202305967</v>
      </c>
      <c r="BD184" s="25">
        <f t="shared" si="145"/>
        <v>33221.924285560752</v>
      </c>
      <c r="BE184" s="25">
        <f t="shared" si="146"/>
        <v>23230.398118778154</v>
      </c>
      <c r="BF184" s="25">
        <f t="shared" si="147"/>
        <v>12086.523762544093</v>
      </c>
      <c r="BG184" s="25">
        <f t="shared" si="148"/>
        <v>0</v>
      </c>
      <c r="BI184" s="25"/>
      <c r="BJ184" s="25"/>
      <c r="BK184" s="25"/>
      <c r="BL184" s="25">
        <f t="shared" si="151"/>
        <v>57778.516701641645</v>
      </c>
      <c r="BM184" s="25">
        <f t="shared" si="152"/>
        <v>54223.189801910703</v>
      </c>
      <c r="BN184" s="25">
        <f t="shared" si="153"/>
        <v>48977.049778800989</v>
      </c>
      <c r="BO184" s="25">
        <f t="shared" si="154"/>
        <v>41862.798202305967</v>
      </c>
      <c r="BP184" s="25">
        <f t="shared" si="155"/>
        <v>33221.924285560752</v>
      </c>
      <c r="BQ184" s="25">
        <f t="shared" si="156"/>
        <v>23230.398118778154</v>
      </c>
      <c r="BR184" s="25">
        <f t="shared" si="157"/>
        <v>12086.523762544093</v>
      </c>
      <c r="BS184" s="25">
        <f t="shared" si="158"/>
        <v>0</v>
      </c>
    </row>
    <row r="185" spans="1:71" x14ac:dyDescent="0.2">
      <c r="A185" s="29">
        <f t="shared" si="149"/>
        <v>1.7700000000000014</v>
      </c>
      <c r="B185" s="30">
        <v>6.1425032263837352E-2</v>
      </c>
      <c r="C185" s="30">
        <v>6.5372357171135639E-2</v>
      </c>
      <c r="D185" s="30">
        <v>6.895179935084024E-2</v>
      </c>
      <c r="E185" s="30">
        <v>7.2444378057922337E-2</v>
      </c>
      <c r="F185" s="30">
        <v>7.6088963606148169E-2</v>
      </c>
      <c r="G185" s="30">
        <v>7.9932641485172345E-2</v>
      </c>
      <c r="H185" s="30">
        <v>8.393393674960431E-2</v>
      </c>
      <c r="I185" s="30">
        <v>8.803543326021325E-2</v>
      </c>
      <c r="J185" s="30">
        <v>9.2187926752997834E-2</v>
      </c>
      <c r="K185" s="30">
        <v>9.6354117848578294E-2</v>
      </c>
      <c r="L185" s="30">
        <v>0.10050571784262081</v>
      </c>
      <c r="N185" s="1"/>
      <c r="O185" s="1"/>
      <c r="P185" s="1"/>
      <c r="Q185" s="54">
        <f t="shared" si="164"/>
        <v>0.9644259848024177</v>
      </c>
      <c r="R185" s="1">
        <f t="shared" si="165"/>
        <v>0.92673375731495555</v>
      </c>
      <c r="S185" s="1">
        <f t="shared" si="159"/>
        <v>0.92317852822695623</v>
      </c>
      <c r="T185" s="62">
        <f t="shared" si="160"/>
        <v>0.88170221462576071</v>
      </c>
      <c r="U185" s="65">
        <f t="shared" si="161"/>
        <v>0.83855855550437453</v>
      </c>
      <c r="V185" s="67">
        <f t="shared" si="162"/>
        <v>0.79416040487730588</v>
      </c>
      <c r="W185" s="68">
        <f t="shared" si="163"/>
        <v>0.74896550329190004</v>
      </c>
      <c r="Y185" s="24"/>
      <c r="Z185" s="24"/>
      <c r="AA185" s="24"/>
      <c r="AB185" s="24">
        <f t="shared" si="133"/>
        <v>7.6088963606148169E-2</v>
      </c>
      <c r="AC185" s="24">
        <f t="shared" si="134"/>
        <v>7.9932641485172345E-2</v>
      </c>
      <c r="AD185" s="24">
        <f t="shared" si="135"/>
        <v>8.393393674960431E-2</v>
      </c>
      <c r="AE185" s="24">
        <f t="shared" si="136"/>
        <v>8.803543326021325E-2</v>
      </c>
      <c r="AF185" s="24">
        <f t="shared" si="137"/>
        <v>9.2187926752997834E-2</v>
      </c>
      <c r="AG185" s="24">
        <f t="shared" si="138"/>
        <v>9.6354117848578294E-2</v>
      </c>
      <c r="AH185" s="24">
        <f t="shared" si="139"/>
        <v>0.10050571784262081</v>
      </c>
      <c r="AL185" s="23">
        <f t="shared" si="122"/>
        <v>0</v>
      </c>
      <c r="AM185" s="23">
        <f t="shared" si="123"/>
        <v>0</v>
      </c>
      <c r="AN185" s="23">
        <f t="shared" si="124"/>
        <v>0</v>
      </c>
      <c r="AO185" s="23">
        <f t="shared" si="125"/>
        <v>4044.1253550289416</v>
      </c>
      <c r="AP185" s="23">
        <f t="shared" si="126"/>
        <v>5667.1036420042619</v>
      </c>
      <c r="AQ185" s="23">
        <f t="shared" si="127"/>
        <v>7492.3178666203094</v>
      </c>
      <c r="AR185" s="23">
        <f t="shared" si="128"/>
        <v>8963.8543274688855</v>
      </c>
      <c r="AS185" s="23">
        <f t="shared" si="129"/>
        <v>10266.287382124479</v>
      </c>
      <c r="AT185" s="23">
        <f t="shared" si="130"/>
        <v>11377.042623284657</v>
      </c>
      <c r="AU185" s="23">
        <f t="shared" si="131"/>
        <v>12284.288705846504</v>
      </c>
      <c r="AW185" s="25"/>
      <c r="AX185" s="25"/>
      <c r="AY185" s="25"/>
      <c r="AZ185" s="25">
        <f t="shared" si="141"/>
        <v>60095.019902378044</v>
      </c>
      <c r="BA185" s="25">
        <f t="shared" si="142"/>
        <v>56050.894547349097</v>
      </c>
      <c r="BB185" s="25">
        <f t="shared" si="143"/>
        <v>50383.790905344838</v>
      </c>
      <c r="BC185" s="25">
        <f t="shared" si="144"/>
        <v>42891.473038724529</v>
      </c>
      <c r="BD185" s="25">
        <f t="shared" si="145"/>
        <v>33927.618711255644</v>
      </c>
      <c r="BE185" s="25">
        <f t="shared" si="146"/>
        <v>23661.331329131161</v>
      </c>
      <c r="BF185" s="25">
        <f t="shared" si="147"/>
        <v>12284.288705846504</v>
      </c>
      <c r="BG185" s="25">
        <f t="shared" si="148"/>
        <v>0</v>
      </c>
      <c r="BI185" s="25"/>
      <c r="BJ185" s="25"/>
      <c r="BK185" s="25"/>
      <c r="BL185" s="25">
        <f t="shared" si="151"/>
        <v>60095.019902378044</v>
      </c>
      <c r="BM185" s="25">
        <f t="shared" si="152"/>
        <v>56050.894547349097</v>
      </c>
      <c r="BN185" s="25">
        <f t="shared" si="153"/>
        <v>50383.790905344838</v>
      </c>
      <c r="BO185" s="25">
        <f t="shared" si="154"/>
        <v>42891.473038724529</v>
      </c>
      <c r="BP185" s="25">
        <f t="shared" si="155"/>
        <v>33927.618711255644</v>
      </c>
      <c r="BQ185" s="25">
        <f t="shared" si="156"/>
        <v>23661.331329131161</v>
      </c>
      <c r="BR185" s="25">
        <f t="shared" si="157"/>
        <v>12284.288705846504</v>
      </c>
      <c r="BS185" s="25">
        <f t="shared" si="158"/>
        <v>0</v>
      </c>
    </row>
    <row r="186" spans="1:71" x14ac:dyDescent="0.2">
      <c r="A186" s="29">
        <f t="shared" si="149"/>
        <v>1.7800000000000014</v>
      </c>
      <c r="B186" s="30">
        <v>6.3410451031636422E-2</v>
      </c>
      <c r="C186" s="30">
        <v>6.7375629425634839E-2</v>
      </c>
      <c r="D186" s="30">
        <v>7.0968664969971618E-2</v>
      </c>
      <c r="E186" s="30">
        <v>7.447024871029323E-2</v>
      </c>
      <c r="F186" s="30">
        <v>7.811592720532054E-2</v>
      </c>
      <c r="G186" s="30">
        <v>8.1951524351255037E-2</v>
      </c>
      <c r="H186" s="30">
        <v>8.5935754119542254E-2</v>
      </c>
      <c r="I186" s="30">
        <v>9.0011870878303285E-2</v>
      </c>
      <c r="J186" s="30">
        <v>9.4131413618130239E-2</v>
      </c>
      <c r="K186" s="30">
        <v>9.8257767531501963E-2</v>
      </c>
      <c r="L186" s="30">
        <v>0.10236326037377012</v>
      </c>
      <c r="N186" s="1"/>
      <c r="O186" s="1"/>
      <c r="P186" s="1"/>
      <c r="Q186" s="54">
        <f t="shared" si="164"/>
        <v>0.96344957825474842</v>
      </c>
      <c r="R186" s="1">
        <f t="shared" si="165"/>
        <v>0.9248572042176616</v>
      </c>
      <c r="S186" s="1">
        <f t="shared" si="159"/>
        <v>0.92131661903467765</v>
      </c>
      <c r="T186" s="62">
        <f t="shared" si="160"/>
        <v>0.87905867531168158</v>
      </c>
      <c r="U186" s="65">
        <f t="shared" si="161"/>
        <v>0.83525038086461889</v>
      </c>
      <c r="V186" s="67">
        <f t="shared" si="162"/>
        <v>0.79031116284970027</v>
      </c>
      <c r="W186" s="68">
        <f t="shared" si="163"/>
        <v>0.7447003899779191</v>
      </c>
      <c r="Y186" s="24"/>
      <c r="Z186" s="24"/>
      <c r="AA186" s="24"/>
      <c r="AB186" s="24">
        <f t="shared" si="133"/>
        <v>7.811592720532054E-2</v>
      </c>
      <c r="AC186" s="24">
        <f t="shared" si="134"/>
        <v>8.1951524351255037E-2</v>
      </c>
      <c r="AD186" s="24">
        <f t="shared" si="135"/>
        <v>8.5935754119542254E-2</v>
      </c>
      <c r="AE186" s="24">
        <f t="shared" si="136"/>
        <v>9.0011870878303285E-2</v>
      </c>
      <c r="AF186" s="24">
        <f t="shared" si="137"/>
        <v>9.4131413618130239E-2</v>
      </c>
      <c r="AG186" s="24">
        <f t="shared" si="138"/>
        <v>9.8257767531501963E-2</v>
      </c>
      <c r="AH186" s="24">
        <f t="shared" si="139"/>
        <v>0.10236326037377012</v>
      </c>
      <c r="AL186" s="23">
        <f t="shared" si="122"/>
        <v>0</v>
      </c>
      <c r="AM186" s="23">
        <f t="shared" si="123"/>
        <v>0</v>
      </c>
      <c r="AN186" s="23">
        <f t="shared" si="124"/>
        <v>0</v>
      </c>
      <c r="AO186" s="23">
        <f t="shared" si="125"/>
        <v>5016.4696039862401</v>
      </c>
      <c r="AP186" s="23">
        <f t="shared" si="126"/>
        <v>6589.2174448097667</v>
      </c>
      <c r="AQ186" s="23">
        <f t="shared" si="127"/>
        <v>8399.360818704341</v>
      </c>
      <c r="AR186" s="23">
        <f t="shared" si="128"/>
        <v>9805.6810159932029</v>
      </c>
      <c r="AS186" s="23">
        <f t="shared" si="129"/>
        <v>11037.435202053006</v>
      </c>
      <c r="AT186" s="23">
        <f t="shared" si="130"/>
        <v>12074.136660761806</v>
      </c>
      <c r="AU186" s="23">
        <f t="shared" si="131"/>
        <v>12905.990027478343</v>
      </c>
      <c r="AW186" s="25"/>
      <c r="AX186" s="25"/>
      <c r="AY186" s="25"/>
      <c r="AZ186" s="25">
        <f t="shared" si="141"/>
        <v>65828.290773786692</v>
      </c>
      <c r="BA186" s="25">
        <f t="shared" si="142"/>
        <v>60811.821169800467</v>
      </c>
      <c r="BB186" s="25">
        <f t="shared" si="143"/>
        <v>54222.603724990695</v>
      </c>
      <c r="BC186" s="25">
        <f t="shared" si="144"/>
        <v>45823.242906286359</v>
      </c>
      <c r="BD186" s="25">
        <f t="shared" si="145"/>
        <v>36017.561890293153</v>
      </c>
      <c r="BE186" s="25">
        <f t="shared" si="146"/>
        <v>24980.126688240147</v>
      </c>
      <c r="BF186" s="25">
        <f t="shared" si="147"/>
        <v>12905.990027478343</v>
      </c>
      <c r="BG186" s="25">
        <f t="shared" si="148"/>
        <v>0</v>
      </c>
      <c r="BI186" s="25"/>
      <c r="BJ186" s="25"/>
      <c r="BK186" s="25"/>
      <c r="BL186" s="25">
        <f t="shared" si="151"/>
        <v>65828.290773786692</v>
      </c>
      <c r="BM186" s="25">
        <f t="shared" si="152"/>
        <v>60811.821169800467</v>
      </c>
      <c r="BN186" s="25">
        <f t="shared" si="153"/>
        <v>54222.603724990695</v>
      </c>
      <c r="BO186" s="25">
        <f t="shared" si="154"/>
        <v>45823.242906286359</v>
      </c>
      <c r="BP186" s="25">
        <f t="shared" si="155"/>
        <v>36017.561890293153</v>
      </c>
      <c r="BQ186" s="25">
        <f t="shared" si="156"/>
        <v>24980.126688240147</v>
      </c>
      <c r="BR186" s="25">
        <f t="shared" si="157"/>
        <v>12905.990027478343</v>
      </c>
      <c r="BS186" s="25">
        <f t="shared" si="158"/>
        <v>0</v>
      </c>
    </row>
    <row r="187" spans="1:71" x14ac:dyDescent="0.2">
      <c r="A187" s="29">
        <f t="shared" si="149"/>
        <v>1.7900000000000014</v>
      </c>
      <c r="B187" s="30">
        <v>6.4166784089486784E-2</v>
      </c>
      <c r="C187" s="30">
        <v>6.7951477704813676E-2</v>
      </c>
      <c r="D187" s="30">
        <v>7.1382884573197164E-2</v>
      </c>
      <c r="E187" s="30">
        <v>7.4740365076444687E-2</v>
      </c>
      <c r="F187" s="30">
        <v>7.8255240717863606E-2</v>
      </c>
      <c r="G187" s="30">
        <v>8.1971160266808146E-2</v>
      </c>
      <c r="H187" s="30">
        <v>8.5846093699770323E-2</v>
      </c>
      <c r="I187" s="30">
        <v>8.9823024803568033E-2</v>
      </c>
      <c r="J187" s="30">
        <v>9.3853292106132191E-2</v>
      </c>
      <c r="K187" s="30">
        <v>9.7900021465956874E-2</v>
      </c>
      <c r="L187" s="30">
        <v>0.10193521365369988</v>
      </c>
      <c r="N187" s="1"/>
      <c r="O187" s="1"/>
      <c r="P187" s="1"/>
      <c r="Q187" s="54">
        <f t="shared" si="164"/>
        <v>0.96331946529183221</v>
      </c>
      <c r="R187" s="1">
        <f t="shared" si="165"/>
        <v>0.92472836808645664</v>
      </c>
      <c r="S187" s="1">
        <f t="shared" si="159"/>
        <v>0.92129852831696313</v>
      </c>
      <c r="T187" s="62">
        <f t="shared" si="160"/>
        <v>0.87917690841687468</v>
      </c>
      <c r="U187" s="65">
        <f t="shared" si="161"/>
        <v>0.83556590795861607</v>
      </c>
      <c r="V187" s="67">
        <f t="shared" si="162"/>
        <v>0.79086086026980329</v>
      </c>
      <c r="W187" s="68">
        <f t="shared" si="163"/>
        <v>0.7455000599228998</v>
      </c>
      <c r="Y187" s="24"/>
      <c r="Z187" s="24"/>
      <c r="AA187" s="24"/>
      <c r="AB187" s="24">
        <f t="shared" si="133"/>
        <v>7.8255240717863606E-2</v>
      </c>
      <c r="AC187" s="24">
        <f t="shared" si="134"/>
        <v>8.1971160266808146E-2</v>
      </c>
      <c r="AD187" s="24">
        <f t="shared" si="135"/>
        <v>8.5846093699770323E-2</v>
      </c>
      <c r="AE187" s="24">
        <f t="shared" si="136"/>
        <v>8.9823024803568033E-2</v>
      </c>
      <c r="AF187" s="24">
        <f t="shared" si="137"/>
        <v>9.3853292106132191E-2</v>
      </c>
      <c r="AG187" s="24">
        <f t="shared" si="138"/>
        <v>9.7900021465956874E-2</v>
      </c>
      <c r="AH187" s="24">
        <f t="shared" si="139"/>
        <v>0.10193521365369988</v>
      </c>
      <c r="AL187" s="23">
        <f t="shared" si="122"/>
        <v>0</v>
      </c>
      <c r="AM187" s="23">
        <f t="shared" si="123"/>
        <v>0</v>
      </c>
      <c r="AN187" s="23">
        <f t="shared" si="124"/>
        <v>0</v>
      </c>
      <c r="AO187" s="23">
        <f t="shared" si="125"/>
        <v>5082.8938436714589</v>
      </c>
      <c r="AP187" s="23">
        <f t="shared" si="126"/>
        <v>6597.3784857949122</v>
      </c>
      <c r="AQ187" s="23">
        <f t="shared" si="127"/>
        <v>8357.8938847917798</v>
      </c>
      <c r="AR187" s="23">
        <f t="shared" si="128"/>
        <v>9723.9853228162956</v>
      </c>
      <c r="AS187" s="23">
        <f t="shared" si="129"/>
        <v>10925.410315183068</v>
      </c>
      <c r="AT187" s="23">
        <f t="shared" si="130"/>
        <v>11941.07109232587</v>
      </c>
      <c r="AU187" s="23">
        <f t="shared" si="131"/>
        <v>12760.29423668916</v>
      </c>
      <c r="AW187" s="25"/>
      <c r="AX187" s="25"/>
      <c r="AY187" s="25"/>
      <c r="AZ187" s="25">
        <f t="shared" si="141"/>
        <v>65388.927181272542</v>
      </c>
      <c r="BA187" s="25">
        <f t="shared" si="142"/>
        <v>60306.033337601089</v>
      </c>
      <c r="BB187" s="25">
        <f t="shared" si="143"/>
        <v>53708.654851806168</v>
      </c>
      <c r="BC187" s="25">
        <f t="shared" si="144"/>
        <v>45350.760967014394</v>
      </c>
      <c r="BD187" s="25">
        <f t="shared" si="145"/>
        <v>35626.775644198096</v>
      </c>
      <c r="BE187" s="25">
        <f t="shared" si="146"/>
        <v>24701.365329015032</v>
      </c>
      <c r="BF187" s="25">
        <f t="shared" si="147"/>
        <v>12760.29423668916</v>
      </c>
      <c r="BG187" s="25">
        <f t="shared" si="148"/>
        <v>0</v>
      </c>
      <c r="BI187" s="25"/>
      <c r="BJ187" s="25"/>
      <c r="BK187" s="25"/>
      <c r="BL187" s="25">
        <f t="shared" si="151"/>
        <v>65388.927181272542</v>
      </c>
      <c r="BM187" s="25">
        <f t="shared" si="152"/>
        <v>60306.033337601089</v>
      </c>
      <c r="BN187" s="25">
        <f t="shared" si="153"/>
        <v>53708.654851806168</v>
      </c>
      <c r="BO187" s="25">
        <f t="shared" si="154"/>
        <v>45350.760967014394</v>
      </c>
      <c r="BP187" s="25">
        <f t="shared" si="155"/>
        <v>35626.775644198096</v>
      </c>
      <c r="BQ187" s="25">
        <f t="shared" si="156"/>
        <v>24701.365329015032</v>
      </c>
      <c r="BR187" s="25">
        <f t="shared" si="157"/>
        <v>12760.29423668916</v>
      </c>
      <c r="BS187" s="25">
        <f t="shared" si="158"/>
        <v>0</v>
      </c>
    </row>
    <row r="188" spans="1:71" x14ac:dyDescent="0.2">
      <c r="A188" s="29">
        <f t="shared" si="149"/>
        <v>1.8000000000000014</v>
      </c>
      <c r="B188" s="30">
        <v>6.3579964564728975E-2</v>
      </c>
      <c r="C188" s="30">
        <v>6.7372893240063764E-2</v>
      </c>
      <c r="D188" s="30">
        <v>7.0820593606579718E-2</v>
      </c>
      <c r="E188" s="30">
        <v>7.4201309999594081E-2</v>
      </c>
      <c r="F188" s="30">
        <v>7.7742452370752294E-2</v>
      </c>
      <c r="G188" s="30">
        <v>8.1485795490379487E-2</v>
      </c>
      <c r="H188" s="30">
        <v>8.5388847313467409E-2</v>
      </c>
      <c r="I188" s="30">
        <v>8.9394594953083897E-2</v>
      </c>
      <c r="J188" s="30">
        <v>9.3454447802252469E-2</v>
      </c>
      <c r="K188" s="30">
        <v>9.7531543537648507E-2</v>
      </c>
      <c r="L188" s="30">
        <v>0.10159782755751204</v>
      </c>
      <c r="N188" s="1"/>
      <c r="O188" s="1"/>
      <c r="P188" s="1"/>
      <c r="Q188" s="54">
        <f t="shared" si="164"/>
        <v>0.96357914140938983</v>
      </c>
      <c r="R188" s="1">
        <f t="shared" si="165"/>
        <v>0.92520267961817437</v>
      </c>
      <c r="S188" s="1">
        <f t="shared" si="159"/>
        <v>0.92174580270802042</v>
      </c>
      <c r="T188" s="62">
        <f t="shared" si="160"/>
        <v>0.87978011595051864</v>
      </c>
      <c r="U188" s="65">
        <f t="shared" si="161"/>
        <v>0.83628217754009415</v>
      </c>
      <c r="V188" s="67">
        <f t="shared" si="162"/>
        <v>0.79164982942245088</v>
      </c>
      <c r="W188" s="68">
        <f t="shared" si="163"/>
        <v>0.74632461653820603</v>
      </c>
      <c r="Y188" s="24"/>
      <c r="Z188" s="24"/>
      <c r="AA188" s="24"/>
      <c r="AB188" s="24">
        <f t="shared" si="133"/>
        <v>7.7742452370752294E-2</v>
      </c>
      <c r="AC188" s="24">
        <f t="shared" si="134"/>
        <v>8.1485795490379487E-2</v>
      </c>
      <c r="AD188" s="24">
        <f t="shared" si="135"/>
        <v>8.5388847313467409E-2</v>
      </c>
      <c r="AE188" s="24">
        <f t="shared" si="136"/>
        <v>8.9394594953083897E-2</v>
      </c>
      <c r="AF188" s="24">
        <f t="shared" si="137"/>
        <v>9.3454447802252469E-2</v>
      </c>
      <c r="AG188" s="24">
        <f t="shared" si="138"/>
        <v>9.7531543537648507E-2</v>
      </c>
      <c r="AH188" s="24">
        <f t="shared" si="139"/>
        <v>0.10159782755751204</v>
      </c>
      <c r="AL188" s="23">
        <f t="shared" si="122"/>
        <v>0</v>
      </c>
      <c r="AM188" s="23">
        <f t="shared" si="123"/>
        <v>0</v>
      </c>
      <c r="AN188" s="23">
        <f t="shared" si="124"/>
        <v>0</v>
      </c>
      <c r="AO188" s="23">
        <f t="shared" si="125"/>
        <v>4837.2079305603302</v>
      </c>
      <c r="AP188" s="23">
        <f t="shared" si="126"/>
        <v>6376.2320162767246</v>
      </c>
      <c r="AQ188" s="23">
        <f t="shared" si="127"/>
        <v>8151.2190280308214</v>
      </c>
      <c r="AR188" s="23">
        <f t="shared" si="128"/>
        <v>9542.1949644598571</v>
      </c>
      <c r="AS188" s="23">
        <f t="shared" si="129"/>
        <v>10768.002679435309</v>
      </c>
      <c r="AT188" s="23">
        <f t="shared" si="130"/>
        <v>11807.130856306967</v>
      </c>
      <c r="AU188" s="23">
        <f t="shared" si="131"/>
        <v>12648.507921922988</v>
      </c>
      <c r="AW188" s="25"/>
      <c r="AX188" s="25"/>
      <c r="AY188" s="25"/>
      <c r="AZ188" s="25">
        <f t="shared" si="141"/>
        <v>64130.495396992999</v>
      </c>
      <c r="BA188" s="25">
        <f t="shared" si="142"/>
        <v>59293.287466432666</v>
      </c>
      <c r="BB188" s="25">
        <f t="shared" si="143"/>
        <v>52917.055450155945</v>
      </c>
      <c r="BC188" s="25">
        <f t="shared" si="144"/>
        <v>44765.836422125125</v>
      </c>
      <c r="BD188" s="25">
        <f t="shared" si="145"/>
        <v>35223.641457665261</v>
      </c>
      <c r="BE188" s="25">
        <f t="shared" si="146"/>
        <v>24455.638778229957</v>
      </c>
      <c r="BF188" s="25">
        <f t="shared" si="147"/>
        <v>12648.507921922988</v>
      </c>
      <c r="BG188" s="25">
        <f t="shared" si="148"/>
        <v>0</v>
      </c>
      <c r="BI188" s="25"/>
      <c r="BJ188" s="25"/>
      <c r="BK188" s="25"/>
      <c r="BL188" s="25">
        <f t="shared" si="151"/>
        <v>64130.495396992999</v>
      </c>
      <c r="BM188" s="25">
        <f t="shared" si="152"/>
        <v>59293.287466432666</v>
      </c>
      <c r="BN188" s="25">
        <f t="shared" si="153"/>
        <v>52917.055450155945</v>
      </c>
      <c r="BO188" s="25">
        <f t="shared" si="154"/>
        <v>44765.836422125125</v>
      </c>
      <c r="BP188" s="25">
        <f t="shared" si="155"/>
        <v>35223.641457665261</v>
      </c>
      <c r="BQ188" s="25">
        <f t="shared" si="156"/>
        <v>24455.638778229957</v>
      </c>
      <c r="BR188" s="25">
        <f t="shared" si="157"/>
        <v>12648.507921922988</v>
      </c>
      <c r="BS188" s="25">
        <f t="shared" si="158"/>
        <v>0</v>
      </c>
    </row>
    <row r="189" spans="1:71" x14ac:dyDescent="0.2">
      <c r="A189" s="29">
        <f t="shared" si="149"/>
        <v>1.8100000000000014</v>
      </c>
      <c r="B189" s="30">
        <v>6.425580387161467E-2</v>
      </c>
      <c r="C189" s="30">
        <v>6.8176620203827587E-2</v>
      </c>
      <c r="D189" s="30">
        <v>7.1737388923209411E-2</v>
      </c>
      <c r="E189" s="30">
        <v>7.5216246730171979E-2</v>
      </c>
      <c r="F189" s="30">
        <v>7.8837797097439793E-2</v>
      </c>
      <c r="G189" s="30">
        <v>8.2643033357547732E-2</v>
      </c>
      <c r="H189" s="30">
        <v>8.6590075072630557E-2</v>
      </c>
      <c r="I189" s="30">
        <v>9.0622978354471223E-2</v>
      </c>
      <c r="J189" s="30">
        <v>9.4694286601935879E-2</v>
      </c>
      <c r="K189" s="30">
        <v>9.8768212287757506E-2</v>
      </c>
      <c r="L189" s="30">
        <v>0.1028177088743697</v>
      </c>
      <c r="N189" s="1"/>
      <c r="O189" s="1"/>
      <c r="P189" s="1"/>
      <c r="Q189" s="54">
        <f t="shared" si="164"/>
        <v>0.96309027952913306</v>
      </c>
      <c r="R189" s="1">
        <f t="shared" si="165"/>
        <v>0.92418981855921489</v>
      </c>
      <c r="S189" s="1">
        <f t="shared" si="159"/>
        <v>0.92067974052395996</v>
      </c>
      <c r="T189" s="62">
        <f t="shared" si="160"/>
        <v>0.87819631880897853</v>
      </c>
      <c r="U189" s="65">
        <f t="shared" si="161"/>
        <v>0.83423014895852987</v>
      </c>
      <c r="V189" s="67">
        <f t="shared" si="162"/>
        <v>0.78919983294913587</v>
      </c>
      <c r="W189" s="68">
        <f t="shared" si="163"/>
        <v>0.74356087746074395</v>
      </c>
      <c r="Y189" s="24"/>
      <c r="Z189" s="24"/>
      <c r="AA189" s="24"/>
      <c r="AB189" s="24">
        <f t="shared" si="133"/>
        <v>7.8837797097439793E-2</v>
      </c>
      <c r="AC189" s="24">
        <f t="shared" si="134"/>
        <v>8.2643033357547732E-2</v>
      </c>
      <c r="AD189" s="24">
        <f t="shared" si="135"/>
        <v>8.6590075072630557E-2</v>
      </c>
      <c r="AE189" s="24">
        <f t="shared" si="136"/>
        <v>9.0622978354471223E-2</v>
      </c>
      <c r="AF189" s="24">
        <f t="shared" si="137"/>
        <v>9.4694286601935879E-2</v>
      </c>
      <c r="AG189" s="24">
        <f t="shared" si="138"/>
        <v>9.8768212287757506E-2</v>
      </c>
      <c r="AH189" s="24">
        <f t="shared" si="139"/>
        <v>0.1028177088743697</v>
      </c>
      <c r="AL189" s="23">
        <f t="shared" si="122"/>
        <v>0</v>
      </c>
      <c r="AM189" s="23">
        <f t="shared" si="123"/>
        <v>0</v>
      </c>
      <c r="AN189" s="23">
        <f t="shared" si="124"/>
        <v>0</v>
      </c>
      <c r="AO189" s="23">
        <f t="shared" si="125"/>
        <v>5362.2117528059243</v>
      </c>
      <c r="AP189" s="23">
        <f t="shared" si="126"/>
        <v>6904.0053950474485</v>
      </c>
      <c r="AQ189" s="23">
        <f t="shared" si="127"/>
        <v>8694.7646154655886</v>
      </c>
      <c r="AR189" s="23">
        <f t="shared" si="128"/>
        <v>10064.397811544673</v>
      </c>
      <c r="AS189" s="23">
        <f t="shared" si="129"/>
        <v>11258.736130830661</v>
      </c>
      <c r="AT189" s="23">
        <f t="shared" si="130"/>
        <v>12258.579554393131</v>
      </c>
      <c r="AU189" s="23">
        <f t="shared" si="131"/>
        <v>13055.1968300632</v>
      </c>
      <c r="AW189" s="25"/>
      <c r="AX189" s="25"/>
      <c r="AY189" s="25"/>
      <c r="AZ189" s="25">
        <f t="shared" si="141"/>
        <v>67597.892090150621</v>
      </c>
      <c r="BA189" s="25">
        <f t="shared" si="142"/>
        <v>62235.680337344704</v>
      </c>
      <c r="BB189" s="25">
        <f t="shared" si="143"/>
        <v>55331.67494229725</v>
      </c>
      <c r="BC189" s="25">
        <f t="shared" si="144"/>
        <v>46636.910326831668</v>
      </c>
      <c r="BD189" s="25">
        <f t="shared" si="145"/>
        <v>36572.512515286988</v>
      </c>
      <c r="BE189" s="25">
        <f t="shared" si="146"/>
        <v>25313.776384456331</v>
      </c>
      <c r="BF189" s="25">
        <f t="shared" si="147"/>
        <v>13055.1968300632</v>
      </c>
      <c r="BG189" s="25">
        <f t="shared" si="148"/>
        <v>0</v>
      </c>
      <c r="BI189" s="25"/>
      <c r="BJ189" s="25"/>
      <c r="BK189" s="25"/>
      <c r="BL189" s="25">
        <f t="shared" si="151"/>
        <v>67597.892090150621</v>
      </c>
      <c r="BM189" s="25">
        <f t="shared" si="152"/>
        <v>62235.680337344704</v>
      </c>
      <c r="BN189" s="25">
        <f t="shared" si="153"/>
        <v>55331.67494229725</v>
      </c>
      <c r="BO189" s="25">
        <f t="shared" si="154"/>
        <v>46636.910326831668</v>
      </c>
      <c r="BP189" s="25">
        <f t="shared" si="155"/>
        <v>36572.512515286988</v>
      </c>
      <c r="BQ189" s="25">
        <f t="shared" si="156"/>
        <v>25313.776384456331</v>
      </c>
      <c r="BR189" s="25">
        <f t="shared" si="157"/>
        <v>13055.1968300632</v>
      </c>
      <c r="BS189" s="25">
        <f t="shared" si="158"/>
        <v>0</v>
      </c>
    </row>
    <row r="190" spans="1:71" x14ac:dyDescent="0.2">
      <c r="A190" s="29">
        <f t="shared" si="149"/>
        <v>1.8200000000000014</v>
      </c>
      <c r="B190" s="30">
        <v>6.5524318913322624E-2</v>
      </c>
      <c r="C190" s="30">
        <v>6.9295923885905469E-2</v>
      </c>
      <c r="D190" s="30">
        <v>7.2723437610994188E-2</v>
      </c>
      <c r="E190" s="30">
        <v>7.6083603004518718E-2</v>
      </c>
      <c r="F190" s="30">
        <v>7.9597025388408973E-2</v>
      </c>
      <c r="G190" s="30">
        <v>8.3302712345612095E-2</v>
      </c>
      <c r="H190" s="30">
        <v>8.7158172020541061E-2</v>
      </c>
      <c r="I190" s="30">
        <v>9.1107298651140256E-2</v>
      </c>
      <c r="J190" s="30">
        <v>9.5102536285226566E-2</v>
      </c>
      <c r="K190" s="30">
        <v>9.9107938684257116E-2</v>
      </c>
      <c r="L190" s="30">
        <v>0.1030962343248653</v>
      </c>
      <c r="N190" s="1"/>
      <c r="O190" s="1"/>
      <c r="P190" s="1"/>
      <c r="Q190" s="54">
        <f t="shared" si="164"/>
        <v>0.96267269888511975</v>
      </c>
      <c r="R190" s="1">
        <f t="shared" si="165"/>
        <v>0.92348841379959989</v>
      </c>
      <c r="S190" s="1">
        <f t="shared" si="159"/>
        <v>0.92007258772938849</v>
      </c>
      <c r="T190" s="62">
        <f t="shared" si="160"/>
        <v>0.87744828659778362</v>
      </c>
      <c r="U190" s="65">
        <f t="shared" si="161"/>
        <v>0.83342247101003708</v>
      </c>
      <c r="V190" s="67">
        <f t="shared" si="162"/>
        <v>0.78839476739907899</v>
      </c>
      <c r="W190" s="68">
        <f t="shared" si="163"/>
        <v>0.74280344173523893</v>
      </c>
      <c r="Y190" s="24"/>
      <c r="Z190" s="24"/>
      <c r="AA190" s="24"/>
      <c r="AB190" s="24">
        <f t="shared" si="133"/>
        <v>7.9597025388408973E-2</v>
      </c>
      <c r="AC190" s="24">
        <f t="shared" si="134"/>
        <v>8.3302712345612095E-2</v>
      </c>
      <c r="AD190" s="24">
        <f t="shared" si="135"/>
        <v>8.7158172020541061E-2</v>
      </c>
      <c r="AE190" s="24">
        <f t="shared" si="136"/>
        <v>9.1107298651140242E-2</v>
      </c>
      <c r="AF190" s="24">
        <f t="shared" si="137"/>
        <v>9.5102536285226566E-2</v>
      </c>
      <c r="AG190" s="24">
        <f t="shared" si="138"/>
        <v>9.9107938684257116E-2</v>
      </c>
      <c r="AH190" s="24">
        <f t="shared" si="139"/>
        <v>0.1030962343248653</v>
      </c>
      <c r="AL190" s="23">
        <f t="shared" si="122"/>
        <v>0</v>
      </c>
      <c r="AM190" s="23">
        <f t="shared" si="123"/>
        <v>0</v>
      </c>
      <c r="AN190" s="23">
        <f t="shared" si="124"/>
        <v>0</v>
      </c>
      <c r="AO190" s="23">
        <f t="shared" si="125"/>
        <v>5725.3309569511875</v>
      </c>
      <c r="AP190" s="23">
        <f t="shared" si="126"/>
        <v>7203.3686193089061</v>
      </c>
      <c r="AQ190" s="23">
        <f t="shared" si="127"/>
        <v>8950.3759678772913</v>
      </c>
      <c r="AR190" s="23">
        <f t="shared" si="128"/>
        <v>10268.308141366773</v>
      </c>
      <c r="AS190" s="23">
        <f t="shared" si="129"/>
        <v>11417.957972035034</v>
      </c>
      <c r="AT190" s="23">
        <f t="shared" si="130"/>
        <v>12379.9937905641</v>
      </c>
      <c r="AU190" s="23">
        <f t="shared" si="131"/>
        <v>13145.342854843424</v>
      </c>
      <c r="AW190" s="25"/>
      <c r="AX190" s="25"/>
      <c r="AY190" s="25"/>
      <c r="AZ190" s="25">
        <f t="shared" si="141"/>
        <v>69090.678302946704</v>
      </c>
      <c r="BA190" s="25">
        <f t="shared" si="142"/>
        <v>63365.34734599552</v>
      </c>
      <c r="BB190" s="25">
        <f t="shared" si="143"/>
        <v>56161.978726686626</v>
      </c>
      <c r="BC190" s="25">
        <f t="shared" si="144"/>
        <v>47211.602758809327</v>
      </c>
      <c r="BD190" s="25">
        <f t="shared" si="145"/>
        <v>36943.29461744256</v>
      </c>
      <c r="BE190" s="25">
        <f t="shared" si="146"/>
        <v>25525.336645407522</v>
      </c>
      <c r="BF190" s="25">
        <f t="shared" si="147"/>
        <v>13145.342854843424</v>
      </c>
      <c r="BG190" s="25">
        <f t="shared" si="148"/>
        <v>0</v>
      </c>
      <c r="BI190" s="25"/>
      <c r="BJ190" s="25"/>
      <c r="BK190" s="25"/>
      <c r="BL190" s="25">
        <f t="shared" si="151"/>
        <v>69090.678302946704</v>
      </c>
      <c r="BM190" s="25">
        <f t="shared" si="152"/>
        <v>63365.34734599552</v>
      </c>
      <c r="BN190" s="25">
        <f t="shared" si="153"/>
        <v>56161.978726686626</v>
      </c>
      <c r="BO190" s="25">
        <f t="shared" si="154"/>
        <v>47211.602758809327</v>
      </c>
      <c r="BP190" s="25">
        <f t="shared" si="155"/>
        <v>36943.29461744256</v>
      </c>
      <c r="BQ190" s="25">
        <f t="shared" si="156"/>
        <v>25525.336645407522</v>
      </c>
      <c r="BR190" s="25">
        <f t="shared" si="157"/>
        <v>13145.342854843424</v>
      </c>
      <c r="BS190" s="25">
        <f t="shared" si="158"/>
        <v>0</v>
      </c>
    </row>
    <row r="191" spans="1:71" x14ac:dyDescent="0.2">
      <c r="A191" s="29">
        <f t="shared" si="149"/>
        <v>1.8300000000000014</v>
      </c>
      <c r="B191" s="30">
        <v>6.6871267250146124E-2</v>
      </c>
      <c r="C191" s="30">
        <v>7.0606679945354106E-2</v>
      </c>
      <c r="D191" s="30">
        <v>7.4000040512647788E-2</v>
      </c>
      <c r="E191" s="30">
        <v>7.7327223242874513E-2</v>
      </c>
      <c r="F191" s="30">
        <v>8.0805452801919295E-2</v>
      </c>
      <c r="G191" s="30">
        <v>8.44723557565044E-2</v>
      </c>
      <c r="H191" s="30">
        <v>8.8285415070924286E-2</v>
      </c>
      <c r="I191" s="30">
        <v>9.2188941606466068E-2</v>
      </c>
      <c r="J191" s="30">
        <v>9.6135856119418439E-2</v>
      </c>
      <c r="K191" s="30">
        <v>0.10009062958119767</v>
      </c>
      <c r="L191" s="30">
        <v>0.10402634185979684</v>
      </c>
      <c r="N191" s="1"/>
      <c r="O191" s="1"/>
      <c r="P191" s="1"/>
      <c r="Q191" s="54">
        <f t="shared" si="164"/>
        <v>0.96207428532858041</v>
      </c>
      <c r="R191" s="1">
        <f t="shared" si="165"/>
        <v>0.92237311909637387</v>
      </c>
      <c r="S191" s="1">
        <f t="shared" si="159"/>
        <v>0.91899706000418269</v>
      </c>
      <c r="T191" s="62">
        <f t="shared" si="160"/>
        <v>0.87596589398883429</v>
      </c>
      <c r="U191" s="65">
        <f t="shared" si="161"/>
        <v>0.83162148864312435</v>
      </c>
      <c r="V191" s="67">
        <f t="shared" si="162"/>
        <v>0.78636073591077782</v>
      </c>
      <c r="W191" s="68">
        <f t="shared" si="163"/>
        <v>0.74061682792591821</v>
      </c>
      <c r="Y191" s="24"/>
      <c r="Z191" s="24"/>
      <c r="AA191" s="24"/>
      <c r="AB191" s="24">
        <f t="shared" si="133"/>
        <v>8.0805452801919295E-2</v>
      </c>
      <c r="AC191" s="24">
        <f t="shared" si="134"/>
        <v>8.44723557565044E-2</v>
      </c>
      <c r="AD191" s="24">
        <f t="shared" si="135"/>
        <v>8.8285415070924286E-2</v>
      </c>
      <c r="AE191" s="24">
        <f t="shared" si="136"/>
        <v>9.2188941606466068E-2</v>
      </c>
      <c r="AF191" s="24">
        <f t="shared" si="137"/>
        <v>9.6135856119418439E-2</v>
      </c>
      <c r="AG191" s="24">
        <f t="shared" si="138"/>
        <v>0.10009062958119767</v>
      </c>
      <c r="AH191" s="24">
        <f t="shared" si="139"/>
        <v>0.10402634185979684</v>
      </c>
      <c r="AL191" s="23">
        <f t="shared" si="122"/>
        <v>0</v>
      </c>
      <c r="AM191" s="23">
        <f t="shared" si="123"/>
        <v>0</v>
      </c>
      <c r="AN191" s="23">
        <f t="shared" si="124"/>
        <v>0</v>
      </c>
      <c r="AO191" s="23">
        <f t="shared" si="125"/>
        <v>6303.0704649527152</v>
      </c>
      <c r="AP191" s="23">
        <f t="shared" si="126"/>
        <v>7734.0929491775178</v>
      </c>
      <c r="AQ191" s="23">
        <f t="shared" si="127"/>
        <v>9457.879864172548</v>
      </c>
      <c r="AR191" s="23">
        <f t="shared" si="128"/>
        <v>10724.701662443729</v>
      </c>
      <c r="AS191" s="23">
        <f t="shared" si="129"/>
        <v>11822.949851461966</v>
      </c>
      <c r="AT191" s="23">
        <f t="shared" si="130"/>
        <v>12734.428599187118</v>
      </c>
      <c r="AU191" s="23">
        <f t="shared" si="131"/>
        <v>13451.073142502071</v>
      </c>
      <c r="AW191" s="25"/>
      <c r="AX191" s="25"/>
      <c r="AY191" s="25"/>
      <c r="AZ191" s="25">
        <f t="shared" si="141"/>
        <v>72228.196533897659</v>
      </c>
      <c r="BA191" s="25">
        <f t="shared" si="142"/>
        <v>65925.126068944955</v>
      </c>
      <c r="BB191" s="25">
        <f t="shared" si="143"/>
        <v>58191.033119767431</v>
      </c>
      <c r="BC191" s="25">
        <f t="shared" si="144"/>
        <v>48733.153255594887</v>
      </c>
      <c r="BD191" s="25">
        <f t="shared" si="145"/>
        <v>38008.451593151156</v>
      </c>
      <c r="BE191" s="25">
        <f t="shared" si="146"/>
        <v>26185.50174168919</v>
      </c>
      <c r="BF191" s="25">
        <f t="shared" si="147"/>
        <v>13451.073142502071</v>
      </c>
      <c r="BG191" s="25">
        <f t="shared" si="148"/>
        <v>0</v>
      </c>
      <c r="BI191" s="25"/>
      <c r="BJ191" s="25"/>
      <c r="BK191" s="25"/>
      <c r="BL191" s="25">
        <f t="shared" si="151"/>
        <v>72228.196533897659</v>
      </c>
      <c r="BM191" s="25">
        <f t="shared" si="152"/>
        <v>65925.126068944955</v>
      </c>
      <c r="BN191" s="25">
        <f t="shared" si="153"/>
        <v>58191.033119767431</v>
      </c>
      <c r="BO191" s="25">
        <f t="shared" si="154"/>
        <v>48733.153255594887</v>
      </c>
      <c r="BP191" s="25">
        <f t="shared" si="155"/>
        <v>38008.451593151156</v>
      </c>
      <c r="BQ191" s="25">
        <f t="shared" si="156"/>
        <v>26185.50174168919</v>
      </c>
      <c r="BR191" s="25">
        <f t="shared" si="157"/>
        <v>13451.073142502071</v>
      </c>
      <c r="BS191" s="25">
        <f t="shared" si="158"/>
        <v>0</v>
      </c>
    </row>
    <row r="192" spans="1:71" x14ac:dyDescent="0.2">
      <c r="A192" s="29">
        <f t="shared" si="149"/>
        <v>1.8400000000000014</v>
      </c>
      <c r="B192" s="30">
        <v>6.6673245339042772E-2</v>
      </c>
      <c r="C192" s="30">
        <v>7.0503365328578399E-2</v>
      </c>
      <c r="D192" s="30">
        <v>7.3994563764049004E-2</v>
      </c>
      <c r="E192" s="30">
        <v>7.7421507332702269E-2</v>
      </c>
      <c r="F192" s="30">
        <v>8.0997791299276992E-2</v>
      </c>
      <c r="G192" s="30">
        <v>8.4759399593094864E-2</v>
      </c>
      <c r="H192" s="30">
        <v>8.8663510096503251E-2</v>
      </c>
      <c r="I192" s="30">
        <v>9.2654562757936834E-2</v>
      </c>
      <c r="J192" s="30">
        <v>9.6685665114288E-2</v>
      </c>
      <c r="K192" s="30">
        <v>0.10072141529266249</v>
      </c>
      <c r="L192" s="30">
        <v>0.10473495495263363</v>
      </c>
      <c r="N192" s="1"/>
      <c r="O192" s="1"/>
      <c r="P192" s="1"/>
      <c r="Q192" s="54">
        <f t="shared" si="164"/>
        <v>0.96202893224843788</v>
      </c>
      <c r="R192" s="1">
        <f t="shared" si="165"/>
        <v>0.92219572829673047</v>
      </c>
      <c r="S192" s="1">
        <f t="shared" si="159"/>
        <v>0.91873330541863885</v>
      </c>
      <c r="T192" s="62">
        <f t="shared" si="160"/>
        <v>0.87546923731906789</v>
      </c>
      <c r="U192" s="65">
        <f t="shared" si="161"/>
        <v>0.83084740801711809</v>
      </c>
      <c r="V192" s="67">
        <f t="shared" si="162"/>
        <v>0.7852806078964184</v>
      </c>
      <c r="W192" s="68">
        <f t="shared" si="163"/>
        <v>0.73921664163184231</v>
      </c>
      <c r="Y192" s="24"/>
      <c r="Z192" s="24"/>
      <c r="AA192" s="24"/>
      <c r="AB192" s="24">
        <f t="shared" si="133"/>
        <v>8.0997791299276992E-2</v>
      </c>
      <c r="AC192" s="24">
        <f t="shared" si="134"/>
        <v>8.4759399593094864E-2</v>
      </c>
      <c r="AD192" s="24">
        <f t="shared" si="135"/>
        <v>8.8663510096503251E-2</v>
      </c>
      <c r="AE192" s="24">
        <f t="shared" si="136"/>
        <v>9.2654562757936834E-2</v>
      </c>
      <c r="AF192" s="24">
        <f t="shared" si="137"/>
        <v>9.6685665114288E-2</v>
      </c>
      <c r="AG192" s="24">
        <f t="shared" si="138"/>
        <v>0.10072141529266249</v>
      </c>
      <c r="AH192" s="24">
        <f t="shared" si="139"/>
        <v>0.10473495495263363</v>
      </c>
      <c r="AL192" s="23">
        <f t="shared" si="122"/>
        <v>0</v>
      </c>
      <c r="AM192" s="23">
        <f t="shared" si="123"/>
        <v>0</v>
      </c>
      <c r="AN192" s="23">
        <f t="shared" si="124"/>
        <v>0</v>
      </c>
      <c r="AO192" s="23">
        <f t="shared" si="125"/>
        <v>6395.2909319471837</v>
      </c>
      <c r="AP192" s="23">
        <f t="shared" si="126"/>
        <v>7864.9608283787857</v>
      </c>
      <c r="AQ192" s="23">
        <f t="shared" si="127"/>
        <v>9628.8496739563543</v>
      </c>
      <c r="AR192" s="23">
        <f t="shared" si="128"/>
        <v>10922.43944957617</v>
      </c>
      <c r="AS192" s="23">
        <f t="shared" si="129"/>
        <v>12040.348634473032</v>
      </c>
      <c r="AT192" s="23">
        <f t="shared" si="130"/>
        <v>12964.608758336986</v>
      </c>
      <c r="AU192" s="23">
        <f t="shared" si="131"/>
        <v>13687.55227269323</v>
      </c>
      <c r="AW192" s="25"/>
      <c r="AX192" s="25"/>
      <c r="AY192" s="25"/>
      <c r="AZ192" s="25">
        <f t="shared" si="141"/>
        <v>73504.050549361753</v>
      </c>
      <c r="BA192" s="25">
        <f t="shared" si="142"/>
        <v>67108.759617414558</v>
      </c>
      <c r="BB192" s="25">
        <f t="shared" si="143"/>
        <v>59243.798789035776</v>
      </c>
      <c r="BC192" s="25">
        <f t="shared" si="144"/>
        <v>49614.94911507942</v>
      </c>
      <c r="BD192" s="25">
        <f t="shared" si="145"/>
        <v>38692.509665503247</v>
      </c>
      <c r="BE192" s="25">
        <f t="shared" si="146"/>
        <v>26652.161031030217</v>
      </c>
      <c r="BF192" s="25">
        <f t="shared" si="147"/>
        <v>13687.55227269323</v>
      </c>
      <c r="BG192" s="25">
        <f t="shared" si="148"/>
        <v>0</v>
      </c>
      <c r="BI192" s="25"/>
      <c r="BJ192" s="25"/>
      <c r="BK192" s="25"/>
      <c r="BL192" s="25">
        <f t="shared" si="151"/>
        <v>73504.050549361753</v>
      </c>
      <c r="BM192" s="25">
        <f t="shared" si="152"/>
        <v>67108.759617414558</v>
      </c>
      <c r="BN192" s="25">
        <f t="shared" si="153"/>
        <v>59243.798789035776</v>
      </c>
      <c r="BO192" s="25">
        <f t="shared" si="154"/>
        <v>49614.94911507942</v>
      </c>
      <c r="BP192" s="25">
        <f t="shared" si="155"/>
        <v>38692.509665503247</v>
      </c>
      <c r="BQ192" s="25">
        <f t="shared" si="156"/>
        <v>26652.161031030217</v>
      </c>
      <c r="BR192" s="25">
        <f t="shared" si="157"/>
        <v>13687.55227269323</v>
      </c>
      <c r="BS192" s="25">
        <f t="shared" si="158"/>
        <v>0</v>
      </c>
    </row>
    <row r="193" spans="1:71" x14ac:dyDescent="0.2">
      <c r="A193" s="29">
        <f t="shared" si="149"/>
        <v>1.8500000000000014</v>
      </c>
      <c r="B193" s="30">
        <v>6.6455214033454876E-2</v>
      </c>
      <c r="C193" s="30">
        <v>7.0338202519546131E-2</v>
      </c>
      <c r="D193" s="30">
        <v>7.3885275773276735E-2</v>
      </c>
      <c r="E193" s="30">
        <v>7.736992271210695E-2</v>
      </c>
      <c r="F193" s="30">
        <v>8.1002227204667335E-2</v>
      </c>
      <c r="G193" s="30">
        <v>8.4816635563751172E-2</v>
      </c>
      <c r="H193" s="30">
        <v>8.8770107542903792E-2</v>
      </c>
      <c r="I193" s="30">
        <v>9.2807291601339645E-2</v>
      </c>
      <c r="J193" s="30">
        <v>9.6881559133819656E-2</v>
      </c>
      <c r="K193" s="30">
        <v>0.10095771238561992</v>
      </c>
      <c r="L193" s="30">
        <v>0.1050090322234124</v>
      </c>
      <c r="N193" s="1"/>
      <c r="O193" s="1"/>
      <c r="P193" s="1"/>
      <c r="Q193" s="54">
        <f t="shared" si="164"/>
        <v>0.96205374551716816</v>
      </c>
      <c r="R193" s="1">
        <f t="shared" si="165"/>
        <v>0.92219163753280153</v>
      </c>
      <c r="S193" s="1">
        <f t="shared" si="159"/>
        <v>0.91868072233096532</v>
      </c>
      <c r="T193" s="62">
        <f t="shared" si="160"/>
        <v>0.87532926433228775</v>
      </c>
      <c r="U193" s="65">
        <f t="shared" si="161"/>
        <v>0.83059365804668928</v>
      </c>
      <c r="V193" s="67">
        <f t="shared" si="162"/>
        <v>0.78489612261520925</v>
      </c>
      <c r="W193" s="68">
        <f t="shared" si="163"/>
        <v>0.73869280309561403</v>
      </c>
      <c r="Y193" s="24"/>
      <c r="Z193" s="24"/>
      <c r="AA193" s="24"/>
      <c r="AB193" s="24">
        <f t="shared" si="133"/>
        <v>8.1002227204667335E-2</v>
      </c>
      <c r="AC193" s="24">
        <f t="shared" si="134"/>
        <v>8.4816635563751172E-2</v>
      </c>
      <c r="AD193" s="24">
        <f t="shared" si="135"/>
        <v>8.8770107542903778E-2</v>
      </c>
      <c r="AE193" s="24">
        <f t="shared" si="136"/>
        <v>9.2807291601339645E-2</v>
      </c>
      <c r="AF193" s="24">
        <f t="shared" si="137"/>
        <v>9.6881559133819656E-2</v>
      </c>
      <c r="AG193" s="24">
        <f t="shared" si="138"/>
        <v>0.10095771238561992</v>
      </c>
      <c r="AH193" s="24">
        <f t="shared" si="139"/>
        <v>0.1050090322234124</v>
      </c>
      <c r="AL193" s="23">
        <f t="shared" si="122"/>
        <v>0</v>
      </c>
      <c r="AM193" s="23">
        <f t="shared" si="123"/>
        <v>0</v>
      </c>
      <c r="AN193" s="23">
        <f t="shared" si="124"/>
        <v>0</v>
      </c>
      <c r="AO193" s="23">
        <f t="shared" si="125"/>
        <v>6397.589673100344</v>
      </c>
      <c r="AP193" s="23">
        <f t="shared" si="126"/>
        <v>7891.3172069866923</v>
      </c>
      <c r="AQ193" s="23">
        <f t="shared" si="127"/>
        <v>9677.2630826994427</v>
      </c>
      <c r="AR193" s="23">
        <f t="shared" si="128"/>
        <v>10987.537146032926</v>
      </c>
      <c r="AS193" s="23">
        <f t="shared" si="129"/>
        <v>12118.025544218501</v>
      </c>
      <c r="AT193" s="23">
        <f t="shared" si="130"/>
        <v>13050.995425522264</v>
      </c>
      <c r="AU193" s="23">
        <f t="shared" si="131"/>
        <v>13779.0821783349</v>
      </c>
      <c r="AW193" s="25"/>
      <c r="AX193" s="25"/>
      <c r="AY193" s="25"/>
      <c r="AZ193" s="25">
        <f t="shared" si="141"/>
        <v>73901.810256895071</v>
      </c>
      <c r="BA193" s="25">
        <f t="shared" si="142"/>
        <v>67504.220583794726</v>
      </c>
      <c r="BB193" s="25">
        <f t="shared" si="143"/>
        <v>59612.903376808033</v>
      </c>
      <c r="BC193" s="25">
        <f t="shared" si="144"/>
        <v>49935.640294108591</v>
      </c>
      <c r="BD193" s="25">
        <f t="shared" si="145"/>
        <v>38948.103148075665</v>
      </c>
      <c r="BE193" s="25">
        <f t="shared" si="146"/>
        <v>26830.077603857164</v>
      </c>
      <c r="BF193" s="25">
        <f t="shared" si="147"/>
        <v>13779.0821783349</v>
      </c>
      <c r="BG193" s="25">
        <f t="shared" si="148"/>
        <v>0</v>
      </c>
      <c r="BI193" s="25"/>
      <c r="BJ193" s="25"/>
      <c r="BK193" s="25"/>
      <c r="BL193" s="25">
        <f t="shared" si="151"/>
        <v>73901.810256895071</v>
      </c>
      <c r="BM193" s="25">
        <f t="shared" si="152"/>
        <v>67504.220583794726</v>
      </c>
      <c r="BN193" s="25">
        <f t="shared" si="153"/>
        <v>59612.903376808033</v>
      </c>
      <c r="BO193" s="25">
        <f t="shared" si="154"/>
        <v>49935.640294108591</v>
      </c>
      <c r="BP193" s="25">
        <f t="shared" si="155"/>
        <v>38948.103148075665</v>
      </c>
      <c r="BQ193" s="25">
        <f t="shared" si="156"/>
        <v>26830.077603857164</v>
      </c>
      <c r="BR193" s="25">
        <f t="shared" si="157"/>
        <v>13779.0821783349</v>
      </c>
      <c r="BS193" s="25">
        <f t="shared" si="158"/>
        <v>0</v>
      </c>
    </row>
    <row r="194" spans="1:71" x14ac:dyDescent="0.2">
      <c r="A194" s="29">
        <f t="shared" si="149"/>
        <v>1.8600000000000014</v>
      </c>
      <c r="B194" s="30">
        <v>6.6799192454119125E-2</v>
      </c>
      <c r="C194" s="30">
        <v>7.063571470348963E-2</v>
      </c>
      <c r="D194" s="30">
        <v>7.4145076395694703E-2</v>
      </c>
      <c r="E194" s="30">
        <v>7.7599393318423082E-2</v>
      </c>
      <c r="F194" s="30">
        <v>8.1205128732331114E-2</v>
      </c>
      <c r="G194" s="30">
        <v>8.4995069035980572E-2</v>
      </c>
      <c r="H194" s="30">
        <v>8.892581569944874E-2</v>
      </c>
      <c r="I194" s="30">
        <v>9.2942078112214013E-2</v>
      </c>
      <c r="J194" s="30">
        <v>9.6997341644654275E-2</v>
      </c>
      <c r="K194" s="30">
        <v>0.10105646267453693</v>
      </c>
      <c r="L194" s="30">
        <v>0.10509271174151946</v>
      </c>
      <c r="N194" s="1"/>
      <c r="O194" s="1"/>
      <c r="P194" s="1"/>
      <c r="Q194" s="54">
        <f t="shared" si="164"/>
        <v>0.96194337032110877</v>
      </c>
      <c r="R194" s="1">
        <f t="shared" si="165"/>
        <v>0.9220045424223311</v>
      </c>
      <c r="S194" s="1">
        <f t="shared" si="159"/>
        <v>0.91851681356364967</v>
      </c>
      <c r="T194" s="62">
        <f t="shared" si="160"/>
        <v>0.87512484434643278</v>
      </c>
      <c r="U194" s="65">
        <f t="shared" si="161"/>
        <v>0.83036978258119287</v>
      </c>
      <c r="V194" s="67">
        <f t="shared" si="162"/>
        <v>0.78466896238372086</v>
      </c>
      <c r="W194" s="68">
        <f t="shared" si="163"/>
        <v>0.7384739971247638</v>
      </c>
      <c r="Y194" s="24"/>
      <c r="Z194" s="24"/>
      <c r="AA194" s="24"/>
      <c r="AB194" s="24">
        <f t="shared" si="133"/>
        <v>8.1205128732331114E-2</v>
      </c>
      <c r="AC194" s="24">
        <f t="shared" si="134"/>
        <v>8.4995069035980572E-2</v>
      </c>
      <c r="AD194" s="24">
        <f t="shared" si="135"/>
        <v>8.892581569944874E-2</v>
      </c>
      <c r="AE194" s="24">
        <f t="shared" si="136"/>
        <v>9.2942078112214013E-2</v>
      </c>
      <c r="AF194" s="24">
        <f t="shared" si="137"/>
        <v>9.6997341644654275E-2</v>
      </c>
      <c r="AG194" s="24">
        <f t="shared" si="138"/>
        <v>0.10105646267453693</v>
      </c>
      <c r="AH194" s="24">
        <f t="shared" si="139"/>
        <v>0.10509271174151946</v>
      </c>
      <c r="AL194" s="23">
        <f t="shared" si="122"/>
        <v>0</v>
      </c>
      <c r="AM194" s="23">
        <f t="shared" si="123"/>
        <v>0</v>
      </c>
      <c r="AN194" s="23">
        <f t="shared" si="124"/>
        <v>0</v>
      </c>
      <c r="AO194" s="23">
        <f t="shared" si="125"/>
        <v>6494.4455754997507</v>
      </c>
      <c r="AP194" s="23">
        <f t="shared" si="126"/>
        <v>7971.9744450559147</v>
      </c>
      <c r="AQ194" s="23">
        <f t="shared" si="127"/>
        <v>9747.0467689893194</v>
      </c>
      <c r="AR194" s="23">
        <f t="shared" si="128"/>
        <v>11043.948684145407</v>
      </c>
      <c r="AS194" s="23">
        <f t="shared" si="129"/>
        <v>12162.830440895697</v>
      </c>
      <c r="AT194" s="23">
        <f t="shared" si="130"/>
        <v>13085.961423029579</v>
      </c>
      <c r="AU194" s="23">
        <f t="shared" si="131"/>
        <v>13805.898292001479</v>
      </c>
      <c r="AW194" s="25"/>
      <c r="AX194" s="25"/>
      <c r="AY194" s="25"/>
      <c r="AZ194" s="25">
        <f t="shared" si="141"/>
        <v>74312.105629617145</v>
      </c>
      <c r="BA194" s="25">
        <f t="shared" si="142"/>
        <v>67817.660054117398</v>
      </c>
      <c r="BB194" s="25">
        <f t="shared" si="143"/>
        <v>59845.685609061475</v>
      </c>
      <c r="BC194" s="25">
        <f t="shared" si="144"/>
        <v>50098.638840072163</v>
      </c>
      <c r="BD194" s="25">
        <f t="shared" si="145"/>
        <v>39054.690155926757</v>
      </c>
      <c r="BE194" s="25">
        <f t="shared" si="146"/>
        <v>26891.85971503106</v>
      </c>
      <c r="BF194" s="25">
        <f t="shared" si="147"/>
        <v>13805.898292001479</v>
      </c>
      <c r="BG194" s="25">
        <f t="shared" si="148"/>
        <v>0</v>
      </c>
      <c r="BI194" s="25"/>
      <c r="BJ194" s="25"/>
      <c r="BK194" s="25"/>
      <c r="BL194" s="25">
        <f t="shared" si="151"/>
        <v>74312.105629617145</v>
      </c>
      <c r="BM194" s="25">
        <f t="shared" si="152"/>
        <v>67817.660054117398</v>
      </c>
      <c r="BN194" s="25">
        <f t="shared" si="153"/>
        <v>59845.685609061475</v>
      </c>
      <c r="BO194" s="25">
        <f t="shared" si="154"/>
        <v>50098.638840072163</v>
      </c>
      <c r="BP194" s="25">
        <f t="shared" si="155"/>
        <v>39054.690155926757</v>
      </c>
      <c r="BQ194" s="25">
        <f t="shared" si="156"/>
        <v>26891.85971503106</v>
      </c>
      <c r="BR194" s="25">
        <f t="shared" si="157"/>
        <v>13805.898292001479</v>
      </c>
      <c r="BS194" s="25">
        <f t="shared" si="158"/>
        <v>0</v>
      </c>
    </row>
    <row r="195" spans="1:71" x14ac:dyDescent="0.2">
      <c r="A195" s="29">
        <f t="shared" si="149"/>
        <v>1.8700000000000014</v>
      </c>
      <c r="B195" s="30">
        <v>6.7372580472179172E-2</v>
      </c>
      <c r="C195" s="30">
        <v>7.0913524802296873E-2</v>
      </c>
      <c r="D195" s="30">
        <v>7.4164664165905711E-2</v>
      </c>
      <c r="E195" s="30">
        <v>7.7395535949762534E-2</v>
      </c>
      <c r="F195" s="30">
        <v>8.080786169882799E-2</v>
      </c>
      <c r="G195" s="30">
        <v>8.4431633608451309E-2</v>
      </c>
      <c r="H195" s="30">
        <v>8.822194292792003E-2</v>
      </c>
      <c r="I195" s="30">
        <v>9.2122400716287231E-2</v>
      </c>
      <c r="J195" s="30">
        <v>9.6085444801088937E-2</v>
      </c>
      <c r="K195" s="30">
        <v>0.10007482408179739</v>
      </c>
      <c r="L195" s="30">
        <v>0.10406263761034602</v>
      </c>
      <c r="N195" s="1"/>
      <c r="O195" s="1"/>
      <c r="P195" s="1"/>
      <c r="Q195" s="54">
        <f t="shared" si="164"/>
        <v>0.96204142494045009</v>
      </c>
      <c r="R195" s="1">
        <f t="shared" si="165"/>
        <v>0.92237089719729481</v>
      </c>
      <c r="S195" s="1">
        <f t="shared" si="159"/>
        <v>0.91903448430051426</v>
      </c>
      <c r="T195" s="62">
        <f t="shared" si="160"/>
        <v>0.87604929710783741</v>
      </c>
      <c r="U195" s="65">
        <f t="shared" si="161"/>
        <v>0.83173216967606778</v>
      </c>
      <c r="V195" s="67">
        <f t="shared" si="162"/>
        <v>0.78645984585942508</v>
      </c>
      <c r="W195" s="68">
        <f t="shared" si="163"/>
        <v>0.74065194621499364</v>
      </c>
      <c r="Y195" s="24"/>
      <c r="Z195" s="24"/>
      <c r="AA195" s="24"/>
      <c r="AB195" s="24">
        <f t="shared" si="133"/>
        <v>8.080786169882799E-2</v>
      </c>
      <c r="AC195" s="24">
        <f t="shared" si="134"/>
        <v>8.4431633608451309E-2</v>
      </c>
      <c r="AD195" s="24">
        <f t="shared" si="135"/>
        <v>8.822194292792003E-2</v>
      </c>
      <c r="AE195" s="24">
        <f t="shared" si="136"/>
        <v>9.2122400716287231E-2</v>
      </c>
      <c r="AF195" s="24">
        <f t="shared" si="137"/>
        <v>9.6085444801088937E-2</v>
      </c>
      <c r="AG195" s="24">
        <f t="shared" si="138"/>
        <v>0.10007482408179739</v>
      </c>
      <c r="AH195" s="24">
        <f t="shared" si="139"/>
        <v>0.10406263761034602</v>
      </c>
      <c r="AL195" s="23">
        <f t="shared" si="122"/>
        <v>0</v>
      </c>
      <c r="AM195" s="23">
        <f t="shared" si="123"/>
        <v>0</v>
      </c>
      <c r="AN195" s="23">
        <f t="shared" si="124"/>
        <v>0</v>
      </c>
      <c r="AO195" s="23">
        <f t="shared" si="125"/>
        <v>6304.0139080341369</v>
      </c>
      <c r="AP195" s="23">
        <f t="shared" si="126"/>
        <v>7715.2938564495944</v>
      </c>
      <c r="AQ195" s="23">
        <f t="shared" si="127"/>
        <v>9429.0984730920409</v>
      </c>
      <c r="AR195" s="23">
        <f t="shared" si="128"/>
        <v>10696.576240714203</v>
      </c>
      <c r="AS195" s="23">
        <f t="shared" si="129"/>
        <v>11803.559017793425</v>
      </c>
      <c r="AT195" s="23">
        <f t="shared" si="130"/>
        <v>12729.818403346275</v>
      </c>
      <c r="AU195" s="23">
        <f t="shared" si="131"/>
        <v>13465.15221955075</v>
      </c>
      <c r="AW195" s="25"/>
      <c r="AX195" s="25"/>
      <c r="AY195" s="25"/>
      <c r="AZ195" s="25">
        <f t="shared" si="141"/>
        <v>72143.512118980434</v>
      </c>
      <c r="BA195" s="25">
        <f t="shared" si="142"/>
        <v>65839.498210946287</v>
      </c>
      <c r="BB195" s="25">
        <f t="shared" si="143"/>
        <v>58124.204354496695</v>
      </c>
      <c r="BC195" s="25">
        <f t="shared" si="144"/>
        <v>48695.105881404648</v>
      </c>
      <c r="BD195" s="25">
        <f t="shared" si="145"/>
        <v>37998.529640690453</v>
      </c>
      <c r="BE195" s="25">
        <f t="shared" si="146"/>
        <v>26194.970622897024</v>
      </c>
      <c r="BF195" s="25">
        <f t="shared" si="147"/>
        <v>13465.15221955075</v>
      </c>
      <c r="BG195" s="25">
        <f t="shared" si="148"/>
        <v>0</v>
      </c>
      <c r="BI195" s="25"/>
      <c r="BJ195" s="25"/>
      <c r="BK195" s="25"/>
      <c r="BL195" s="25">
        <f t="shared" si="151"/>
        <v>72143.512118980434</v>
      </c>
      <c r="BM195" s="25">
        <f t="shared" si="152"/>
        <v>65839.498210946287</v>
      </c>
      <c r="BN195" s="25">
        <f t="shared" si="153"/>
        <v>58124.204354496695</v>
      </c>
      <c r="BO195" s="25">
        <f t="shared" si="154"/>
        <v>48695.105881404648</v>
      </c>
      <c r="BP195" s="25">
        <f t="shared" si="155"/>
        <v>37998.529640690453</v>
      </c>
      <c r="BQ195" s="25">
        <f t="shared" si="156"/>
        <v>26194.970622897024</v>
      </c>
      <c r="BR195" s="25">
        <f t="shared" si="157"/>
        <v>13465.15221955075</v>
      </c>
      <c r="BS195" s="25">
        <f t="shared" si="158"/>
        <v>0</v>
      </c>
    </row>
    <row r="196" spans="1:71" x14ac:dyDescent="0.2">
      <c r="A196" s="29">
        <f t="shared" si="149"/>
        <v>1.8800000000000014</v>
      </c>
      <c r="B196" s="30">
        <v>6.8025690151185078E-2</v>
      </c>
      <c r="C196" s="30">
        <v>7.1466788838903283E-2</v>
      </c>
      <c r="D196" s="30">
        <v>7.4633232898489887E-2</v>
      </c>
      <c r="E196" s="30">
        <v>7.7792832343371476E-2</v>
      </c>
      <c r="F196" s="30">
        <v>8.1143500246959502E-2</v>
      </c>
      <c r="G196" s="30">
        <v>8.4713354574936006E-2</v>
      </c>
      <c r="H196" s="30">
        <v>8.8456878887502935E-2</v>
      </c>
      <c r="I196" s="30">
        <v>9.2317481222936607E-2</v>
      </c>
      <c r="J196" s="30">
        <v>9.6247444961118964E-2</v>
      </c>
      <c r="K196" s="30">
        <v>0.10021030453693543</v>
      </c>
      <c r="L196" s="30">
        <v>0.10417788097687397</v>
      </c>
      <c r="N196" s="1"/>
      <c r="O196" s="1"/>
      <c r="P196" s="1"/>
      <c r="Q196" s="54">
        <f t="shared" si="164"/>
        <v>0.96185033612648696</v>
      </c>
      <c r="R196" s="1">
        <f t="shared" si="165"/>
        <v>0.92206136591674126</v>
      </c>
      <c r="S196" s="1">
        <f t="shared" si="159"/>
        <v>0.91877560948430825</v>
      </c>
      <c r="T196" s="62">
        <f t="shared" si="160"/>
        <v>0.87574062827570109</v>
      </c>
      <c r="U196" s="65">
        <f t="shared" si="161"/>
        <v>0.83140772350719261</v>
      </c>
      <c r="V196" s="67">
        <f t="shared" si="162"/>
        <v>0.78614139379816805</v>
      </c>
      <c r="W196" s="68">
        <f t="shared" si="163"/>
        <v>0.74035097579423503</v>
      </c>
      <c r="Y196" s="24"/>
      <c r="Z196" s="24"/>
      <c r="AA196" s="24"/>
      <c r="AB196" s="24">
        <f t="shared" si="133"/>
        <v>8.1143500246959502E-2</v>
      </c>
      <c r="AC196" s="24">
        <f t="shared" si="134"/>
        <v>8.4713354574936006E-2</v>
      </c>
      <c r="AD196" s="24">
        <f t="shared" si="135"/>
        <v>8.8456878887502935E-2</v>
      </c>
      <c r="AE196" s="24">
        <f t="shared" si="136"/>
        <v>9.2317481222936607E-2</v>
      </c>
      <c r="AF196" s="24">
        <f t="shared" si="137"/>
        <v>9.6247444961118964E-2</v>
      </c>
      <c r="AG196" s="24">
        <f t="shared" si="138"/>
        <v>0.10021030453693543</v>
      </c>
      <c r="AH196" s="24">
        <f t="shared" si="139"/>
        <v>0.10417788097687397</v>
      </c>
      <c r="AL196" s="23">
        <f t="shared" si="122"/>
        <v>0</v>
      </c>
      <c r="AM196" s="23">
        <f t="shared" si="123"/>
        <v>0</v>
      </c>
      <c r="AN196" s="23">
        <f t="shared" si="124"/>
        <v>0</v>
      </c>
      <c r="AO196" s="23">
        <f t="shared" si="125"/>
        <v>6464.1787765807712</v>
      </c>
      <c r="AP196" s="23">
        <f t="shared" si="126"/>
        <v>7842.5867505311298</v>
      </c>
      <c r="AQ196" s="23">
        <f t="shared" si="127"/>
        <v>9534.369187227996</v>
      </c>
      <c r="AR196" s="23">
        <f t="shared" si="128"/>
        <v>10778.227351955949</v>
      </c>
      <c r="AS196" s="23">
        <f t="shared" si="129"/>
        <v>11866.298719660888</v>
      </c>
      <c r="AT196" s="23">
        <f t="shared" si="130"/>
        <v>12777.917262582718</v>
      </c>
      <c r="AU196" s="23">
        <f t="shared" si="131"/>
        <v>13502.340806162958</v>
      </c>
      <c r="AW196" s="25"/>
      <c r="AX196" s="25"/>
      <c r="AY196" s="25"/>
      <c r="AZ196" s="25">
        <f t="shared" si="141"/>
        <v>72765.91885470241</v>
      </c>
      <c r="BA196" s="25">
        <f t="shared" si="142"/>
        <v>66301.740078121642</v>
      </c>
      <c r="BB196" s="25">
        <f t="shared" si="143"/>
        <v>58459.153327590509</v>
      </c>
      <c r="BC196" s="25">
        <f t="shared" si="144"/>
        <v>48924.784140362513</v>
      </c>
      <c r="BD196" s="25">
        <f t="shared" si="145"/>
        <v>38146.556788406568</v>
      </c>
      <c r="BE196" s="25">
        <f t="shared" si="146"/>
        <v>26280.258068745676</v>
      </c>
      <c r="BF196" s="25">
        <f t="shared" si="147"/>
        <v>13502.340806162958</v>
      </c>
      <c r="BG196" s="25">
        <f t="shared" si="148"/>
        <v>0</v>
      </c>
      <c r="BI196" s="25"/>
      <c r="BJ196" s="25"/>
      <c r="BK196" s="25"/>
      <c r="BL196" s="25">
        <f t="shared" si="151"/>
        <v>72765.91885470241</v>
      </c>
      <c r="BM196" s="25">
        <f t="shared" si="152"/>
        <v>66301.740078121642</v>
      </c>
      <c r="BN196" s="25">
        <f t="shared" si="153"/>
        <v>58459.153327590509</v>
      </c>
      <c r="BO196" s="25">
        <f t="shared" si="154"/>
        <v>48924.784140362513</v>
      </c>
      <c r="BP196" s="25">
        <f t="shared" si="155"/>
        <v>38146.556788406568</v>
      </c>
      <c r="BQ196" s="25">
        <f t="shared" si="156"/>
        <v>26280.258068745676</v>
      </c>
      <c r="BR196" s="25">
        <f t="shared" si="157"/>
        <v>13502.340806162958</v>
      </c>
      <c r="BS196" s="25">
        <f t="shared" si="158"/>
        <v>0</v>
      </c>
    </row>
    <row r="197" spans="1:71" x14ac:dyDescent="0.2">
      <c r="A197" s="29">
        <f t="shared" si="149"/>
        <v>1.8900000000000015</v>
      </c>
      <c r="B197" s="30">
        <v>6.63733088853697E-2</v>
      </c>
      <c r="C197" s="30">
        <v>6.9969849231386758E-2</v>
      </c>
      <c r="D197" s="30">
        <v>7.328688902097745E-2</v>
      </c>
      <c r="E197" s="30">
        <v>7.6591137507856177E-2</v>
      </c>
      <c r="F197" s="30">
        <v>8.0077406214305286E-2</v>
      </c>
      <c r="G197" s="30">
        <v>8.3772632442733697E-2</v>
      </c>
      <c r="H197" s="30">
        <v>8.7631368393206385E-2</v>
      </c>
      <c r="I197" s="30">
        <v>9.1597488290267801E-2</v>
      </c>
      <c r="J197" s="30">
        <v>9.562378810138962E-2</v>
      </c>
      <c r="K197" s="30">
        <v>9.9674254761235676E-2</v>
      </c>
      <c r="L197" s="30">
        <v>0.10372109868226081</v>
      </c>
      <c r="N197" s="1"/>
      <c r="O197" s="1"/>
      <c r="P197" s="1"/>
      <c r="Q197" s="54">
        <f t="shared" si="164"/>
        <v>0.96242843507445597</v>
      </c>
      <c r="R197" s="1">
        <f t="shared" si="165"/>
        <v>0.92304489421035563</v>
      </c>
      <c r="S197" s="1">
        <f t="shared" si="159"/>
        <v>0.91964032870116053</v>
      </c>
      <c r="T197" s="62">
        <f t="shared" si="160"/>
        <v>0.87682569955873957</v>
      </c>
      <c r="U197" s="65">
        <f t="shared" si="161"/>
        <v>0.83260580127787942</v>
      </c>
      <c r="V197" s="67">
        <f t="shared" si="162"/>
        <v>0.78736805600244586</v>
      </c>
      <c r="W197" s="68">
        <f t="shared" si="163"/>
        <v>0.74154252855836977</v>
      </c>
      <c r="Y197" s="24"/>
      <c r="Z197" s="24"/>
      <c r="AA197" s="24"/>
      <c r="AB197" s="24">
        <f t="shared" si="133"/>
        <v>8.0077406214305286E-2</v>
      </c>
      <c r="AC197" s="24">
        <f t="shared" si="134"/>
        <v>8.3772632442733697E-2</v>
      </c>
      <c r="AD197" s="24">
        <f t="shared" si="135"/>
        <v>8.7631368393206385E-2</v>
      </c>
      <c r="AE197" s="24">
        <f t="shared" si="136"/>
        <v>9.1597488290267801E-2</v>
      </c>
      <c r="AF197" s="24">
        <f t="shared" si="137"/>
        <v>9.562378810138962E-2</v>
      </c>
      <c r="AG197" s="24">
        <f t="shared" si="138"/>
        <v>9.9674254761235676E-2</v>
      </c>
      <c r="AH197" s="24">
        <f t="shared" si="139"/>
        <v>0.1037210986822608</v>
      </c>
      <c r="AL197" s="23">
        <f t="shared" si="122"/>
        <v>0</v>
      </c>
      <c r="AM197" s="23">
        <f t="shared" si="123"/>
        <v>0</v>
      </c>
      <c r="AN197" s="23">
        <f t="shared" si="124"/>
        <v>0</v>
      </c>
      <c r="AO197" s="23">
        <f t="shared" si="125"/>
        <v>5955.0443230367464</v>
      </c>
      <c r="AP197" s="23">
        <f t="shared" si="126"/>
        <v>7416.787763322056</v>
      </c>
      <c r="AQ197" s="23">
        <f t="shared" si="127"/>
        <v>9163.7562282604085</v>
      </c>
      <c r="AR197" s="23">
        <f t="shared" si="128"/>
        <v>10475.927774757783</v>
      </c>
      <c r="AS197" s="23">
        <f t="shared" si="129"/>
        <v>11623.768171026746</v>
      </c>
      <c r="AT197" s="23">
        <f t="shared" si="130"/>
        <v>12586.821156210028</v>
      </c>
      <c r="AU197" s="23">
        <f t="shared" si="131"/>
        <v>13354.710306434084</v>
      </c>
      <c r="AW197" s="25"/>
      <c r="AX197" s="25"/>
      <c r="AY197" s="25"/>
      <c r="AZ197" s="25">
        <f t="shared" si="141"/>
        <v>70576.815723047854</v>
      </c>
      <c r="BA197" s="25">
        <f t="shared" si="142"/>
        <v>64621.771400011101</v>
      </c>
      <c r="BB197" s="25">
        <f t="shared" si="143"/>
        <v>57204.983636689052</v>
      </c>
      <c r="BC197" s="25">
        <f t="shared" si="144"/>
        <v>48041.22740842864</v>
      </c>
      <c r="BD197" s="25">
        <f t="shared" si="145"/>
        <v>37565.29963367086</v>
      </c>
      <c r="BE197" s="25">
        <f t="shared" si="146"/>
        <v>25941.53146264411</v>
      </c>
      <c r="BF197" s="25">
        <f t="shared" si="147"/>
        <v>13354.710306434084</v>
      </c>
      <c r="BG197" s="25">
        <f t="shared" si="148"/>
        <v>0</v>
      </c>
      <c r="BI197" s="25"/>
      <c r="BJ197" s="25"/>
      <c r="BK197" s="25"/>
      <c r="BL197" s="25">
        <f t="shared" si="151"/>
        <v>70576.815723047854</v>
      </c>
      <c r="BM197" s="25">
        <f t="shared" si="152"/>
        <v>64621.771400011101</v>
      </c>
      <c r="BN197" s="25">
        <f t="shared" si="153"/>
        <v>57204.983636689052</v>
      </c>
      <c r="BO197" s="25">
        <f t="shared" si="154"/>
        <v>48041.22740842864</v>
      </c>
      <c r="BP197" s="25">
        <f t="shared" si="155"/>
        <v>37565.29963367086</v>
      </c>
      <c r="BQ197" s="25">
        <f t="shared" si="156"/>
        <v>25941.53146264411</v>
      </c>
      <c r="BR197" s="25">
        <f t="shared" si="157"/>
        <v>13354.710306434084</v>
      </c>
      <c r="BS197" s="25">
        <f t="shared" si="158"/>
        <v>0</v>
      </c>
    </row>
    <row r="198" spans="1:71" x14ac:dyDescent="0.2">
      <c r="A198" s="29">
        <f t="shared" si="149"/>
        <v>1.9000000000000015</v>
      </c>
      <c r="B198" s="30">
        <v>6.747607433584317E-2</v>
      </c>
      <c r="C198" s="30">
        <v>7.1052189765788698E-2</v>
      </c>
      <c r="D198" s="30">
        <v>7.434892275294093E-2</v>
      </c>
      <c r="E198" s="30">
        <v>7.7631869324503847E-2</v>
      </c>
      <c r="F198" s="30">
        <v>8.1092805418417915E-2</v>
      </c>
      <c r="G198" s="30">
        <v>8.4757540208911783E-2</v>
      </c>
      <c r="H198" s="30">
        <v>8.8580730035871691E-2</v>
      </c>
      <c r="I198" s="30">
        <v>9.2506743787166751E-2</v>
      </c>
      <c r="J198" s="30">
        <v>9.6488916365132252E-2</v>
      </c>
      <c r="K198" s="30">
        <v>0.10049171349096435</v>
      </c>
      <c r="L198" s="30">
        <v>0.104487761695346</v>
      </c>
      <c r="N198" s="1"/>
      <c r="O198" s="1"/>
      <c r="P198" s="1"/>
      <c r="Q198" s="54">
        <f t="shared" si="164"/>
        <v>0.96192775040855516</v>
      </c>
      <c r="R198" s="1">
        <f t="shared" si="165"/>
        <v>0.92210811084444433</v>
      </c>
      <c r="S198" s="1">
        <f t="shared" si="159"/>
        <v>0.9187350136984036</v>
      </c>
      <c r="T198" s="62">
        <f t="shared" si="160"/>
        <v>0.87557795116325166</v>
      </c>
      <c r="U198" s="65">
        <f t="shared" si="161"/>
        <v>0.83109307434691304</v>
      </c>
      <c r="V198" s="67">
        <f t="shared" si="162"/>
        <v>0.78566696034993111</v>
      </c>
      <c r="W198" s="68">
        <f t="shared" si="163"/>
        <v>0.73972621536997019</v>
      </c>
      <c r="Y198" s="24"/>
      <c r="Z198" s="24"/>
      <c r="AA198" s="24"/>
      <c r="AB198" s="24">
        <f t="shared" si="133"/>
        <v>8.1092805418417915E-2</v>
      </c>
      <c r="AC198" s="24">
        <f t="shared" si="134"/>
        <v>8.4757540208911783E-2</v>
      </c>
      <c r="AD198" s="24">
        <f t="shared" si="135"/>
        <v>8.8580730035871691E-2</v>
      </c>
      <c r="AE198" s="24">
        <f t="shared" si="136"/>
        <v>9.2506743787166751E-2</v>
      </c>
      <c r="AF198" s="24">
        <f t="shared" si="137"/>
        <v>9.6488916365132252E-2</v>
      </c>
      <c r="AG198" s="24">
        <f t="shared" si="138"/>
        <v>0.10049171349096435</v>
      </c>
      <c r="AH198" s="24">
        <f t="shared" si="139"/>
        <v>0.10448776169534599</v>
      </c>
      <c r="AL198" s="23">
        <f t="shared" si="122"/>
        <v>0</v>
      </c>
      <c r="AM198" s="23">
        <f t="shared" si="123"/>
        <v>0</v>
      </c>
      <c r="AN198" s="23">
        <f t="shared" si="124"/>
        <v>0</v>
      </c>
      <c r="AO198" s="23">
        <f t="shared" si="125"/>
        <v>6440.316663193471</v>
      </c>
      <c r="AP198" s="23">
        <f t="shared" si="126"/>
        <v>7863.3563049354643</v>
      </c>
      <c r="AQ198" s="23">
        <f t="shared" si="127"/>
        <v>9590.8411076346383</v>
      </c>
      <c r="AR198" s="23">
        <f t="shared" si="128"/>
        <v>10859.08225829675</v>
      </c>
      <c r="AS198" s="23">
        <f t="shared" si="129"/>
        <v>11962.150483179756</v>
      </c>
      <c r="AT198" s="23">
        <f t="shared" si="130"/>
        <v>12880.752695137222</v>
      </c>
      <c r="AU198" s="23">
        <f t="shared" si="131"/>
        <v>13605.56002323268</v>
      </c>
      <c r="AW198" s="25"/>
      <c r="AX198" s="25"/>
      <c r="AY198" s="25"/>
      <c r="AZ198" s="25">
        <f t="shared" si="141"/>
        <v>73202.05953560998</v>
      </c>
      <c r="BA198" s="25">
        <f t="shared" si="142"/>
        <v>66761.742872416507</v>
      </c>
      <c r="BB198" s="25">
        <f t="shared" si="143"/>
        <v>58898.386567481051</v>
      </c>
      <c r="BC198" s="25">
        <f t="shared" si="144"/>
        <v>49307.545459846413</v>
      </c>
      <c r="BD198" s="25">
        <f t="shared" si="145"/>
        <v>38448.463201549661</v>
      </c>
      <c r="BE198" s="25">
        <f t="shared" si="146"/>
        <v>26486.312718369903</v>
      </c>
      <c r="BF198" s="25">
        <f t="shared" si="147"/>
        <v>13605.56002323268</v>
      </c>
      <c r="BG198" s="25">
        <f t="shared" si="148"/>
        <v>0</v>
      </c>
      <c r="BI198" s="25"/>
      <c r="BJ198" s="25"/>
      <c r="BK198" s="25"/>
      <c r="BL198" s="25">
        <f t="shared" si="151"/>
        <v>73202.05953560998</v>
      </c>
      <c r="BM198" s="25">
        <f t="shared" si="152"/>
        <v>66761.742872416507</v>
      </c>
      <c r="BN198" s="25">
        <f t="shared" si="153"/>
        <v>58898.386567481051</v>
      </c>
      <c r="BO198" s="25">
        <f t="shared" si="154"/>
        <v>49307.545459846413</v>
      </c>
      <c r="BP198" s="25">
        <f t="shared" si="155"/>
        <v>38448.463201549661</v>
      </c>
      <c r="BQ198" s="25">
        <f t="shared" si="156"/>
        <v>26486.312718369903</v>
      </c>
      <c r="BR198" s="25">
        <f t="shared" si="157"/>
        <v>13605.56002323268</v>
      </c>
      <c r="BS198" s="25">
        <f t="shared" si="158"/>
        <v>0</v>
      </c>
    </row>
    <row r="199" spans="1:71" x14ac:dyDescent="0.2">
      <c r="A199" s="29">
        <f t="shared" si="149"/>
        <v>1.9100000000000015</v>
      </c>
      <c r="B199" s="30">
        <v>6.8364798881583172E-2</v>
      </c>
      <c r="C199" s="30">
        <v>7.1948292855629176E-2</v>
      </c>
      <c r="D199" s="30">
        <v>7.5253595804964227E-2</v>
      </c>
      <c r="E199" s="30">
        <v>7.8545042891389721E-2</v>
      </c>
      <c r="F199" s="30">
        <v>8.2011303425892024E-2</v>
      </c>
      <c r="G199" s="30">
        <v>8.567697390814398E-2</v>
      </c>
      <c r="H199" s="30">
        <v>8.9496713436587702E-2</v>
      </c>
      <c r="I199" s="30">
        <v>9.341527725611222E-2</v>
      </c>
      <c r="J199" s="30">
        <v>9.7386428809214318E-2</v>
      </c>
      <c r="K199" s="30">
        <v>0.10137500215852084</v>
      </c>
      <c r="L199" s="30">
        <v>0.10535392995179316</v>
      </c>
      <c r="N199" s="1"/>
      <c r="O199" s="1"/>
      <c r="P199" s="1"/>
      <c r="Q199" s="54">
        <f t="shared" si="164"/>
        <v>0.96148864716308924</v>
      </c>
      <c r="R199" s="1">
        <f t="shared" si="165"/>
        <v>0.92126154522589121</v>
      </c>
      <c r="S199" s="1">
        <f t="shared" si="159"/>
        <v>0.91789068597730461</v>
      </c>
      <c r="T199" s="62">
        <f t="shared" si="160"/>
        <v>0.87437575494226738</v>
      </c>
      <c r="U199" s="65">
        <f t="shared" si="161"/>
        <v>0.82958429379197096</v>
      </c>
      <c r="V199" s="67">
        <f t="shared" si="162"/>
        <v>0.78390607192824835</v>
      </c>
      <c r="W199" s="68">
        <f t="shared" si="163"/>
        <v>0.73776863482911581</v>
      </c>
      <c r="Y199" s="24"/>
      <c r="Z199" s="24"/>
      <c r="AA199" s="24"/>
      <c r="AB199" s="24">
        <f t="shared" si="133"/>
        <v>8.2011303425892024E-2</v>
      </c>
      <c r="AC199" s="24">
        <f t="shared" si="134"/>
        <v>8.567697390814398E-2</v>
      </c>
      <c r="AD199" s="24">
        <f t="shared" si="135"/>
        <v>8.9496713436587702E-2</v>
      </c>
      <c r="AE199" s="24">
        <f t="shared" si="136"/>
        <v>9.341527725611222E-2</v>
      </c>
      <c r="AF199" s="24">
        <f t="shared" si="137"/>
        <v>9.7386428809214318E-2</v>
      </c>
      <c r="AG199" s="24">
        <f t="shared" si="138"/>
        <v>0.10137500215852084</v>
      </c>
      <c r="AH199" s="24">
        <f t="shared" si="139"/>
        <v>0.10535392995179316</v>
      </c>
      <c r="AL199" s="23">
        <f t="shared" si="122"/>
        <v>0</v>
      </c>
      <c r="AM199" s="23">
        <f t="shared" si="123"/>
        <v>0</v>
      </c>
      <c r="AN199" s="23">
        <f t="shared" si="124"/>
        <v>0</v>
      </c>
      <c r="AO199" s="23">
        <f t="shared" si="125"/>
        <v>6878.9394742470549</v>
      </c>
      <c r="AP199" s="23">
        <f t="shared" si="126"/>
        <v>8279.6565989811461</v>
      </c>
      <c r="AQ199" s="23">
        <f t="shared" si="127"/>
        <v>10002.413333736386</v>
      </c>
      <c r="AR199" s="23">
        <f t="shared" si="128"/>
        <v>11241.372213789213</v>
      </c>
      <c r="AS199" s="23">
        <f t="shared" si="129"/>
        <v>12312.715304530753</v>
      </c>
      <c r="AT199" s="23">
        <f t="shared" si="130"/>
        <v>13198.091180618996</v>
      </c>
      <c r="AU199" s="23">
        <f t="shared" si="131"/>
        <v>13889.070723852301</v>
      </c>
      <c r="AW199" s="25"/>
      <c r="AX199" s="25"/>
      <c r="AY199" s="25"/>
      <c r="AZ199" s="25">
        <f t="shared" si="141"/>
        <v>75802.258829755854</v>
      </c>
      <c r="BA199" s="25">
        <f t="shared" si="142"/>
        <v>68923.319355508793</v>
      </c>
      <c r="BB199" s="25">
        <f t="shared" si="143"/>
        <v>60643.662756527658</v>
      </c>
      <c r="BC199" s="25">
        <f t="shared" si="144"/>
        <v>50641.249422791268</v>
      </c>
      <c r="BD199" s="25">
        <f t="shared" si="145"/>
        <v>39399.87720900205</v>
      </c>
      <c r="BE199" s="25">
        <f t="shared" si="146"/>
        <v>27087.161904471297</v>
      </c>
      <c r="BF199" s="25">
        <f t="shared" si="147"/>
        <v>13889.070723852301</v>
      </c>
      <c r="BG199" s="25">
        <f t="shared" si="148"/>
        <v>0</v>
      </c>
      <c r="BI199" s="25"/>
      <c r="BJ199" s="25"/>
      <c r="BK199" s="25"/>
      <c r="BL199" s="25">
        <f t="shared" si="151"/>
        <v>75802.258829755854</v>
      </c>
      <c r="BM199" s="25">
        <f t="shared" si="152"/>
        <v>68923.319355508793</v>
      </c>
      <c r="BN199" s="25">
        <f t="shared" si="153"/>
        <v>60643.662756527658</v>
      </c>
      <c r="BO199" s="25">
        <f t="shared" si="154"/>
        <v>50641.249422791268</v>
      </c>
      <c r="BP199" s="25">
        <f t="shared" si="155"/>
        <v>39399.87720900205</v>
      </c>
      <c r="BQ199" s="25">
        <f t="shared" si="156"/>
        <v>27087.161904471297</v>
      </c>
      <c r="BR199" s="25">
        <f t="shared" si="157"/>
        <v>13889.070723852301</v>
      </c>
      <c r="BS199" s="25">
        <f t="shared" si="158"/>
        <v>0</v>
      </c>
    </row>
    <row r="200" spans="1:71" x14ac:dyDescent="0.2">
      <c r="A200" s="29">
        <f t="shared" si="149"/>
        <v>1.9200000000000015</v>
      </c>
      <c r="B200" s="30">
        <v>6.7041052400329676E-2</v>
      </c>
      <c r="C200" s="30">
        <v>7.0716735773236297E-2</v>
      </c>
      <c r="D200" s="30">
        <v>7.4109834333041552E-2</v>
      </c>
      <c r="E200" s="30">
        <v>7.7483547702533517E-2</v>
      </c>
      <c r="F200" s="30">
        <v>8.1023638686412602E-2</v>
      </c>
      <c r="G200" s="30">
        <v>8.4753677660078339E-2</v>
      </c>
      <c r="H200" s="30">
        <v>8.8628496394118225E-2</v>
      </c>
      <c r="I200" s="30">
        <v>9.2593399575724294E-2</v>
      </c>
      <c r="J200" s="30">
        <v>9.6602740225200434E-2</v>
      </c>
      <c r="K200" s="30">
        <v>0.10062188174373737</v>
      </c>
      <c r="L200" s="30">
        <v>0.10462422433568884</v>
      </c>
      <c r="N200" s="1"/>
      <c r="O200" s="1"/>
      <c r="P200" s="1"/>
      <c r="Q200" s="54">
        <f t="shared" si="164"/>
        <v>0.96199909039591758</v>
      </c>
      <c r="R200" s="1">
        <f t="shared" si="165"/>
        <v>0.92217189225477747</v>
      </c>
      <c r="S200" s="1">
        <f t="shared" si="159"/>
        <v>0.91873856236411244</v>
      </c>
      <c r="T200" s="62">
        <f t="shared" si="160"/>
        <v>0.87551521865552406</v>
      </c>
      <c r="U200" s="65">
        <f t="shared" si="161"/>
        <v>0.83094904877647835</v>
      </c>
      <c r="V200" s="67">
        <f t="shared" si="162"/>
        <v>0.78544342304090109</v>
      </c>
      <c r="W200" s="68">
        <f t="shared" si="163"/>
        <v>0.73943740515756606</v>
      </c>
      <c r="Y200" s="24"/>
      <c r="Z200" s="24"/>
      <c r="AA200" s="24"/>
      <c r="AB200" s="24">
        <f t="shared" si="133"/>
        <v>8.1023638686412602E-2</v>
      </c>
      <c r="AC200" s="24">
        <f t="shared" si="134"/>
        <v>8.4753677660078339E-2</v>
      </c>
      <c r="AD200" s="24">
        <f t="shared" si="135"/>
        <v>8.8628496394118225E-2</v>
      </c>
      <c r="AE200" s="24">
        <f t="shared" si="136"/>
        <v>9.2593399575724294E-2</v>
      </c>
      <c r="AF200" s="24">
        <f t="shared" si="137"/>
        <v>9.6602740225200434E-2</v>
      </c>
      <c r="AG200" s="24">
        <f t="shared" si="138"/>
        <v>0.10062188174373737</v>
      </c>
      <c r="AH200" s="24">
        <f t="shared" si="139"/>
        <v>0.10462422433568883</v>
      </c>
      <c r="AL200" s="23">
        <f t="shared" ref="AL200:AL263" si="166">N*(Y200-fix)*N200*time</f>
        <v>0</v>
      </c>
      <c r="AM200" s="23">
        <f t="shared" ref="AM200:AM263" si="167">N*(Z200-fix)*O200*time</f>
        <v>0</v>
      </c>
      <c r="AN200" s="23">
        <f t="shared" ref="AN200:AN263" si="168">N*(AA200-fix)*P200*time</f>
        <v>0</v>
      </c>
      <c r="AO200" s="23">
        <f t="shared" ref="AO200:AO263" si="169">N*(AB200-fix)*Q200*time</f>
        <v>6407.5251333735778</v>
      </c>
      <c r="AP200" s="23">
        <f t="shared" ref="AP200:AP263" si="170">N*(AC200-fix)*R200*time</f>
        <v>7862.1192394200652</v>
      </c>
      <c r="AQ200" s="23">
        <f t="shared" ref="AQ200:AQ263" si="171">N*(AD200-fix)*S200*time</f>
        <v>9612.8205504507096</v>
      </c>
      <c r="AR200" s="23">
        <f t="shared" ref="AR200:AR263" si="172">N*(AE200-fix)*T200*time</f>
        <v>10896.238468782776</v>
      </c>
      <c r="AS200" s="23">
        <f t="shared" ref="AS200:AS263" si="173">N*(AF200-fix)*U200*time</f>
        <v>12007.368397782286</v>
      </c>
      <c r="AT200" s="23">
        <f t="shared" ref="AT200:AT263" si="174">N*(AG200-fix)*V200*time</f>
        <v>12928.207773125834</v>
      </c>
      <c r="AU200" s="23">
        <f t="shared" ref="AU200:AU263" si="175">N*(AH200-fix)*W200*time</f>
        <v>13650.700814889922</v>
      </c>
      <c r="AW200" s="25"/>
      <c r="AX200" s="25"/>
      <c r="AY200" s="25"/>
      <c r="AZ200" s="25">
        <f t="shared" si="141"/>
        <v>73364.980377825166</v>
      </c>
      <c r="BA200" s="25">
        <f t="shared" si="142"/>
        <v>66957.455244451587</v>
      </c>
      <c r="BB200" s="25">
        <f t="shared" si="143"/>
        <v>59095.336005031524</v>
      </c>
      <c r="BC200" s="25">
        <f t="shared" si="144"/>
        <v>49482.515454580818</v>
      </c>
      <c r="BD200" s="25">
        <f t="shared" si="145"/>
        <v>38586.276985798046</v>
      </c>
      <c r="BE200" s="25">
        <f t="shared" si="146"/>
        <v>26578.908588015758</v>
      </c>
      <c r="BF200" s="25">
        <f t="shared" si="147"/>
        <v>13650.700814889922</v>
      </c>
      <c r="BG200" s="25">
        <f t="shared" si="148"/>
        <v>0</v>
      </c>
      <c r="BI200" s="25"/>
      <c r="BJ200" s="25"/>
      <c r="BK200" s="25"/>
      <c r="BL200" s="25">
        <f t="shared" si="151"/>
        <v>73364.980377825166</v>
      </c>
      <c r="BM200" s="25">
        <f t="shared" si="152"/>
        <v>66957.455244451587</v>
      </c>
      <c r="BN200" s="25">
        <f t="shared" si="153"/>
        <v>59095.336005031524</v>
      </c>
      <c r="BO200" s="25">
        <f t="shared" si="154"/>
        <v>49482.515454580818</v>
      </c>
      <c r="BP200" s="25">
        <f t="shared" si="155"/>
        <v>38586.276985798046</v>
      </c>
      <c r="BQ200" s="25">
        <f t="shared" si="156"/>
        <v>26578.908588015758</v>
      </c>
      <c r="BR200" s="25">
        <f t="shared" si="157"/>
        <v>13650.700814889922</v>
      </c>
      <c r="BS200" s="25">
        <f t="shared" si="158"/>
        <v>0</v>
      </c>
    </row>
    <row r="201" spans="1:71" x14ac:dyDescent="0.2">
      <c r="A201" s="29">
        <f t="shared" si="149"/>
        <v>1.9300000000000015</v>
      </c>
      <c r="B201" s="30">
        <v>6.5685826866322808E-2</v>
      </c>
      <c r="C201" s="30">
        <v>6.9422179136147288E-2</v>
      </c>
      <c r="D201" s="30">
        <v>7.2880775571069353E-2</v>
      </c>
      <c r="E201" s="30">
        <v>7.6323184966894511E-2</v>
      </c>
      <c r="F201" s="30">
        <v>7.993184136105376E-2</v>
      </c>
      <c r="G201" s="30">
        <v>8.3728853111977974E-2</v>
      </c>
      <c r="H201" s="30">
        <v>8.7668772329179398E-2</v>
      </c>
      <c r="I201" s="30">
        <v>9.1696994076239408E-2</v>
      </c>
      <c r="J201" s="30">
        <v>9.5767999877860402E-2</v>
      </c>
      <c r="K201" s="30">
        <v>9.9847221369533862E-2</v>
      </c>
      <c r="L201" s="30">
        <v>0.10390806564873739</v>
      </c>
      <c r="N201" s="1"/>
      <c r="O201" s="1"/>
      <c r="P201" s="1"/>
      <c r="Q201" s="54">
        <f t="shared" si="164"/>
        <v>0.96255738628480014</v>
      </c>
      <c r="R201" s="1">
        <f t="shared" si="165"/>
        <v>0.9231792668846579</v>
      </c>
      <c r="S201" s="1">
        <f t="shared" si="159"/>
        <v>0.91968059082060494</v>
      </c>
      <c r="T201" s="62">
        <f t="shared" si="160"/>
        <v>0.87677650584029276</v>
      </c>
      <c r="U201" s="65">
        <f t="shared" si="161"/>
        <v>0.83244011957539288</v>
      </c>
      <c r="V201" s="67">
        <f t="shared" si="162"/>
        <v>0.78708423780269743</v>
      </c>
      <c r="W201" s="68">
        <f t="shared" si="163"/>
        <v>0.74115784208565227</v>
      </c>
      <c r="Y201" s="24"/>
      <c r="Z201" s="24"/>
      <c r="AA201" s="24"/>
      <c r="AB201" s="24">
        <f t="shared" ref="AB201:AB208" si="176">(F201*$AB$7-E201*$X$7)/($AB$7-$X$7)</f>
        <v>7.993184136105376E-2</v>
      </c>
      <c r="AC201" s="24">
        <f t="shared" ref="AC201:AC258" si="177">(G201*$AC$7-F201*$X$7)/($AC$7-$X$7)</f>
        <v>8.3728853111977974E-2</v>
      </c>
      <c r="AD201" s="24">
        <f t="shared" ref="AD201:AD264" si="178">(H201*$AD$7-G201*$X$7)/($AD$7-$X$7)</f>
        <v>8.7668772329179398E-2</v>
      </c>
      <c r="AE201" s="24">
        <f t="shared" ref="AE201:AE264" si="179">(I201*$AE$7-H201*$X$7)/($AE$7-$X$7)</f>
        <v>9.1696994076239408E-2</v>
      </c>
      <c r="AF201" s="24">
        <f t="shared" ref="AF201:AF264" si="180">(J201*$AF$7-I201*$X$7)/($AF$7-$X$7)</f>
        <v>9.5767999877860402E-2</v>
      </c>
      <c r="AG201" s="24">
        <f t="shared" ref="AG201:AG264" si="181">(K201*$AG$7-J201*$X$7)/($AG$7-$X$7)</f>
        <v>9.9847221369533862E-2</v>
      </c>
      <c r="AH201" s="24">
        <f t="shared" ref="AH201:AH264" si="182">(L201*$AH$7-K201*$X$7)/($AH$7-$X$7)</f>
        <v>0.1039080656487374</v>
      </c>
      <c r="AL201" s="23">
        <f t="shared" si="166"/>
        <v>0</v>
      </c>
      <c r="AM201" s="23">
        <f t="shared" si="167"/>
        <v>0</v>
      </c>
      <c r="AN201" s="23">
        <f t="shared" si="168"/>
        <v>0</v>
      </c>
      <c r="AO201" s="23">
        <f t="shared" si="169"/>
        <v>5885.7849487731764</v>
      </c>
      <c r="AP201" s="23">
        <f t="shared" si="170"/>
        <v>7397.659380289977</v>
      </c>
      <c r="AQ201" s="23">
        <f t="shared" si="171"/>
        <v>9181.3572571245204</v>
      </c>
      <c r="AR201" s="23">
        <f t="shared" si="172"/>
        <v>10518.962197515837</v>
      </c>
      <c r="AS201" s="23">
        <f t="shared" si="173"/>
        <v>11681.478971043807</v>
      </c>
      <c r="AT201" s="23">
        <f t="shared" si="174"/>
        <v>12650.353700069743</v>
      </c>
      <c r="AU201" s="23">
        <f t="shared" si="175"/>
        <v>13417.068363915971</v>
      </c>
      <c r="AW201" s="25"/>
      <c r="AX201" s="25"/>
      <c r="AY201" s="25"/>
      <c r="AZ201" s="25">
        <f t="shared" ref="AZ201:AZ208" si="183">SUM(AO201:AU201)</f>
        <v>70732.664818733028</v>
      </c>
      <c r="BA201" s="25">
        <f t="shared" ref="BA201:BA258" si="184">SUM(AP201:AU201)</f>
        <v>64846.879869959856</v>
      </c>
      <c r="BB201" s="25">
        <f t="shared" ref="BB201:BB264" si="185">SUM(AQ201:AU201)</f>
        <v>57449.220489669882</v>
      </c>
      <c r="BC201" s="25">
        <f t="shared" ref="BC201:BC264" si="186">SUM(AR201:AU201)</f>
        <v>48267.863232545351</v>
      </c>
      <c r="BD201" s="25">
        <f t="shared" ref="BD201:BD264" si="187">SUM(AS201:AU201)</f>
        <v>37748.901035029521</v>
      </c>
      <c r="BE201" s="25">
        <f t="shared" ref="BE201:BE264" si="188">SUM(AT201:AU201)</f>
        <v>26067.422063985716</v>
      </c>
      <c r="BF201" s="25">
        <f t="shared" ref="BF201:BF264" si="189">SUM(AU201)</f>
        <v>13417.068363915971</v>
      </c>
      <c r="BG201" s="25">
        <f t="shared" ref="BG201:BG264" si="190">SUM(AV201)</f>
        <v>0</v>
      </c>
      <c r="BI201" s="25"/>
      <c r="BJ201" s="25"/>
      <c r="BK201" s="25"/>
      <c r="BL201" s="25">
        <f t="shared" si="151"/>
        <v>70732.664818733028</v>
      </c>
      <c r="BM201" s="25">
        <f t="shared" si="152"/>
        <v>64846.879869959856</v>
      </c>
      <c r="BN201" s="25">
        <f t="shared" si="153"/>
        <v>57449.220489669882</v>
      </c>
      <c r="BO201" s="25">
        <f t="shared" si="154"/>
        <v>48267.863232545351</v>
      </c>
      <c r="BP201" s="25">
        <f t="shared" si="155"/>
        <v>37748.901035029521</v>
      </c>
      <c r="BQ201" s="25">
        <f t="shared" si="156"/>
        <v>26067.422063985716</v>
      </c>
      <c r="BR201" s="25">
        <f t="shared" si="157"/>
        <v>13417.068363915971</v>
      </c>
      <c r="BS201" s="25">
        <f t="shared" si="158"/>
        <v>0</v>
      </c>
    </row>
    <row r="202" spans="1:71" x14ac:dyDescent="0.2">
      <c r="A202" s="29">
        <f t="shared" ref="A202:A265" si="191">A201+0.01</f>
        <v>1.9400000000000015</v>
      </c>
      <c r="B202" s="30">
        <v>6.5576824255193761E-2</v>
      </c>
      <c r="C202" s="30">
        <v>6.9223581278771568E-2</v>
      </c>
      <c r="D202" s="30">
        <v>7.2607766426782974E-2</v>
      </c>
      <c r="E202" s="30">
        <v>7.5988966638861774E-2</v>
      </c>
      <c r="F202" s="30">
        <v>7.9546007449792108E-2</v>
      </c>
      <c r="G202" s="30">
        <v>8.3299241777770636E-2</v>
      </c>
      <c r="H202" s="30">
        <v>8.7202632401600186E-2</v>
      </c>
      <c r="I202" s="30">
        <v>9.1201348453428241E-2</v>
      </c>
      <c r="J202" s="30">
        <v>9.5249681686570317E-2</v>
      </c>
      <c r="K202" s="30">
        <v>9.9312813673611652E-2</v>
      </c>
      <c r="L202" s="30">
        <v>0.10336384054714096</v>
      </c>
      <c r="N202" s="1"/>
      <c r="O202" s="1"/>
      <c r="P202" s="1"/>
      <c r="Q202" s="54">
        <f t="shared" si="164"/>
        <v>0.96271825188562365</v>
      </c>
      <c r="R202" s="1">
        <f t="shared" si="165"/>
        <v>0.92353552947667072</v>
      </c>
      <c r="S202" s="1">
        <f t="shared" si="159"/>
        <v>0.92007578090926434</v>
      </c>
      <c r="T202" s="62">
        <f t="shared" si="160"/>
        <v>0.87738977102125126</v>
      </c>
      <c r="U202" s="65">
        <f t="shared" si="161"/>
        <v>0.83326571931572335</v>
      </c>
      <c r="V202" s="67">
        <f t="shared" si="162"/>
        <v>0.78810479907556497</v>
      </c>
      <c r="W202" s="68">
        <f t="shared" si="163"/>
        <v>0.74234703646698941</v>
      </c>
      <c r="Y202" s="24"/>
      <c r="Z202" s="24"/>
      <c r="AA202" s="24"/>
      <c r="AB202" s="24">
        <f t="shared" si="176"/>
        <v>7.9546007449792108E-2</v>
      </c>
      <c r="AC202" s="24">
        <f t="shared" si="177"/>
        <v>8.3299241777770636E-2</v>
      </c>
      <c r="AD202" s="24">
        <f t="shared" si="178"/>
        <v>8.7202632401600186E-2</v>
      </c>
      <c r="AE202" s="24">
        <f t="shared" si="179"/>
        <v>9.1201348453428241E-2</v>
      </c>
      <c r="AF202" s="24">
        <f t="shared" si="180"/>
        <v>9.5249681686570317E-2</v>
      </c>
      <c r="AG202" s="24">
        <f t="shared" si="181"/>
        <v>9.9312813673611652E-2</v>
      </c>
      <c r="AH202" s="24">
        <f t="shared" si="182"/>
        <v>0.10336384054714096</v>
      </c>
      <c r="AL202" s="23">
        <f t="shared" si="166"/>
        <v>0</v>
      </c>
      <c r="AM202" s="23">
        <f t="shared" si="167"/>
        <v>0</v>
      </c>
      <c r="AN202" s="23">
        <f t="shared" si="168"/>
        <v>0</v>
      </c>
      <c r="AO202" s="23">
        <f t="shared" si="169"/>
        <v>5701.0439252777824</v>
      </c>
      <c r="AP202" s="23">
        <f t="shared" si="170"/>
        <v>7202.1335333471689</v>
      </c>
      <c r="AQ202" s="23">
        <f t="shared" si="171"/>
        <v>8970.8604907294466</v>
      </c>
      <c r="AR202" s="23">
        <f t="shared" si="172"/>
        <v>10308.88253210893</v>
      </c>
      <c r="AS202" s="23">
        <f t="shared" si="173"/>
        <v>11477.116069982134</v>
      </c>
      <c r="AT202" s="23">
        <f t="shared" si="174"/>
        <v>12456.171961386861</v>
      </c>
      <c r="AU202" s="23">
        <f t="shared" si="175"/>
        <v>13236.594224343375</v>
      </c>
      <c r="AW202" s="25"/>
      <c r="AX202" s="25"/>
      <c r="AY202" s="25"/>
      <c r="AZ202" s="25">
        <f t="shared" si="183"/>
        <v>69352.802737175691</v>
      </c>
      <c r="BA202" s="25">
        <f t="shared" si="184"/>
        <v>63651.758811897918</v>
      </c>
      <c r="BB202" s="25">
        <f t="shared" si="185"/>
        <v>56449.625278550746</v>
      </c>
      <c r="BC202" s="25">
        <f t="shared" si="186"/>
        <v>47478.764787821303</v>
      </c>
      <c r="BD202" s="25">
        <f t="shared" si="187"/>
        <v>37169.882255712371</v>
      </c>
      <c r="BE202" s="25">
        <f t="shared" si="188"/>
        <v>25692.766185730237</v>
      </c>
      <c r="BF202" s="25">
        <f t="shared" si="189"/>
        <v>13236.594224343375</v>
      </c>
      <c r="BG202" s="25">
        <f t="shared" si="190"/>
        <v>0</v>
      </c>
      <c r="BI202" s="25"/>
      <c r="BJ202" s="25"/>
      <c r="BK202" s="25"/>
      <c r="BL202" s="25">
        <f t="shared" si="151"/>
        <v>69352.802737175691</v>
      </c>
      <c r="BM202" s="25">
        <f t="shared" si="152"/>
        <v>63651.758811897918</v>
      </c>
      <c r="BN202" s="25">
        <f t="shared" si="153"/>
        <v>56449.625278550746</v>
      </c>
      <c r="BO202" s="25">
        <f t="shared" si="154"/>
        <v>47478.764787821303</v>
      </c>
      <c r="BP202" s="25">
        <f t="shared" si="155"/>
        <v>37169.882255712371</v>
      </c>
      <c r="BQ202" s="25">
        <f t="shared" si="156"/>
        <v>25692.766185730237</v>
      </c>
      <c r="BR202" s="25">
        <f t="shared" si="157"/>
        <v>13236.594224343375</v>
      </c>
      <c r="BS202" s="25">
        <f t="shared" si="158"/>
        <v>0</v>
      </c>
    </row>
    <row r="203" spans="1:71" x14ac:dyDescent="0.2">
      <c r="A203" s="29">
        <f t="shared" si="191"/>
        <v>1.9500000000000015</v>
      </c>
      <c r="B203" s="30">
        <v>6.6422036652995245E-2</v>
      </c>
      <c r="C203" s="30">
        <v>7.0170657281450569E-2</v>
      </c>
      <c r="D203" s="30">
        <v>7.3652155466161148E-2</v>
      </c>
      <c r="E203" s="30">
        <v>7.7124867892911092E-2</v>
      </c>
      <c r="F203" s="30">
        <v>8.0764812790337523E-2</v>
      </c>
      <c r="G203" s="30">
        <v>8.4591375093844901E-2</v>
      </c>
      <c r="H203" s="30">
        <v>8.8558699654763734E-2</v>
      </c>
      <c r="I203" s="30">
        <v>9.2612494532260073E-2</v>
      </c>
      <c r="J203" s="30">
        <v>9.6707624637683745E-2</v>
      </c>
      <c r="K203" s="30">
        <v>0.10080978439792559</v>
      </c>
      <c r="L203" s="30">
        <v>0.10489252233547687</v>
      </c>
      <c r="N203" s="1"/>
      <c r="O203" s="1"/>
      <c r="P203" s="1"/>
      <c r="Q203" s="54">
        <f t="shared" si="164"/>
        <v>0.96217163069243539</v>
      </c>
      <c r="R203" s="1">
        <f t="shared" si="165"/>
        <v>0.92241060511232753</v>
      </c>
      <c r="S203" s="1">
        <f t="shared" si="159"/>
        <v>0.91888768809189858</v>
      </c>
      <c r="T203" s="62">
        <f t="shared" si="160"/>
        <v>0.87560688561525757</v>
      </c>
      <c r="U203" s="65">
        <f t="shared" si="161"/>
        <v>0.83091731551048797</v>
      </c>
      <c r="V203" s="67">
        <f t="shared" si="162"/>
        <v>0.78523749811006394</v>
      </c>
      <c r="W203" s="68">
        <f t="shared" si="163"/>
        <v>0.73902069586666796</v>
      </c>
      <c r="Y203" s="24"/>
      <c r="Z203" s="24"/>
      <c r="AA203" s="24"/>
      <c r="AB203" s="24">
        <f t="shared" si="176"/>
        <v>8.0764812790337523E-2</v>
      </c>
      <c r="AC203" s="24">
        <f t="shared" si="177"/>
        <v>8.4591375093844901E-2</v>
      </c>
      <c r="AD203" s="24">
        <f t="shared" si="178"/>
        <v>8.8558699654763748E-2</v>
      </c>
      <c r="AE203" s="24">
        <f t="shared" si="179"/>
        <v>9.2612494532260073E-2</v>
      </c>
      <c r="AF203" s="24">
        <f t="shared" si="180"/>
        <v>9.6707624637683745E-2</v>
      </c>
      <c r="AG203" s="24">
        <f t="shared" si="181"/>
        <v>0.10080978439792559</v>
      </c>
      <c r="AH203" s="24">
        <f t="shared" si="182"/>
        <v>0.10489252233547688</v>
      </c>
      <c r="AL203" s="23">
        <f t="shared" si="166"/>
        <v>0</v>
      </c>
      <c r="AM203" s="23">
        <f t="shared" si="167"/>
        <v>0</v>
      </c>
      <c r="AN203" s="23">
        <f t="shared" si="168"/>
        <v>0</v>
      </c>
      <c r="AO203" s="23">
        <f t="shared" si="169"/>
        <v>6284.1568941232163</v>
      </c>
      <c r="AP203" s="23">
        <f t="shared" si="170"/>
        <v>7789.2996186796463</v>
      </c>
      <c r="AQ203" s="23">
        <f t="shared" si="171"/>
        <v>9582.3131802817952</v>
      </c>
      <c r="AR203" s="23">
        <f t="shared" si="172"/>
        <v>10905.739149088206</v>
      </c>
      <c r="AS203" s="23">
        <f t="shared" si="173"/>
        <v>12050.4849834128</v>
      </c>
      <c r="AT203" s="23">
        <f t="shared" si="174"/>
        <v>12998.592403863664</v>
      </c>
      <c r="AU203" s="23">
        <f t="shared" si="175"/>
        <v>13742.146861858857</v>
      </c>
      <c r="AW203" s="25"/>
      <c r="AX203" s="25"/>
      <c r="AY203" s="25"/>
      <c r="AZ203" s="25">
        <f t="shared" si="183"/>
        <v>73352.733091308197</v>
      </c>
      <c r="BA203" s="25">
        <f t="shared" si="184"/>
        <v>67068.576197184972</v>
      </c>
      <c r="BB203" s="25">
        <f t="shared" si="185"/>
        <v>59279.27657850532</v>
      </c>
      <c r="BC203" s="25">
        <f t="shared" si="186"/>
        <v>49696.963398223525</v>
      </c>
      <c r="BD203" s="25">
        <f t="shared" si="187"/>
        <v>38791.224249135317</v>
      </c>
      <c r="BE203" s="25">
        <f t="shared" si="188"/>
        <v>26740.739265722521</v>
      </c>
      <c r="BF203" s="25">
        <f t="shared" si="189"/>
        <v>13742.146861858857</v>
      </c>
      <c r="BG203" s="25">
        <f t="shared" si="190"/>
        <v>0</v>
      </c>
      <c r="BI203" s="25"/>
      <c r="BJ203" s="25"/>
      <c r="BK203" s="25"/>
      <c r="BL203" s="25">
        <f t="shared" si="151"/>
        <v>73352.733091308197</v>
      </c>
      <c r="BM203" s="25">
        <f t="shared" si="152"/>
        <v>67068.576197184972</v>
      </c>
      <c r="BN203" s="25">
        <f t="shared" si="153"/>
        <v>59279.27657850532</v>
      </c>
      <c r="BO203" s="25">
        <f t="shared" si="154"/>
        <v>49696.963398223525</v>
      </c>
      <c r="BP203" s="25">
        <f t="shared" si="155"/>
        <v>38791.224249135317</v>
      </c>
      <c r="BQ203" s="25">
        <f t="shared" si="156"/>
        <v>26740.739265722521</v>
      </c>
      <c r="BR203" s="25">
        <f t="shared" si="157"/>
        <v>13742.146861858857</v>
      </c>
      <c r="BS203" s="25">
        <f t="shared" si="158"/>
        <v>0</v>
      </c>
    </row>
    <row r="204" spans="1:71" x14ac:dyDescent="0.2">
      <c r="A204" s="29">
        <f t="shared" si="191"/>
        <v>1.9600000000000015</v>
      </c>
      <c r="B204" s="30">
        <v>6.584416866485282E-2</v>
      </c>
      <c r="C204" s="30">
        <v>6.9613094410566345E-2</v>
      </c>
      <c r="D204" s="30">
        <v>7.3116536988334105E-2</v>
      </c>
      <c r="E204" s="30">
        <v>7.6611347252417264E-2</v>
      </c>
      <c r="F204" s="30">
        <v>8.0270568475145659E-2</v>
      </c>
      <c r="G204" s="30">
        <v>8.4112436173610694E-2</v>
      </c>
      <c r="H204" s="30">
        <v>8.8091079972133016E-2</v>
      </c>
      <c r="I204" s="30">
        <v>9.215254310489028E-2</v>
      </c>
      <c r="J204" s="30">
        <v>9.6252057998564733E-2</v>
      </c>
      <c r="K204" s="30">
        <v>0.10035562628843743</v>
      </c>
      <c r="L204" s="30">
        <v>0.1044370436769379</v>
      </c>
      <c r="N204" s="1"/>
      <c r="O204" s="1"/>
      <c r="P204" s="1"/>
      <c r="Q204" s="54">
        <f t="shared" si="164"/>
        <v>0.96241870990717626</v>
      </c>
      <c r="R204" s="1">
        <f t="shared" si="165"/>
        <v>0.92286661399079217</v>
      </c>
      <c r="S204" s="1">
        <f t="shared" si="159"/>
        <v>0.9193278845742493</v>
      </c>
      <c r="T204" s="62">
        <f t="shared" si="160"/>
        <v>0.87622127758734258</v>
      </c>
      <c r="U204" s="65">
        <f t="shared" si="161"/>
        <v>0.83168203039885646</v>
      </c>
      <c r="V204" s="67">
        <f t="shared" si="162"/>
        <v>0.78613232760122831</v>
      </c>
      <c r="W204" s="68">
        <f t="shared" si="163"/>
        <v>0.74002827884009015</v>
      </c>
      <c r="Y204" s="24"/>
      <c r="Z204" s="24"/>
      <c r="AA204" s="24"/>
      <c r="AB204" s="24">
        <f t="shared" si="176"/>
        <v>8.0270568475145659E-2</v>
      </c>
      <c r="AC204" s="24">
        <f t="shared" si="177"/>
        <v>8.4112436173610694E-2</v>
      </c>
      <c r="AD204" s="24">
        <f t="shared" si="178"/>
        <v>8.8091079972133016E-2</v>
      </c>
      <c r="AE204" s="24">
        <f t="shared" si="179"/>
        <v>9.215254310489028E-2</v>
      </c>
      <c r="AF204" s="24">
        <f t="shared" si="180"/>
        <v>9.6252057998564733E-2</v>
      </c>
      <c r="AG204" s="24">
        <f t="shared" si="181"/>
        <v>0.10035562628843743</v>
      </c>
      <c r="AH204" s="24">
        <f t="shared" si="182"/>
        <v>0.10443704367693792</v>
      </c>
      <c r="AL204" s="23">
        <f t="shared" si="166"/>
        <v>0</v>
      </c>
      <c r="AM204" s="23">
        <f t="shared" si="167"/>
        <v>0</v>
      </c>
      <c r="AN204" s="23">
        <f t="shared" si="168"/>
        <v>0</v>
      </c>
      <c r="AO204" s="23">
        <f t="shared" si="169"/>
        <v>6047.9356353188396</v>
      </c>
      <c r="AP204" s="23">
        <f t="shared" si="170"/>
        <v>7572.1520174548841</v>
      </c>
      <c r="AQ204" s="23">
        <f t="shared" si="171"/>
        <v>9371.9557153835085</v>
      </c>
      <c r="AR204" s="23">
        <f t="shared" si="172"/>
        <v>10711.881826306417</v>
      </c>
      <c r="AS204" s="23">
        <f t="shared" si="173"/>
        <v>11872.132065499893</v>
      </c>
      <c r="AT204" s="23">
        <f t="shared" si="174"/>
        <v>12834.890964285099</v>
      </c>
      <c r="AU204" s="23">
        <f t="shared" si="175"/>
        <v>13592.349401130408</v>
      </c>
      <c r="AW204" s="25"/>
      <c r="AX204" s="25"/>
      <c r="AY204" s="25"/>
      <c r="AZ204" s="25">
        <f t="shared" si="183"/>
        <v>72003.297625379055</v>
      </c>
      <c r="BA204" s="25">
        <f t="shared" si="184"/>
        <v>65955.361990060206</v>
      </c>
      <c r="BB204" s="25">
        <f t="shared" si="185"/>
        <v>58383.20997260532</v>
      </c>
      <c r="BC204" s="25">
        <f t="shared" si="186"/>
        <v>49011.254257221815</v>
      </c>
      <c r="BD204" s="25">
        <f t="shared" si="187"/>
        <v>38299.372430915399</v>
      </c>
      <c r="BE204" s="25">
        <f t="shared" si="188"/>
        <v>26427.240365415506</v>
      </c>
      <c r="BF204" s="25">
        <f t="shared" si="189"/>
        <v>13592.349401130408</v>
      </c>
      <c r="BG204" s="25">
        <f t="shared" si="190"/>
        <v>0</v>
      </c>
      <c r="BI204" s="25"/>
      <c r="BJ204" s="25"/>
      <c r="BK204" s="25"/>
      <c r="BL204" s="25">
        <f t="shared" si="151"/>
        <v>72003.297625379055</v>
      </c>
      <c r="BM204" s="25">
        <f t="shared" si="152"/>
        <v>65955.361990060206</v>
      </c>
      <c r="BN204" s="25">
        <f t="shared" si="153"/>
        <v>58383.20997260532</v>
      </c>
      <c r="BO204" s="25">
        <f t="shared" si="154"/>
        <v>49011.254257221815</v>
      </c>
      <c r="BP204" s="25">
        <f t="shared" si="155"/>
        <v>38299.372430915399</v>
      </c>
      <c r="BQ204" s="25">
        <f t="shared" si="156"/>
        <v>26427.240365415506</v>
      </c>
      <c r="BR204" s="25">
        <f t="shared" si="157"/>
        <v>13592.349401130408</v>
      </c>
      <c r="BS204" s="25">
        <f t="shared" si="158"/>
        <v>0</v>
      </c>
    </row>
    <row r="205" spans="1:71" x14ac:dyDescent="0.2">
      <c r="A205" s="29">
        <f t="shared" si="191"/>
        <v>1.9700000000000015</v>
      </c>
      <c r="B205" s="30">
        <v>6.5164178692530425E-2</v>
      </c>
      <c r="C205" s="30">
        <v>6.8959858161597179E-2</v>
      </c>
      <c r="D205" s="30">
        <v>7.2495920655765614E-2</v>
      </c>
      <c r="E205" s="30">
        <v>7.6027453450532606E-2</v>
      </c>
      <c r="F205" s="30">
        <v>7.9724313407934913E-2</v>
      </c>
      <c r="G205" s="30">
        <v>8.3603361345831267E-2</v>
      </c>
      <c r="H205" s="30">
        <v>8.7618470704827187E-2</v>
      </c>
      <c r="I205" s="30">
        <v>9.1715772576172666E-2</v>
      </c>
      <c r="J205" s="30">
        <v>9.5850617730997817E-2</v>
      </c>
      <c r="K205" s="30">
        <v>9.9989065847659236E-2</v>
      </c>
      <c r="L205" s="30">
        <v>0.10410491107751937</v>
      </c>
      <c r="N205" s="1"/>
      <c r="O205" s="1"/>
      <c r="P205" s="1"/>
      <c r="Q205" s="54">
        <f t="shared" si="164"/>
        <v>0.96269972608584786</v>
      </c>
      <c r="R205" s="1">
        <f t="shared" si="165"/>
        <v>0.92337087226932524</v>
      </c>
      <c r="S205" s="1">
        <f t="shared" si="159"/>
        <v>0.91979601040419001</v>
      </c>
      <c r="T205" s="62">
        <f t="shared" si="160"/>
        <v>0.8768426632597871</v>
      </c>
      <c r="U205" s="65">
        <f t="shared" si="161"/>
        <v>0.83240885620901595</v>
      </c>
      <c r="V205" s="67">
        <f t="shared" si="162"/>
        <v>0.78692168656540418</v>
      </c>
      <c r="W205" s="68">
        <f t="shared" si="163"/>
        <v>0.74084252173812803</v>
      </c>
      <c r="Y205" s="24"/>
      <c r="Z205" s="24"/>
      <c r="AA205" s="24"/>
      <c r="AB205" s="24">
        <f t="shared" si="176"/>
        <v>7.9724313407934913E-2</v>
      </c>
      <c r="AC205" s="24">
        <f t="shared" si="177"/>
        <v>8.3603361345831267E-2</v>
      </c>
      <c r="AD205" s="24">
        <f t="shared" si="178"/>
        <v>8.7618470704827187E-2</v>
      </c>
      <c r="AE205" s="24">
        <f t="shared" si="179"/>
        <v>9.1715772576172666E-2</v>
      </c>
      <c r="AF205" s="24">
        <f t="shared" si="180"/>
        <v>9.5850617730997817E-2</v>
      </c>
      <c r="AG205" s="24">
        <f t="shared" si="181"/>
        <v>9.9989065847659236E-2</v>
      </c>
      <c r="AH205" s="24">
        <f t="shared" si="182"/>
        <v>0.10410491107751937</v>
      </c>
      <c r="AL205" s="23">
        <f t="shared" si="166"/>
        <v>0</v>
      </c>
      <c r="AM205" s="23">
        <f t="shared" si="167"/>
        <v>0</v>
      </c>
      <c r="AN205" s="23">
        <f t="shared" si="168"/>
        <v>0</v>
      </c>
      <c r="AO205" s="23">
        <f t="shared" si="169"/>
        <v>5786.7617673631858</v>
      </c>
      <c r="AP205" s="23">
        <f t="shared" si="170"/>
        <v>7341.2570399259557</v>
      </c>
      <c r="AQ205" s="23">
        <f t="shared" si="171"/>
        <v>9159.3758974622069</v>
      </c>
      <c r="AR205" s="23">
        <f t="shared" si="172"/>
        <v>10527.988803733489</v>
      </c>
      <c r="AS205" s="23">
        <f t="shared" si="173"/>
        <v>11715.426174294354</v>
      </c>
      <c r="AT205" s="23">
        <f t="shared" si="174"/>
        <v>12703.551355205427</v>
      </c>
      <c r="AU205" s="23">
        <f t="shared" si="175"/>
        <v>13484.275899261924</v>
      </c>
      <c r="AW205" s="25"/>
      <c r="AX205" s="25"/>
      <c r="AY205" s="25"/>
      <c r="AZ205" s="25">
        <f t="shared" si="183"/>
        <v>70718.636937246541</v>
      </c>
      <c r="BA205" s="25">
        <f t="shared" si="184"/>
        <v>64931.875169883351</v>
      </c>
      <c r="BB205" s="25">
        <f t="shared" si="185"/>
        <v>57590.618129957395</v>
      </c>
      <c r="BC205" s="25">
        <f t="shared" si="186"/>
        <v>48431.242232495191</v>
      </c>
      <c r="BD205" s="25">
        <f t="shared" si="187"/>
        <v>37903.253428761702</v>
      </c>
      <c r="BE205" s="25">
        <f t="shared" si="188"/>
        <v>26187.827254467353</v>
      </c>
      <c r="BF205" s="25">
        <f t="shared" si="189"/>
        <v>13484.275899261924</v>
      </c>
      <c r="BG205" s="25">
        <f t="shared" si="190"/>
        <v>0</v>
      </c>
      <c r="BI205" s="25"/>
      <c r="BJ205" s="25"/>
      <c r="BK205" s="25"/>
      <c r="BL205" s="25">
        <f t="shared" si="151"/>
        <v>70718.636937246541</v>
      </c>
      <c r="BM205" s="25">
        <f t="shared" si="152"/>
        <v>64931.875169883351</v>
      </c>
      <c r="BN205" s="25">
        <f t="shared" si="153"/>
        <v>57590.618129957395</v>
      </c>
      <c r="BO205" s="25">
        <f t="shared" si="154"/>
        <v>48431.242232495191</v>
      </c>
      <c r="BP205" s="25">
        <f t="shared" si="155"/>
        <v>37903.253428761702</v>
      </c>
      <c r="BQ205" s="25">
        <f t="shared" si="156"/>
        <v>26187.827254467353</v>
      </c>
      <c r="BR205" s="25">
        <f t="shared" si="157"/>
        <v>13484.275899261924</v>
      </c>
      <c r="BS205" s="25">
        <f t="shared" si="158"/>
        <v>0</v>
      </c>
    </row>
    <row r="206" spans="1:71" x14ac:dyDescent="0.2">
      <c r="A206" s="29">
        <f t="shared" si="191"/>
        <v>1.9800000000000015</v>
      </c>
      <c r="B206" s="30">
        <v>6.5165224234865649E-2</v>
      </c>
      <c r="C206" s="30">
        <v>6.8888660896873025E-2</v>
      </c>
      <c r="D206" s="30">
        <v>7.2361136662009523E-2</v>
      </c>
      <c r="E206" s="30">
        <v>7.5835961548494452E-2</v>
      </c>
      <c r="F206" s="30">
        <v>7.9479857020410008E-2</v>
      </c>
      <c r="G206" s="30">
        <v>8.3308346344809839E-2</v>
      </c>
      <c r="H206" s="30">
        <v>8.7275068437517395E-2</v>
      </c>
      <c r="I206" s="30">
        <v>9.1326257634719826E-2</v>
      </c>
      <c r="J206" s="30">
        <v>9.5417396624084896E-2</v>
      </c>
      <c r="K206" s="30">
        <v>9.9514616713279228E-2</v>
      </c>
      <c r="L206" s="30">
        <v>0.10359172452148747</v>
      </c>
      <c r="N206" s="1"/>
      <c r="O206" s="1"/>
      <c r="P206" s="1"/>
      <c r="Q206" s="54">
        <f t="shared" si="164"/>
        <v>0.96279190509948098</v>
      </c>
      <c r="R206" s="1">
        <f t="shared" si="165"/>
        <v>0.92359662376917973</v>
      </c>
      <c r="S206" s="1">
        <f t="shared" si="159"/>
        <v>0.92006740405576981</v>
      </c>
      <c r="T206" s="62">
        <f t="shared" si="160"/>
        <v>0.8772944442447147</v>
      </c>
      <c r="U206" s="65">
        <f t="shared" si="161"/>
        <v>0.83305758023769161</v>
      </c>
      <c r="V206" s="67">
        <f t="shared" si="162"/>
        <v>0.78777442597320557</v>
      </c>
      <c r="W206" s="68">
        <f t="shared" si="163"/>
        <v>0.7418977488167906</v>
      </c>
      <c r="Y206" s="24"/>
      <c r="Z206" s="24"/>
      <c r="AA206" s="24"/>
      <c r="AB206" s="24">
        <f t="shared" si="176"/>
        <v>7.9479857020410008E-2</v>
      </c>
      <c r="AC206" s="24">
        <f t="shared" si="177"/>
        <v>8.3308346344809839E-2</v>
      </c>
      <c r="AD206" s="24">
        <f t="shared" si="178"/>
        <v>8.7275068437517381E-2</v>
      </c>
      <c r="AE206" s="24">
        <f t="shared" si="179"/>
        <v>9.1326257634719826E-2</v>
      </c>
      <c r="AF206" s="24">
        <f t="shared" si="180"/>
        <v>9.5417396624084896E-2</v>
      </c>
      <c r="AG206" s="24">
        <f t="shared" si="181"/>
        <v>9.9514616713279228E-2</v>
      </c>
      <c r="AH206" s="24">
        <f t="shared" si="182"/>
        <v>0.10359172452148749</v>
      </c>
      <c r="AL206" s="23">
        <f t="shared" si="166"/>
        <v>0</v>
      </c>
      <c r="AM206" s="23">
        <f t="shared" si="167"/>
        <v>0</v>
      </c>
      <c r="AN206" s="23">
        <f t="shared" si="168"/>
        <v>0</v>
      </c>
      <c r="AO206" s="23">
        <f t="shared" si="169"/>
        <v>5669.6355373678025</v>
      </c>
      <c r="AP206" s="23">
        <f t="shared" si="170"/>
        <v>7206.8144470201923</v>
      </c>
      <c r="AQ206" s="23">
        <f t="shared" si="171"/>
        <v>9004.1018330637326</v>
      </c>
      <c r="AR206" s="23">
        <f t="shared" si="172"/>
        <v>10362.553556471619</v>
      </c>
      <c r="AS206" s="23">
        <f t="shared" si="173"/>
        <v>11544.107333755237</v>
      </c>
      <c r="AT206" s="23">
        <f t="shared" si="174"/>
        <v>12530.437977754504</v>
      </c>
      <c r="AU206" s="23">
        <f t="shared" si="175"/>
        <v>13313.116398525117</v>
      </c>
      <c r="AW206" s="25"/>
      <c r="AX206" s="25"/>
      <c r="AY206" s="25"/>
      <c r="AZ206" s="25">
        <f t="shared" si="183"/>
        <v>69630.767083958199</v>
      </c>
      <c r="BA206" s="25">
        <f t="shared" si="184"/>
        <v>63961.131546590404</v>
      </c>
      <c r="BB206" s="25">
        <f t="shared" si="185"/>
        <v>56754.317099570209</v>
      </c>
      <c r="BC206" s="25">
        <f t="shared" si="186"/>
        <v>47750.215266506479</v>
      </c>
      <c r="BD206" s="25">
        <f t="shared" si="187"/>
        <v>37387.661710034859</v>
      </c>
      <c r="BE206" s="25">
        <f t="shared" si="188"/>
        <v>25843.554376279622</v>
      </c>
      <c r="BF206" s="25">
        <f t="shared" si="189"/>
        <v>13313.116398525117</v>
      </c>
      <c r="BG206" s="25">
        <f t="shared" si="190"/>
        <v>0</v>
      </c>
      <c r="BI206" s="25"/>
      <c r="BJ206" s="25"/>
      <c r="BK206" s="25"/>
      <c r="BL206" s="25">
        <f t="shared" si="151"/>
        <v>69630.767083958199</v>
      </c>
      <c r="BM206" s="25">
        <f t="shared" si="152"/>
        <v>63961.131546590404</v>
      </c>
      <c r="BN206" s="25">
        <f t="shared" si="153"/>
        <v>56754.317099570209</v>
      </c>
      <c r="BO206" s="25">
        <f t="shared" si="154"/>
        <v>47750.215266506479</v>
      </c>
      <c r="BP206" s="25">
        <f t="shared" si="155"/>
        <v>37387.661710034859</v>
      </c>
      <c r="BQ206" s="25">
        <f t="shared" si="156"/>
        <v>25843.554376279622</v>
      </c>
      <c r="BR206" s="25">
        <f t="shared" si="157"/>
        <v>13313.116398525117</v>
      </c>
      <c r="BS206" s="25">
        <f t="shared" si="158"/>
        <v>0</v>
      </c>
    </row>
    <row r="207" spans="1:71" x14ac:dyDescent="0.2">
      <c r="A207" s="29">
        <f t="shared" si="191"/>
        <v>1.9900000000000015</v>
      </c>
      <c r="B207" s="30">
        <v>6.5606797370786535E-2</v>
      </c>
      <c r="C207" s="30">
        <v>6.9277548790362201E-2</v>
      </c>
      <c r="D207" s="30">
        <v>7.271011027375382E-2</v>
      </c>
      <c r="E207" s="30">
        <v>7.6155722862508796E-2</v>
      </c>
      <c r="F207" s="30">
        <v>7.9777744023116909E-2</v>
      </c>
      <c r="G207" s="30">
        <v>8.359011697576639E-2</v>
      </c>
      <c r="H207" s="30">
        <v>8.7545988310312212E-2</v>
      </c>
      <c r="I207" s="30">
        <v>9.1591431624729852E-2</v>
      </c>
      <c r="J207" s="30">
        <v>9.5681795760899385E-2</v>
      </c>
      <c r="K207" s="30">
        <v>9.9783017915986885E-2</v>
      </c>
      <c r="L207" s="30">
        <v>0.10386865186817654</v>
      </c>
      <c r="N207" s="1"/>
      <c r="O207" s="1"/>
      <c r="P207" s="1"/>
      <c r="Q207" s="54">
        <f t="shared" si="164"/>
        <v>0.96263798560183556</v>
      </c>
      <c r="R207" s="1">
        <f t="shared" si="165"/>
        <v>0.92332153731358901</v>
      </c>
      <c r="S207" s="1">
        <f t="shared" si="159"/>
        <v>0.91980819260360858</v>
      </c>
      <c r="T207" s="62">
        <f t="shared" si="160"/>
        <v>0.87693800192624327</v>
      </c>
      <c r="U207" s="65">
        <f t="shared" si="161"/>
        <v>0.83261588696869149</v>
      </c>
      <c r="V207" s="67">
        <f t="shared" si="162"/>
        <v>0.78725388083618497</v>
      </c>
      <c r="W207" s="68">
        <f t="shared" si="163"/>
        <v>0.74130061051380602</v>
      </c>
      <c r="Y207" s="24"/>
      <c r="Z207" s="24"/>
      <c r="AA207" s="24"/>
      <c r="AB207" s="24">
        <f t="shared" si="176"/>
        <v>7.9777744023116909E-2</v>
      </c>
      <c r="AC207" s="24">
        <f t="shared" si="177"/>
        <v>8.359011697576639E-2</v>
      </c>
      <c r="AD207" s="24">
        <f t="shared" si="178"/>
        <v>8.7545988310312198E-2</v>
      </c>
      <c r="AE207" s="24">
        <f t="shared" si="179"/>
        <v>9.1591431624729852E-2</v>
      </c>
      <c r="AF207" s="24">
        <f t="shared" si="180"/>
        <v>9.5681795760899385E-2</v>
      </c>
      <c r="AG207" s="24">
        <f t="shared" si="181"/>
        <v>9.9783017915986885E-2</v>
      </c>
      <c r="AH207" s="24">
        <f t="shared" si="182"/>
        <v>0.10386865186817654</v>
      </c>
      <c r="AL207" s="23">
        <f t="shared" si="166"/>
        <v>0</v>
      </c>
      <c r="AM207" s="23">
        <f t="shared" si="167"/>
        <v>0</v>
      </c>
      <c r="AN207" s="23">
        <f t="shared" si="168"/>
        <v>0</v>
      </c>
      <c r="AO207" s="23">
        <f t="shared" si="169"/>
        <v>5812.1078168837194</v>
      </c>
      <c r="AP207" s="23">
        <f t="shared" si="170"/>
        <v>7334.750396460413</v>
      </c>
      <c r="AQ207" s="23">
        <f t="shared" si="171"/>
        <v>9126.1622582822911</v>
      </c>
      <c r="AR207" s="23">
        <f t="shared" si="172"/>
        <v>10474.613853959419</v>
      </c>
      <c r="AS207" s="23">
        <f t="shared" si="173"/>
        <v>11648.058023868598</v>
      </c>
      <c r="AT207" s="23">
        <f t="shared" si="174"/>
        <v>12627.808066302625</v>
      </c>
      <c r="AU207" s="23">
        <f t="shared" si="175"/>
        <v>13405.044149390294</v>
      </c>
      <c r="AW207" s="25"/>
      <c r="AX207" s="25"/>
      <c r="AY207" s="25"/>
      <c r="AZ207" s="25">
        <f t="shared" si="183"/>
        <v>70428.544565147371</v>
      </c>
      <c r="BA207" s="25">
        <f t="shared" si="184"/>
        <v>64616.436748263644</v>
      </c>
      <c r="BB207" s="25">
        <f t="shared" si="185"/>
        <v>57281.686351803233</v>
      </c>
      <c r="BC207" s="25">
        <f t="shared" si="186"/>
        <v>48155.524093520944</v>
      </c>
      <c r="BD207" s="25">
        <f t="shared" si="187"/>
        <v>37680.910239561519</v>
      </c>
      <c r="BE207" s="25">
        <f t="shared" si="188"/>
        <v>26032.852215692918</v>
      </c>
      <c r="BF207" s="25">
        <f t="shared" si="189"/>
        <v>13405.044149390294</v>
      </c>
      <c r="BG207" s="25">
        <f t="shared" si="190"/>
        <v>0</v>
      </c>
      <c r="BI207" s="25"/>
      <c r="BJ207" s="25"/>
      <c r="BK207" s="25"/>
      <c r="BL207" s="25">
        <f t="shared" si="151"/>
        <v>70428.544565147371</v>
      </c>
      <c r="BM207" s="25">
        <f t="shared" si="152"/>
        <v>64616.436748263644</v>
      </c>
      <c r="BN207" s="25">
        <f t="shared" si="153"/>
        <v>57281.686351803233</v>
      </c>
      <c r="BO207" s="25">
        <f t="shared" si="154"/>
        <v>48155.524093520944</v>
      </c>
      <c r="BP207" s="25">
        <f t="shared" si="155"/>
        <v>37680.910239561519</v>
      </c>
      <c r="BQ207" s="25">
        <f t="shared" si="156"/>
        <v>26032.852215692918</v>
      </c>
      <c r="BR207" s="25">
        <f t="shared" si="157"/>
        <v>13405.044149390294</v>
      </c>
      <c r="BS207" s="25">
        <f t="shared" si="158"/>
        <v>0</v>
      </c>
    </row>
    <row r="208" spans="1:71" x14ac:dyDescent="0.2">
      <c r="A208" s="29">
        <f t="shared" si="191"/>
        <v>2.0000000000000013</v>
      </c>
      <c r="B208" s="30">
        <v>6.5405402818285122E-2</v>
      </c>
      <c r="C208" s="30">
        <v>6.9115310932911983E-2</v>
      </c>
      <c r="D208" s="30">
        <v>7.2587339062256728E-2</v>
      </c>
      <c r="E208" s="30">
        <v>7.6071165475772834E-2</v>
      </c>
      <c r="F208" s="30">
        <v>7.9727351426368706E-2</v>
      </c>
      <c r="G208" s="30">
        <v>8.3568813946781534E-2</v>
      </c>
      <c r="H208" s="30">
        <v>8.7548746037649422E-2</v>
      </c>
      <c r="I208" s="30">
        <v>9.1613593201581106E-2</v>
      </c>
      <c r="J208" s="30">
        <v>9.5719101334371184E-2</v>
      </c>
      <c r="K208" s="30">
        <v>9.983154445307163E-2</v>
      </c>
      <c r="L208" s="30">
        <v>0.10392475485456153</v>
      </c>
      <c r="N208" s="1"/>
      <c r="O208" s="1"/>
      <c r="P208" s="1"/>
      <c r="Q208" s="54">
        <f t="shared" si="164"/>
        <v>0.96267868553841718</v>
      </c>
      <c r="R208" s="1">
        <f t="shared" si="165"/>
        <v>0.92336806705585517</v>
      </c>
      <c r="S208" s="1">
        <f t="shared" si="159"/>
        <v>0.91982778751291094</v>
      </c>
      <c r="T208" s="62">
        <f t="shared" si="160"/>
        <v>0.87693437439989452</v>
      </c>
      <c r="U208" s="65">
        <f t="shared" si="161"/>
        <v>0.83257898362460059</v>
      </c>
      <c r="V208" s="67">
        <f t="shared" si="162"/>
        <v>0.78718046186617796</v>
      </c>
      <c r="W208" s="68">
        <f t="shared" si="163"/>
        <v>0.74119270011407257</v>
      </c>
      <c r="Y208" s="24"/>
      <c r="Z208" s="24"/>
      <c r="AA208" s="24"/>
      <c r="AB208" s="24">
        <f t="shared" si="176"/>
        <v>7.9727351426368706E-2</v>
      </c>
      <c r="AC208" s="24">
        <f t="shared" si="177"/>
        <v>8.3568813946781534E-2</v>
      </c>
      <c r="AD208" s="24">
        <f t="shared" si="178"/>
        <v>8.7548746037649436E-2</v>
      </c>
      <c r="AE208" s="24">
        <f t="shared" si="179"/>
        <v>9.1613593201581106E-2</v>
      </c>
      <c r="AF208" s="24">
        <f t="shared" si="180"/>
        <v>9.5719101334371184E-2</v>
      </c>
      <c r="AG208" s="24">
        <f t="shared" si="181"/>
        <v>9.983154445307163E-2</v>
      </c>
      <c r="AH208" s="24">
        <f t="shared" si="182"/>
        <v>0.10392475485456151</v>
      </c>
      <c r="AL208" s="23">
        <f t="shared" si="166"/>
        <v>0</v>
      </c>
      <c r="AM208" s="23">
        <f t="shared" si="167"/>
        <v>0</v>
      </c>
      <c r="AN208" s="23">
        <f t="shared" si="168"/>
        <v>0</v>
      </c>
      <c r="AO208" s="23">
        <f t="shared" si="169"/>
        <v>5788.0976110033271</v>
      </c>
      <c r="AP208" s="23">
        <f t="shared" si="170"/>
        <v>7325.2847545444392</v>
      </c>
      <c r="AQ208" s="23">
        <f t="shared" si="171"/>
        <v>9127.624992369816</v>
      </c>
      <c r="AR208" s="23">
        <f t="shared" si="172"/>
        <v>10484.287649121463</v>
      </c>
      <c r="AS208" s="23">
        <f t="shared" si="173"/>
        <v>11663.071674866193</v>
      </c>
      <c r="AT208" s="23">
        <f t="shared" si="174"/>
        <v>12645.729973103829</v>
      </c>
      <c r="AU208" s="23">
        <f t="shared" si="175"/>
        <v>13423.884352298246</v>
      </c>
      <c r="AW208" s="25"/>
      <c r="AX208" s="25"/>
      <c r="AY208" s="25"/>
      <c r="AZ208" s="25">
        <f t="shared" si="183"/>
        <v>70457.981007307317</v>
      </c>
      <c r="BA208" s="25">
        <f t="shared" si="184"/>
        <v>64669.88339630398</v>
      </c>
      <c r="BB208" s="25">
        <f t="shared" si="185"/>
        <v>57344.598641759541</v>
      </c>
      <c r="BC208" s="25">
        <f t="shared" si="186"/>
        <v>48216.973649389736</v>
      </c>
      <c r="BD208" s="25">
        <f t="shared" si="187"/>
        <v>37732.686000268266</v>
      </c>
      <c r="BE208" s="25">
        <f t="shared" si="188"/>
        <v>26069.614325402075</v>
      </c>
      <c r="BF208" s="25">
        <f t="shared" si="189"/>
        <v>13423.884352298246</v>
      </c>
      <c r="BG208" s="25">
        <f t="shared" si="190"/>
        <v>0</v>
      </c>
      <c r="BI208" s="25"/>
      <c r="BJ208" s="25"/>
      <c r="BK208" s="25"/>
      <c r="BL208" s="25">
        <f t="shared" si="151"/>
        <v>70457.981007307317</v>
      </c>
      <c r="BM208" s="25">
        <f t="shared" si="152"/>
        <v>64669.88339630398</v>
      </c>
      <c r="BN208" s="25">
        <f t="shared" si="153"/>
        <v>57344.598641759541</v>
      </c>
      <c r="BO208" s="25">
        <f t="shared" si="154"/>
        <v>48216.973649389736</v>
      </c>
      <c r="BP208" s="25">
        <f t="shared" si="155"/>
        <v>37732.686000268266</v>
      </c>
      <c r="BQ208" s="25">
        <f t="shared" si="156"/>
        <v>26069.614325402075</v>
      </c>
      <c r="BR208" s="25">
        <f t="shared" si="157"/>
        <v>13423.884352298246</v>
      </c>
      <c r="BS208" s="25">
        <f t="shared" si="158"/>
        <v>0</v>
      </c>
    </row>
    <row r="209" spans="1:71" x14ac:dyDescent="0.2">
      <c r="A209" s="29">
        <f t="shared" si="191"/>
        <v>2.0100000000000011</v>
      </c>
      <c r="B209" s="30">
        <v>6.386786551258293E-2</v>
      </c>
      <c r="C209" s="30">
        <v>6.7677872174182155E-2</v>
      </c>
      <c r="D209" s="30">
        <v>7.1248669721433622E-2</v>
      </c>
      <c r="E209" s="30">
        <v>7.4828332714566279E-2</v>
      </c>
      <c r="F209" s="30">
        <v>7.8574645325128853E-2</v>
      </c>
      <c r="G209" s="30">
        <v>8.2499503582071296E-2</v>
      </c>
      <c r="H209" s="30">
        <v>8.6556137138390887E-2</v>
      </c>
      <c r="I209" s="30">
        <v>9.0691347636014386E-2</v>
      </c>
      <c r="J209" s="30">
        <v>9.4861260551669435E-2</v>
      </c>
      <c r="K209" s="30">
        <v>9.9032469287969174E-2</v>
      </c>
      <c r="L209" s="30">
        <v>0.10317906765378104</v>
      </c>
      <c r="N209" s="1"/>
      <c r="O209" s="1"/>
      <c r="P209" s="1"/>
      <c r="Q209" s="1"/>
      <c r="R209" s="1">
        <f>EXP(-F209*($R$7-$Q$7))</f>
        <v>0.96147441606642403</v>
      </c>
      <c r="S209" s="1">
        <f>EXP(-G209*($S$7-$R$7))</f>
        <v>0.95958944083614461</v>
      </c>
      <c r="T209" s="63">
        <f>EXP(-H209*($T$7-$R$7))</f>
        <v>0.91708406486457383</v>
      </c>
      <c r="U209" s="65">
        <f>EXP(-I209*($U$7-$R$7))</f>
        <v>0.87281031918347907</v>
      </c>
      <c r="V209" s="62">
        <f>EXP(-J209*($V$7-$R$7))</f>
        <v>0.82718862949004579</v>
      </c>
      <c r="W209" s="68">
        <f>EXP(-K209*($W$7-$R$7))</f>
        <v>0.78068684737369476</v>
      </c>
      <c r="Y209" s="24"/>
      <c r="Z209" s="24"/>
      <c r="AA209" s="24"/>
      <c r="AB209" s="24"/>
      <c r="AC209" s="24">
        <f t="shared" si="177"/>
        <v>8.2499503582071296E-2</v>
      </c>
      <c r="AD209" s="24">
        <f t="shared" si="178"/>
        <v>8.6556137138390887E-2</v>
      </c>
      <c r="AE209" s="24">
        <f t="shared" si="179"/>
        <v>9.0691347636014386E-2</v>
      </c>
      <c r="AF209" s="24">
        <f t="shared" si="180"/>
        <v>9.4861260551669435E-2</v>
      </c>
      <c r="AG209" s="24">
        <f t="shared" si="181"/>
        <v>9.9032469287969174E-2</v>
      </c>
      <c r="AH209" s="24">
        <f t="shared" si="182"/>
        <v>0.10317906765378104</v>
      </c>
      <c r="AL209" s="23">
        <f t="shared" si="166"/>
        <v>0</v>
      </c>
      <c r="AM209" s="23">
        <f t="shared" si="167"/>
        <v>0</v>
      </c>
      <c r="AN209" s="23">
        <f t="shared" si="168"/>
        <v>0</v>
      </c>
      <c r="AO209" s="23">
        <f t="shared" si="169"/>
        <v>0</v>
      </c>
      <c r="AP209" s="23">
        <f t="shared" si="170"/>
        <v>7113.5336383685681</v>
      </c>
      <c r="AQ209" s="23">
        <f t="shared" si="171"/>
        <v>9045.9388843520155</v>
      </c>
      <c r="AR209" s="23">
        <f t="shared" si="172"/>
        <v>10541.413437977884</v>
      </c>
      <c r="AS209" s="23">
        <f t="shared" si="173"/>
        <v>11852.280830861275</v>
      </c>
      <c r="AT209" s="23">
        <f t="shared" si="174"/>
        <v>12957.951765996075</v>
      </c>
      <c r="AU209" s="23">
        <f t="shared" si="175"/>
        <v>13848.096397271975</v>
      </c>
      <c r="AW209" s="25"/>
      <c r="AX209" s="25"/>
      <c r="AY209" s="25"/>
      <c r="AZ209" s="25"/>
      <c r="BA209" s="25">
        <f t="shared" si="184"/>
        <v>65359.214954827796</v>
      </c>
      <c r="BB209" s="25">
        <f t="shared" si="185"/>
        <v>58245.681316459224</v>
      </c>
      <c r="BC209" s="25">
        <f t="shared" si="186"/>
        <v>49199.74243210721</v>
      </c>
      <c r="BD209" s="25">
        <f t="shared" si="187"/>
        <v>38658.328994129326</v>
      </c>
      <c r="BE209" s="25">
        <f t="shared" si="188"/>
        <v>26806.048163268049</v>
      </c>
      <c r="BF209" s="25">
        <f t="shared" si="189"/>
        <v>13848.096397271975</v>
      </c>
      <c r="BG209" s="25">
        <f t="shared" si="190"/>
        <v>0</v>
      </c>
      <c r="BI209" s="25"/>
      <c r="BJ209" s="25"/>
      <c r="BK209" s="25"/>
      <c r="BL209" s="25"/>
      <c r="BM209" s="25">
        <f t="shared" si="152"/>
        <v>65359.214954827796</v>
      </c>
      <c r="BN209" s="25">
        <f t="shared" si="153"/>
        <v>58245.681316459224</v>
      </c>
      <c r="BO209" s="25">
        <f t="shared" si="154"/>
        <v>49199.74243210721</v>
      </c>
      <c r="BP209" s="25">
        <f t="shared" si="155"/>
        <v>38658.328994129326</v>
      </c>
      <c r="BQ209" s="25">
        <f t="shared" si="156"/>
        <v>26806.048163268049</v>
      </c>
      <c r="BR209" s="25">
        <f t="shared" si="157"/>
        <v>13848.096397271975</v>
      </c>
      <c r="BS209" s="25">
        <f t="shared" si="158"/>
        <v>0</v>
      </c>
    </row>
    <row r="210" spans="1:71" x14ac:dyDescent="0.2">
      <c r="A210" s="29">
        <f t="shared" si="191"/>
        <v>2.0200000000000009</v>
      </c>
      <c r="B210" s="30">
        <v>6.2703189122065225E-2</v>
      </c>
      <c r="C210" s="30">
        <v>6.635661413556268E-2</v>
      </c>
      <c r="D210" s="30">
        <v>6.9792159686731345E-2</v>
      </c>
      <c r="E210" s="30">
        <v>7.3255455974606073E-2</v>
      </c>
      <c r="F210" s="30">
        <v>7.6900728026400467E-2</v>
      </c>
      <c r="G210" s="30">
        <v>8.0738054835873319E-2</v>
      </c>
      <c r="H210" s="30">
        <v>8.4719891913593415E-2</v>
      </c>
      <c r="I210" s="30">
        <v>8.8792580325110934E-2</v>
      </c>
      <c r="J210" s="30">
        <v>9.2911806739652283E-2</v>
      </c>
      <c r="K210" s="30">
        <v>9.704366560339342E-2</v>
      </c>
      <c r="L210" s="30">
        <v>0.10116169432110808</v>
      </c>
      <c r="N210" s="1"/>
      <c r="O210" s="1"/>
      <c r="P210" s="1"/>
      <c r="Q210" s="1"/>
      <c r="R210" s="1">
        <f t="shared" ref="R210:R258" si="192">EXP(-F210*($R$7-$Q$7))</f>
        <v>0.96227946724537206</v>
      </c>
      <c r="S210" s="1">
        <f t="shared" ref="S210:S273" si="193">EXP(-G210*($S$7-$R$7))</f>
        <v>0.96043494691911169</v>
      </c>
      <c r="T210" s="63">
        <f t="shared" ref="T210:T258" si="194">EXP(-H210*($T$7-$R$7))</f>
        <v>0.91876960315663159</v>
      </c>
      <c r="U210" s="65">
        <f t="shared" ref="U210:U257" si="195">EXP(-I210*($U$7-$R$7))</f>
        <v>0.87529975820372874</v>
      </c>
      <c r="V210" s="62">
        <f t="shared" ref="V210:V258" si="196">EXP(-J210*($V$7-$R$7))</f>
        <v>0.83042005696915733</v>
      </c>
      <c r="W210" s="68">
        <f t="shared" ref="W210:W258" si="197">EXP(-K210*($W$7-$R$7))</f>
        <v>0.78457809521388788</v>
      </c>
      <c r="Y210" s="24"/>
      <c r="Z210" s="24"/>
      <c r="AA210" s="24"/>
      <c r="AB210" s="24"/>
      <c r="AC210" s="24">
        <f t="shared" si="177"/>
        <v>8.0738054835873319E-2</v>
      </c>
      <c r="AD210" s="24">
        <f t="shared" si="178"/>
        <v>8.4719891913593415E-2</v>
      </c>
      <c r="AE210" s="24">
        <f t="shared" si="179"/>
        <v>8.8792580325110934E-2</v>
      </c>
      <c r="AF210" s="24">
        <f t="shared" si="180"/>
        <v>9.2911806739652283E-2</v>
      </c>
      <c r="AG210" s="24">
        <f t="shared" si="181"/>
        <v>9.704366560339342E-2</v>
      </c>
      <c r="AH210" s="24">
        <f t="shared" si="182"/>
        <v>0.10116169432110808</v>
      </c>
      <c r="AL210" s="23">
        <f t="shared" si="166"/>
        <v>0</v>
      </c>
      <c r="AM210" s="23">
        <f t="shared" si="167"/>
        <v>0</v>
      </c>
      <c r="AN210" s="23">
        <f t="shared" si="168"/>
        <v>0</v>
      </c>
      <c r="AO210" s="23">
        <f t="shared" si="169"/>
        <v>0</v>
      </c>
      <c r="AP210" s="23">
        <f t="shared" si="170"/>
        <v>6271.986883548655</v>
      </c>
      <c r="AQ210" s="23">
        <f t="shared" si="171"/>
        <v>8172.1123300870313</v>
      </c>
      <c r="AR210" s="23">
        <f t="shared" si="172"/>
        <v>9688.5229963365746</v>
      </c>
      <c r="AS210" s="23">
        <f t="shared" si="173"/>
        <v>11032.907809128399</v>
      </c>
      <c r="AT210" s="23">
        <f t="shared" si="174"/>
        <v>12182.801006558077</v>
      </c>
      <c r="AU210" s="23">
        <f t="shared" si="175"/>
        <v>13125.72724934916</v>
      </c>
      <c r="AW210" s="25"/>
      <c r="AX210" s="25"/>
      <c r="AY210" s="25"/>
      <c r="AZ210" s="25"/>
      <c r="BA210" s="25">
        <f t="shared" si="184"/>
        <v>60474.058275007897</v>
      </c>
      <c r="BB210" s="25">
        <f t="shared" si="185"/>
        <v>54202.071391459242</v>
      </c>
      <c r="BC210" s="25">
        <f t="shared" si="186"/>
        <v>46029.95906137221</v>
      </c>
      <c r="BD210" s="25">
        <f t="shared" si="187"/>
        <v>36341.436065035639</v>
      </c>
      <c r="BE210" s="25">
        <f t="shared" si="188"/>
        <v>25308.528255907237</v>
      </c>
      <c r="BF210" s="25">
        <f t="shared" si="189"/>
        <v>13125.72724934916</v>
      </c>
      <c r="BG210" s="25">
        <f t="shared" si="190"/>
        <v>0</v>
      </c>
      <c r="BI210" s="25"/>
      <c r="BJ210" s="25"/>
      <c r="BK210" s="25"/>
      <c r="BL210" s="25"/>
      <c r="BM210" s="25">
        <f t="shared" si="152"/>
        <v>60474.058275007897</v>
      </c>
      <c r="BN210" s="25">
        <f t="shared" si="153"/>
        <v>54202.071391459242</v>
      </c>
      <c r="BO210" s="25">
        <f t="shared" si="154"/>
        <v>46029.95906137221</v>
      </c>
      <c r="BP210" s="25">
        <f t="shared" si="155"/>
        <v>36341.436065035639</v>
      </c>
      <c r="BQ210" s="25">
        <f t="shared" si="156"/>
        <v>25308.528255907237</v>
      </c>
      <c r="BR210" s="25">
        <f t="shared" si="157"/>
        <v>13125.72724934916</v>
      </c>
      <c r="BS210" s="25">
        <f t="shared" si="158"/>
        <v>0</v>
      </c>
    </row>
    <row r="211" spans="1:71" x14ac:dyDescent="0.2">
      <c r="A211" s="29">
        <f t="shared" si="191"/>
        <v>2.0300000000000007</v>
      </c>
      <c r="B211" s="30">
        <v>6.1966149308930997E-2</v>
      </c>
      <c r="C211" s="30">
        <v>6.5529473035317726E-2</v>
      </c>
      <c r="D211" s="30">
        <v>6.8893201423034539E-2</v>
      </c>
      <c r="E211" s="30">
        <v>7.2300550137649217E-2</v>
      </c>
      <c r="F211" s="30">
        <v>7.5902272027613057E-2</v>
      </c>
      <c r="G211" s="30">
        <v>7.970670203273876E-2</v>
      </c>
      <c r="H211" s="30">
        <v>8.3665579915877586E-2</v>
      </c>
      <c r="I211" s="30">
        <v>8.7724838724970514E-2</v>
      </c>
      <c r="J211" s="30">
        <v>9.1839777242153836E-2</v>
      </c>
      <c r="K211" s="30">
        <v>9.5976041931603154E-2</v>
      </c>
      <c r="L211" s="30">
        <v>0.10010666519263864</v>
      </c>
      <c r="N211" s="1"/>
      <c r="O211" s="1"/>
      <c r="P211" s="1"/>
      <c r="Q211" s="1"/>
      <c r="R211" s="1">
        <f t="shared" si="192"/>
        <v>0.96275998403239982</v>
      </c>
      <c r="S211" s="1">
        <f t="shared" si="193"/>
        <v>0.96093034827889545</v>
      </c>
      <c r="T211" s="63">
        <f t="shared" si="194"/>
        <v>0.91973878379198581</v>
      </c>
      <c r="U211" s="65">
        <f t="shared" si="195"/>
        <v>0.8767027723929175</v>
      </c>
      <c r="V211" s="62">
        <f t="shared" si="196"/>
        <v>0.83220243664271543</v>
      </c>
      <c r="W211" s="68">
        <f t="shared" si="197"/>
        <v>0.78667497768781414</v>
      </c>
      <c r="Y211" s="24"/>
      <c r="Z211" s="24"/>
      <c r="AA211" s="24"/>
      <c r="AB211" s="24"/>
      <c r="AC211" s="24">
        <f t="shared" si="177"/>
        <v>7.970670203273876E-2</v>
      </c>
      <c r="AD211" s="24">
        <f t="shared" si="178"/>
        <v>8.3665579915877586E-2</v>
      </c>
      <c r="AE211" s="24">
        <f t="shared" si="179"/>
        <v>8.7724838724970514E-2</v>
      </c>
      <c r="AF211" s="24">
        <f t="shared" si="180"/>
        <v>9.1839777242153836E-2</v>
      </c>
      <c r="AG211" s="24">
        <f t="shared" si="181"/>
        <v>9.5976041931603154E-2</v>
      </c>
      <c r="AH211" s="24">
        <f t="shared" si="182"/>
        <v>0.10010666519263864</v>
      </c>
      <c r="AL211" s="23">
        <f t="shared" si="166"/>
        <v>0</v>
      </c>
      <c r="AM211" s="23">
        <f t="shared" si="167"/>
        <v>0</v>
      </c>
      <c r="AN211" s="23">
        <f t="shared" si="168"/>
        <v>0</v>
      </c>
      <c r="AO211" s="23">
        <f t="shared" si="169"/>
        <v>0</v>
      </c>
      <c r="AP211" s="23">
        <f t="shared" si="170"/>
        <v>5778.6462125832713</v>
      </c>
      <c r="AQ211" s="23">
        <f t="shared" si="171"/>
        <v>7669.7673847464121</v>
      </c>
      <c r="AR211" s="23">
        <f t="shared" si="172"/>
        <v>9207.7214286601356</v>
      </c>
      <c r="AS211" s="23">
        <f t="shared" si="173"/>
        <v>10580.666792971038</v>
      </c>
      <c r="AT211" s="23">
        <f t="shared" si="174"/>
        <v>11764.710162224192</v>
      </c>
      <c r="AU211" s="23">
        <f t="shared" si="175"/>
        <v>12745.824878757887</v>
      </c>
      <c r="AW211" s="25"/>
      <c r="AX211" s="25"/>
      <c r="AY211" s="25"/>
      <c r="AZ211" s="25"/>
      <c r="BA211" s="25">
        <f t="shared" si="184"/>
        <v>57747.33685994293</v>
      </c>
      <c r="BB211" s="25">
        <f t="shared" si="185"/>
        <v>51968.690647359661</v>
      </c>
      <c r="BC211" s="25">
        <f t="shared" si="186"/>
        <v>44298.923262613251</v>
      </c>
      <c r="BD211" s="25">
        <f t="shared" si="187"/>
        <v>35091.201833953113</v>
      </c>
      <c r="BE211" s="25">
        <f t="shared" si="188"/>
        <v>24510.535040982078</v>
      </c>
      <c r="BF211" s="25">
        <f t="shared" si="189"/>
        <v>12745.824878757887</v>
      </c>
      <c r="BG211" s="25">
        <f t="shared" si="190"/>
        <v>0</v>
      </c>
      <c r="BI211" s="25"/>
      <c r="BJ211" s="25"/>
      <c r="BK211" s="25"/>
      <c r="BL211" s="25"/>
      <c r="BM211" s="25">
        <f t="shared" si="152"/>
        <v>57747.33685994293</v>
      </c>
      <c r="BN211" s="25">
        <f t="shared" si="153"/>
        <v>51968.690647359661</v>
      </c>
      <c r="BO211" s="25">
        <f t="shared" si="154"/>
        <v>44298.923262613251</v>
      </c>
      <c r="BP211" s="25">
        <f t="shared" si="155"/>
        <v>35091.201833953113</v>
      </c>
      <c r="BQ211" s="25">
        <f t="shared" si="156"/>
        <v>24510.535040982078</v>
      </c>
      <c r="BR211" s="25">
        <f t="shared" si="157"/>
        <v>12745.824878757887</v>
      </c>
      <c r="BS211" s="25">
        <f t="shared" si="158"/>
        <v>0</v>
      </c>
    </row>
    <row r="212" spans="1:71" x14ac:dyDescent="0.2">
      <c r="A212" s="29">
        <f t="shared" si="191"/>
        <v>2.0400000000000005</v>
      </c>
      <c r="B212" s="30">
        <v>6.1633440018119656E-2</v>
      </c>
      <c r="C212" s="30">
        <v>6.5035848707752031E-2</v>
      </c>
      <c r="D212" s="30">
        <v>6.8262289070298646E-2</v>
      </c>
      <c r="E212" s="30">
        <v>7.1553364626087246E-2</v>
      </c>
      <c r="F212" s="30">
        <v>7.5056214148435968E-2</v>
      </c>
      <c r="G212" s="30">
        <v>7.8777272630468978E-2</v>
      </c>
      <c r="H212" s="30">
        <v>8.2667393783055002E-2</v>
      </c>
      <c r="I212" s="30">
        <v>8.6671926580269135E-2</v>
      </c>
      <c r="J212" s="30">
        <v>9.0745604256392262E-2</v>
      </c>
      <c r="K212" s="30">
        <v>9.4853447694263418E-2</v>
      </c>
      <c r="L212" s="30">
        <v>9.8967807110893161E-2</v>
      </c>
      <c r="N212" s="1"/>
      <c r="O212" s="1"/>
      <c r="P212" s="1"/>
      <c r="Q212" s="1"/>
      <c r="R212" s="1">
        <f t="shared" si="192"/>
        <v>0.96316734552429839</v>
      </c>
      <c r="S212" s="1">
        <f t="shared" si="193"/>
        <v>0.96137701051572289</v>
      </c>
      <c r="T212" s="63">
        <f t="shared" si="194"/>
        <v>0.9206573126469022</v>
      </c>
      <c r="U212" s="65">
        <f t="shared" si="195"/>
        <v>0.87808850288873996</v>
      </c>
      <c r="V212" s="62">
        <f t="shared" si="196"/>
        <v>0.83402557759645146</v>
      </c>
      <c r="W212" s="68">
        <f t="shared" si="197"/>
        <v>0.78888587064781457</v>
      </c>
      <c r="Y212" s="24"/>
      <c r="Z212" s="24"/>
      <c r="AA212" s="24"/>
      <c r="AB212" s="24"/>
      <c r="AC212" s="24">
        <f t="shared" si="177"/>
        <v>7.8777272630468978E-2</v>
      </c>
      <c r="AD212" s="24">
        <f t="shared" si="178"/>
        <v>8.2667393783055002E-2</v>
      </c>
      <c r="AE212" s="24">
        <f t="shared" si="179"/>
        <v>8.6671926580269135E-2</v>
      </c>
      <c r="AF212" s="24">
        <f t="shared" si="180"/>
        <v>9.0745604256392262E-2</v>
      </c>
      <c r="AG212" s="24">
        <f t="shared" si="181"/>
        <v>9.4853447694263418E-2</v>
      </c>
      <c r="AH212" s="24">
        <f t="shared" si="182"/>
        <v>9.8967807110893161E-2</v>
      </c>
      <c r="AL212" s="23">
        <f t="shared" si="166"/>
        <v>0</v>
      </c>
      <c r="AM212" s="23">
        <f t="shared" si="167"/>
        <v>0</v>
      </c>
      <c r="AN212" s="23">
        <f t="shared" si="168"/>
        <v>0</v>
      </c>
      <c r="AO212" s="23">
        <f t="shared" si="169"/>
        <v>0</v>
      </c>
      <c r="AP212" s="23">
        <f t="shared" si="170"/>
        <v>5333.4932391719803</v>
      </c>
      <c r="AQ212" s="23">
        <f t="shared" si="171"/>
        <v>7193.5158665576164</v>
      </c>
      <c r="AR212" s="23">
        <f t="shared" si="172"/>
        <v>8732.2314044090326</v>
      </c>
      <c r="AS212" s="23">
        <f t="shared" si="173"/>
        <v>10117.000405513312</v>
      </c>
      <c r="AT212" s="23">
        <f t="shared" si="174"/>
        <v>11322.34745503534</v>
      </c>
      <c r="AU212" s="23">
        <f t="shared" si="175"/>
        <v>12332.431570326369</v>
      </c>
      <c r="AW212" s="25"/>
      <c r="AX212" s="25"/>
      <c r="AY212" s="25"/>
      <c r="AZ212" s="25"/>
      <c r="BA212" s="25">
        <f t="shared" si="184"/>
        <v>55031.019941013656</v>
      </c>
      <c r="BB212" s="25">
        <f t="shared" si="185"/>
        <v>49697.526701841671</v>
      </c>
      <c r="BC212" s="25">
        <f t="shared" si="186"/>
        <v>42504.010835284054</v>
      </c>
      <c r="BD212" s="25">
        <f t="shared" si="187"/>
        <v>33771.779430875024</v>
      </c>
      <c r="BE212" s="25">
        <f t="shared" si="188"/>
        <v>23654.77902536171</v>
      </c>
      <c r="BF212" s="25">
        <f t="shared" si="189"/>
        <v>12332.431570326369</v>
      </c>
      <c r="BG212" s="25">
        <f t="shared" si="190"/>
        <v>0</v>
      </c>
      <c r="BI212" s="25"/>
      <c r="BJ212" s="25"/>
      <c r="BK212" s="25"/>
      <c r="BL212" s="25"/>
      <c r="BM212" s="25">
        <f t="shared" si="152"/>
        <v>55031.019941013656</v>
      </c>
      <c r="BN212" s="25">
        <f t="shared" si="153"/>
        <v>49697.526701841671</v>
      </c>
      <c r="BO212" s="25">
        <f t="shared" si="154"/>
        <v>42504.010835284054</v>
      </c>
      <c r="BP212" s="25">
        <f t="shared" si="155"/>
        <v>33771.779430875024</v>
      </c>
      <c r="BQ212" s="25">
        <f t="shared" si="156"/>
        <v>23654.77902536171</v>
      </c>
      <c r="BR212" s="25">
        <f t="shared" si="157"/>
        <v>12332.431570326369</v>
      </c>
      <c r="BS212" s="25">
        <f t="shared" si="158"/>
        <v>0</v>
      </c>
    </row>
    <row r="213" spans="1:71" x14ac:dyDescent="0.2">
      <c r="A213" s="29">
        <f t="shared" si="191"/>
        <v>2.0500000000000003</v>
      </c>
      <c r="B213" s="30">
        <v>6.1759895985686944E-2</v>
      </c>
      <c r="C213" s="30">
        <v>6.5084546184201467E-2</v>
      </c>
      <c r="D213" s="30">
        <v>6.8241058248817557E-2</v>
      </c>
      <c r="E213" s="30">
        <v>7.1468136062423818E-2</v>
      </c>
      <c r="F213" s="30">
        <v>7.4910071152172936E-2</v>
      </c>
      <c r="G213" s="30">
        <v>7.8572151388793421E-2</v>
      </c>
      <c r="H213" s="30">
        <v>8.2405083017132605E-2</v>
      </c>
      <c r="I213" s="30">
        <v>8.6354363854318689E-2</v>
      </c>
      <c r="J213" s="30">
        <v>9.0374892932506334E-2</v>
      </c>
      <c r="K213" s="30">
        <v>9.4431796967577322E-2</v>
      </c>
      <c r="L213" s="30">
        <v>9.8497475829358527E-2</v>
      </c>
      <c r="N213" s="1"/>
      <c r="O213" s="1"/>
      <c r="P213" s="1"/>
      <c r="Q213" s="1"/>
      <c r="R213" s="1">
        <f t="shared" si="192"/>
        <v>0.96323772817663889</v>
      </c>
      <c r="S213" s="1">
        <f t="shared" si="193"/>
        <v>0.96147561499516243</v>
      </c>
      <c r="T213" s="63">
        <f t="shared" si="194"/>
        <v>0.92089884264830968</v>
      </c>
      <c r="U213" s="65">
        <f t="shared" si="195"/>
        <v>0.87850687479322564</v>
      </c>
      <c r="V213" s="62">
        <f t="shared" si="196"/>
        <v>0.83464417234024169</v>
      </c>
      <c r="W213" s="68">
        <f t="shared" si="197"/>
        <v>0.78971789485186072</v>
      </c>
      <c r="Y213" s="24"/>
      <c r="Z213" s="24"/>
      <c r="AA213" s="24"/>
      <c r="AB213" s="24"/>
      <c r="AC213" s="24">
        <f t="shared" si="177"/>
        <v>7.8572151388793421E-2</v>
      </c>
      <c r="AD213" s="24">
        <f t="shared" si="178"/>
        <v>8.2405083017132605E-2</v>
      </c>
      <c r="AE213" s="24">
        <f t="shared" si="179"/>
        <v>8.6354363854318689E-2</v>
      </c>
      <c r="AF213" s="24">
        <f t="shared" si="180"/>
        <v>9.0374892932506334E-2</v>
      </c>
      <c r="AG213" s="24">
        <f t="shared" si="181"/>
        <v>9.4431796967577322E-2</v>
      </c>
      <c r="AH213" s="24">
        <f t="shared" si="182"/>
        <v>9.8497475829358527E-2</v>
      </c>
      <c r="AL213" s="23">
        <f t="shared" si="166"/>
        <v>0</v>
      </c>
      <c r="AM213" s="23">
        <f t="shared" si="167"/>
        <v>0</v>
      </c>
      <c r="AN213" s="23">
        <f t="shared" si="168"/>
        <v>0</v>
      </c>
      <c r="AO213" s="23">
        <f t="shared" si="169"/>
        <v>0</v>
      </c>
      <c r="AP213" s="23">
        <f t="shared" si="170"/>
        <v>5235.0927203363644</v>
      </c>
      <c r="AQ213" s="23">
        <f t="shared" si="171"/>
        <v>7068.1509733527955</v>
      </c>
      <c r="AR213" s="23">
        <f t="shared" si="172"/>
        <v>8588.3006897642517</v>
      </c>
      <c r="AS213" s="23">
        <f t="shared" si="173"/>
        <v>9958.9845035300314</v>
      </c>
      <c r="AT213" s="23">
        <f t="shared" si="174"/>
        <v>11154.781051727796</v>
      </c>
      <c r="AU213" s="23">
        <f t="shared" si="175"/>
        <v>12159.723856596178</v>
      </c>
      <c r="AW213" s="25"/>
      <c r="AX213" s="25"/>
      <c r="AY213" s="25"/>
      <c r="AZ213" s="25"/>
      <c r="BA213" s="25">
        <f t="shared" si="184"/>
        <v>54165.033795307419</v>
      </c>
      <c r="BB213" s="25">
        <f t="shared" si="185"/>
        <v>48929.941074971051</v>
      </c>
      <c r="BC213" s="25">
        <f t="shared" si="186"/>
        <v>41861.790101618259</v>
      </c>
      <c r="BD213" s="25">
        <f t="shared" si="187"/>
        <v>33273.489411854011</v>
      </c>
      <c r="BE213" s="25">
        <f t="shared" si="188"/>
        <v>23314.504908323972</v>
      </c>
      <c r="BF213" s="25">
        <f t="shared" si="189"/>
        <v>12159.723856596178</v>
      </c>
      <c r="BG213" s="25">
        <f t="shared" si="190"/>
        <v>0</v>
      </c>
      <c r="BI213" s="25"/>
      <c r="BJ213" s="25"/>
      <c r="BK213" s="25"/>
      <c r="BL213" s="25"/>
      <c r="BM213" s="25">
        <f t="shared" si="152"/>
        <v>54165.033795307419</v>
      </c>
      <c r="BN213" s="25">
        <f t="shared" si="153"/>
        <v>48929.941074971051</v>
      </c>
      <c r="BO213" s="25">
        <f t="shared" si="154"/>
        <v>41861.790101618259</v>
      </c>
      <c r="BP213" s="25">
        <f t="shared" si="155"/>
        <v>33273.489411854011</v>
      </c>
      <c r="BQ213" s="25">
        <f t="shared" si="156"/>
        <v>23314.504908323972</v>
      </c>
      <c r="BR213" s="25">
        <f t="shared" si="157"/>
        <v>12159.723856596178</v>
      </c>
      <c r="BS213" s="25">
        <f t="shared" si="158"/>
        <v>0</v>
      </c>
    </row>
    <row r="214" spans="1:71" x14ac:dyDescent="0.2">
      <c r="A214" s="29">
        <f t="shared" si="191"/>
        <v>2.06</v>
      </c>
      <c r="B214" s="30">
        <v>6.1705192049831672E-2</v>
      </c>
      <c r="C214" s="30">
        <v>6.4866391762636921E-2</v>
      </c>
      <c r="D214" s="30">
        <v>6.7879820093057916E-2</v>
      </c>
      <c r="E214" s="30">
        <v>7.0981711654316354E-2</v>
      </c>
      <c r="F214" s="30">
        <v>7.4312994049821571E-2</v>
      </c>
      <c r="G214" s="30">
        <v>7.7877277340980627E-2</v>
      </c>
      <c r="H214" s="30">
        <v>8.1624575552747644E-2</v>
      </c>
      <c r="I214" s="30">
        <v>8.5499985004347093E-2</v>
      </c>
      <c r="J214" s="30">
        <v>8.9458018646457471E-2</v>
      </c>
      <c r="K214" s="30">
        <v>9.3463357224345484E-2</v>
      </c>
      <c r="L214" s="30">
        <v>9.7487898875999957E-2</v>
      </c>
      <c r="N214" s="1"/>
      <c r="O214" s="1"/>
      <c r="P214" s="1"/>
      <c r="Q214" s="1"/>
      <c r="R214" s="1">
        <f t="shared" si="192"/>
        <v>0.963525334701128</v>
      </c>
      <c r="S214" s="1">
        <f t="shared" si="193"/>
        <v>0.96180972525917185</v>
      </c>
      <c r="T214" s="63">
        <f t="shared" si="194"/>
        <v>0.92161789164399111</v>
      </c>
      <c r="U214" s="65">
        <f t="shared" si="195"/>
        <v>0.87963346307900159</v>
      </c>
      <c r="V214" s="62">
        <f t="shared" si="196"/>
        <v>0.83617610405900411</v>
      </c>
      <c r="W214" s="68">
        <f t="shared" si="197"/>
        <v>0.79163219676262209</v>
      </c>
      <c r="Y214" s="24"/>
      <c r="Z214" s="24"/>
      <c r="AA214" s="24"/>
      <c r="AB214" s="24"/>
      <c r="AC214" s="24">
        <f t="shared" si="177"/>
        <v>7.7877277340980627E-2</v>
      </c>
      <c r="AD214" s="24">
        <f t="shared" si="178"/>
        <v>8.1624575552747644E-2</v>
      </c>
      <c r="AE214" s="24">
        <f t="shared" si="179"/>
        <v>8.5499985004347093E-2</v>
      </c>
      <c r="AF214" s="24">
        <f t="shared" si="180"/>
        <v>8.9458018646457471E-2</v>
      </c>
      <c r="AG214" s="24">
        <f t="shared" si="181"/>
        <v>9.3463357224345484E-2</v>
      </c>
      <c r="AH214" s="24">
        <f t="shared" si="182"/>
        <v>9.7487898875999957E-2</v>
      </c>
      <c r="AL214" s="23">
        <f t="shared" si="166"/>
        <v>0</v>
      </c>
      <c r="AM214" s="23">
        <f t="shared" si="167"/>
        <v>0</v>
      </c>
      <c r="AN214" s="23">
        <f t="shared" si="168"/>
        <v>0</v>
      </c>
      <c r="AO214" s="23">
        <f t="shared" si="169"/>
        <v>0</v>
      </c>
      <c r="AP214" s="23">
        <f t="shared" si="170"/>
        <v>4901.8914558981232</v>
      </c>
      <c r="AQ214" s="23">
        <f t="shared" si="171"/>
        <v>6695.2573024065296</v>
      </c>
      <c r="AR214" s="23">
        <f t="shared" si="172"/>
        <v>8201.3011220133176</v>
      </c>
      <c r="AS214" s="23">
        <f t="shared" si="173"/>
        <v>9568.4991522967084</v>
      </c>
      <c r="AT214" s="23">
        <f t="shared" si="174"/>
        <v>10770.361795988829</v>
      </c>
      <c r="AU214" s="23">
        <f t="shared" si="175"/>
        <v>11789.592612765602</v>
      </c>
      <c r="AW214" s="25"/>
      <c r="AX214" s="25"/>
      <c r="AY214" s="25"/>
      <c r="AZ214" s="25"/>
      <c r="BA214" s="25">
        <f t="shared" si="184"/>
        <v>51926.903441369112</v>
      </c>
      <c r="BB214" s="25">
        <f t="shared" si="185"/>
        <v>47025.011985470992</v>
      </c>
      <c r="BC214" s="25">
        <f t="shared" si="186"/>
        <v>40329.754683064457</v>
      </c>
      <c r="BD214" s="25">
        <f t="shared" si="187"/>
        <v>32128.453561051141</v>
      </c>
      <c r="BE214" s="25">
        <f t="shared" si="188"/>
        <v>22559.954408754431</v>
      </c>
      <c r="BF214" s="25">
        <f t="shared" si="189"/>
        <v>11789.592612765602</v>
      </c>
      <c r="BG214" s="25">
        <f t="shared" si="190"/>
        <v>0</v>
      </c>
      <c r="BI214" s="25"/>
      <c r="BJ214" s="25"/>
      <c r="BK214" s="25"/>
      <c r="BL214" s="25"/>
      <c r="BM214" s="25">
        <f t="shared" si="152"/>
        <v>51926.903441369112</v>
      </c>
      <c r="BN214" s="25">
        <f t="shared" si="153"/>
        <v>47025.011985470992</v>
      </c>
      <c r="BO214" s="25">
        <f t="shared" si="154"/>
        <v>40329.754683064457</v>
      </c>
      <c r="BP214" s="25">
        <f t="shared" si="155"/>
        <v>32128.453561051141</v>
      </c>
      <c r="BQ214" s="25">
        <f t="shared" si="156"/>
        <v>22559.954408754431</v>
      </c>
      <c r="BR214" s="25">
        <f t="shared" si="157"/>
        <v>11789.592612765602</v>
      </c>
      <c r="BS214" s="25">
        <f t="shared" si="158"/>
        <v>0</v>
      </c>
    </row>
    <row r="215" spans="1:71" x14ac:dyDescent="0.2">
      <c r="A215" s="29">
        <f t="shared" si="191"/>
        <v>2.0699999999999998</v>
      </c>
      <c r="B215" s="30">
        <v>6.2530519910297594E-2</v>
      </c>
      <c r="C215" s="30">
        <v>6.5827661109762722E-2</v>
      </c>
      <c r="D215" s="30">
        <v>6.8969178526223002E-2</v>
      </c>
      <c r="E215" s="30">
        <v>7.2189868187823525E-2</v>
      </c>
      <c r="F215" s="30">
        <v>7.5628376074190637E-2</v>
      </c>
      <c r="G215" s="30">
        <v>7.9287702726870371E-2</v>
      </c>
      <c r="H215" s="30">
        <v>8.3118224343035327E-2</v>
      </c>
      <c r="I215" s="30">
        <v>8.7065684630006648E-2</v>
      </c>
      <c r="J215" s="30">
        <v>9.108525783687578E-2</v>
      </c>
      <c r="K215" s="30">
        <v>9.5142226200741808E-2</v>
      </c>
      <c r="L215" s="30">
        <v>9.9209034007453623E-2</v>
      </c>
      <c r="N215" s="1"/>
      <c r="O215" s="1"/>
      <c r="P215" s="1"/>
      <c r="Q215" s="1"/>
      <c r="R215" s="1">
        <f t="shared" si="192"/>
        <v>0.96289184109284431</v>
      </c>
      <c r="S215" s="1">
        <f t="shared" si="193"/>
        <v>0.96113168394249326</v>
      </c>
      <c r="T215" s="63">
        <f t="shared" si="194"/>
        <v>0.92024234574200114</v>
      </c>
      <c r="U215" s="65">
        <f t="shared" si="195"/>
        <v>0.87757002439553122</v>
      </c>
      <c r="V215" s="62">
        <f t="shared" si="196"/>
        <v>0.83345921043957283</v>
      </c>
      <c r="W215" s="68">
        <f t="shared" si="197"/>
        <v>0.78831654297576725</v>
      </c>
      <c r="Y215" s="24"/>
      <c r="Z215" s="24"/>
      <c r="AA215" s="24"/>
      <c r="AB215" s="24"/>
      <c r="AC215" s="24">
        <f t="shared" si="177"/>
        <v>7.9287702726870371E-2</v>
      </c>
      <c r="AD215" s="24">
        <f t="shared" si="178"/>
        <v>8.3118224343035327E-2</v>
      </c>
      <c r="AE215" s="24">
        <f t="shared" si="179"/>
        <v>8.7065684630006648E-2</v>
      </c>
      <c r="AF215" s="24">
        <f t="shared" si="180"/>
        <v>9.108525783687578E-2</v>
      </c>
      <c r="AG215" s="24">
        <f t="shared" si="181"/>
        <v>9.5142226200741808E-2</v>
      </c>
      <c r="AH215" s="24">
        <f t="shared" si="182"/>
        <v>9.9209034007453623E-2</v>
      </c>
      <c r="AL215" s="23">
        <f t="shared" si="166"/>
        <v>0</v>
      </c>
      <c r="AM215" s="23">
        <f t="shared" si="167"/>
        <v>0</v>
      </c>
      <c r="AN215" s="23">
        <f t="shared" si="168"/>
        <v>0</v>
      </c>
      <c r="AO215" s="23">
        <f t="shared" si="169"/>
        <v>0</v>
      </c>
      <c r="AP215" s="23">
        <f t="shared" si="170"/>
        <v>5577.7121341590982</v>
      </c>
      <c r="AQ215" s="23">
        <f t="shared" si="171"/>
        <v>7408.3339749562092</v>
      </c>
      <c r="AR215" s="23">
        <f t="shared" si="172"/>
        <v>8909.4719505795165</v>
      </c>
      <c r="AS215" s="23">
        <f t="shared" si="173"/>
        <v>10260.061594766799</v>
      </c>
      <c r="AT215" s="23">
        <f t="shared" si="174"/>
        <v>11435.001268134583</v>
      </c>
      <c r="AU215" s="23">
        <f t="shared" si="175"/>
        <v>12418.613007083639</v>
      </c>
      <c r="AW215" s="25"/>
      <c r="AX215" s="25"/>
      <c r="AY215" s="25"/>
      <c r="AZ215" s="25"/>
      <c r="BA215" s="25">
        <f t="shared" si="184"/>
        <v>56009.193929679845</v>
      </c>
      <c r="BB215" s="25">
        <f t="shared" si="185"/>
        <v>50431.481795520747</v>
      </c>
      <c r="BC215" s="25">
        <f t="shared" si="186"/>
        <v>43023.14782056454</v>
      </c>
      <c r="BD215" s="25">
        <f t="shared" si="187"/>
        <v>34113.675869985018</v>
      </c>
      <c r="BE215" s="25">
        <f t="shared" si="188"/>
        <v>23853.61427521822</v>
      </c>
      <c r="BF215" s="25">
        <f t="shared" si="189"/>
        <v>12418.613007083639</v>
      </c>
      <c r="BG215" s="25">
        <f t="shared" si="190"/>
        <v>0</v>
      </c>
      <c r="BI215" s="25"/>
      <c r="BJ215" s="25"/>
      <c r="BK215" s="25"/>
      <c r="BL215" s="25"/>
      <c r="BM215" s="25">
        <f t="shared" si="152"/>
        <v>56009.193929679845</v>
      </c>
      <c r="BN215" s="25">
        <f t="shared" si="153"/>
        <v>50431.481795520747</v>
      </c>
      <c r="BO215" s="25">
        <f t="shared" si="154"/>
        <v>43023.14782056454</v>
      </c>
      <c r="BP215" s="25">
        <f t="shared" si="155"/>
        <v>34113.675869985018</v>
      </c>
      <c r="BQ215" s="25">
        <f t="shared" si="156"/>
        <v>23853.61427521822</v>
      </c>
      <c r="BR215" s="25">
        <f t="shared" si="157"/>
        <v>12418.613007083639</v>
      </c>
      <c r="BS215" s="25">
        <f t="shared" si="158"/>
        <v>0</v>
      </c>
    </row>
    <row r="216" spans="1:71" x14ac:dyDescent="0.2">
      <c r="A216" s="29">
        <f t="shared" si="191"/>
        <v>2.0799999999999996</v>
      </c>
      <c r="B216" s="30">
        <v>6.2620699676605801E-2</v>
      </c>
      <c r="C216" s="30">
        <v>6.5884441890569662E-2</v>
      </c>
      <c r="D216" s="30">
        <v>6.900096215013421E-2</v>
      </c>
      <c r="E216" s="30">
        <v>7.2202988613330424E-2</v>
      </c>
      <c r="F216" s="30">
        <v>7.5626306653816658E-2</v>
      </c>
      <c r="G216" s="30">
        <v>7.9272714302856068E-2</v>
      </c>
      <c r="H216" s="30">
        <v>8.3092343209893921E-2</v>
      </c>
      <c r="I216" s="30">
        <v>8.7030972324290898E-2</v>
      </c>
      <c r="J216" s="30">
        <v>9.1043823573156379E-2</v>
      </c>
      <c r="K216" s="30">
        <v>9.5096167154278974E-2</v>
      </c>
      <c r="L216" s="30">
        <v>9.9160380385713814E-2</v>
      </c>
      <c r="N216" s="1"/>
      <c r="O216" s="1"/>
      <c r="P216" s="1"/>
      <c r="Q216" s="1"/>
      <c r="R216" s="1">
        <f t="shared" si="192"/>
        <v>0.96289283740735676</v>
      </c>
      <c r="S216" s="1">
        <f t="shared" si="193"/>
        <v>0.96113888689408977</v>
      </c>
      <c r="T216" s="63">
        <f t="shared" si="194"/>
        <v>0.92026616296488073</v>
      </c>
      <c r="U216" s="65">
        <f t="shared" si="195"/>
        <v>0.87761571930361337</v>
      </c>
      <c r="V216" s="62">
        <f t="shared" si="196"/>
        <v>0.83352828083886388</v>
      </c>
      <c r="W216" s="68">
        <f t="shared" si="197"/>
        <v>0.78840732097280275</v>
      </c>
      <c r="Y216" s="24"/>
      <c r="Z216" s="24"/>
      <c r="AA216" s="24"/>
      <c r="AB216" s="24"/>
      <c r="AC216" s="24">
        <f t="shared" si="177"/>
        <v>7.9272714302856068E-2</v>
      </c>
      <c r="AD216" s="24">
        <f t="shared" si="178"/>
        <v>8.3092343209893921E-2</v>
      </c>
      <c r="AE216" s="24">
        <f t="shared" si="179"/>
        <v>8.7030972324290898E-2</v>
      </c>
      <c r="AF216" s="24">
        <f t="shared" si="180"/>
        <v>9.1043823573156379E-2</v>
      </c>
      <c r="AG216" s="24">
        <f t="shared" si="181"/>
        <v>9.5096167154278974E-2</v>
      </c>
      <c r="AH216" s="24">
        <f t="shared" si="182"/>
        <v>9.9160380385713814E-2</v>
      </c>
      <c r="AL216" s="23">
        <f t="shared" si="166"/>
        <v>0</v>
      </c>
      <c r="AM216" s="23">
        <f t="shared" si="167"/>
        <v>0</v>
      </c>
      <c r="AN216" s="23">
        <f t="shared" si="168"/>
        <v>0</v>
      </c>
      <c r="AO216" s="23">
        <f t="shared" si="169"/>
        <v>0</v>
      </c>
      <c r="AP216" s="23">
        <f t="shared" si="170"/>
        <v>5570.5017824139504</v>
      </c>
      <c r="AQ216" s="23">
        <f t="shared" si="171"/>
        <v>7395.951813040132</v>
      </c>
      <c r="AR216" s="23">
        <f t="shared" si="172"/>
        <v>8893.7302605988953</v>
      </c>
      <c r="AS216" s="23">
        <f t="shared" si="173"/>
        <v>10242.414153688344</v>
      </c>
      <c r="AT216" s="23">
        <f t="shared" si="174"/>
        <v>11416.753150207578</v>
      </c>
      <c r="AU216" s="23">
        <f t="shared" si="175"/>
        <v>12400.863627313818</v>
      </c>
      <c r="AW216" s="25"/>
      <c r="AX216" s="25"/>
      <c r="AY216" s="25"/>
      <c r="AZ216" s="25"/>
      <c r="BA216" s="25">
        <f t="shared" si="184"/>
        <v>55920.214787262717</v>
      </c>
      <c r="BB216" s="25">
        <f t="shared" si="185"/>
        <v>50349.713004848767</v>
      </c>
      <c r="BC216" s="25">
        <f t="shared" si="186"/>
        <v>42953.761191808633</v>
      </c>
      <c r="BD216" s="25">
        <f t="shared" si="187"/>
        <v>34060.030931209738</v>
      </c>
      <c r="BE216" s="25">
        <f t="shared" si="188"/>
        <v>23817.616777521398</v>
      </c>
      <c r="BF216" s="25">
        <f t="shared" si="189"/>
        <v>12400.863627313818</v>
      </c>
      <c r="BG216" s="25">
        <f t="shared" si="190"/>
        <v>0</v>
      </c>
      <c r="BI216" s="25"/>
      <c r="BJ216" s="25"/>
      <c r="BK216" s="25"/>
      <c r="BL216" s="25"/>
      <c r="BM216" s="25">
        <f t="shared" si="152"/>
        <v>55920.214787262717</v>
      </c>
      <c r="BN216" s="25">
        <f t="shared" si="153"/>
        <v>50349.713004848767</v>
      </c>
      <c r="BO216" s="25">
        <f t="shared" si="154"/>
        <v>42953.761191808633</v>
      </c>
      <c r="BP216" s="25">
        <f t="shared" si="155"/>
        <v>34060.030931209738</v>
      </c>
      <c r="BQ216" s="25">
        <f t="shared" si="156"/>
        <v>23817.616777521398</v>
      </c>
      <c r="BR216" s="25">
        <f t="shared" si="157"/>
        <v>12400.863627313818</v>
      </c>
      <c r="BS216" s="25">
        <f t="shared" si="158"/>
        <v>0</v>
      </c>
    </row>
    <row r="217" spans="1:71" x14ac:dyDescent="0.2">
      <c r="A217" s="29">
        <f t="shared" si="191"/>
        <v>2.0899999999999994</v>
      </c>
      <c r="B217" s="30">
        <v>6.3176039125769592E-2</v>
      </c>
      <c r="C217" s="30">
        <v>6.6429362898336897E-2</v>
      </c>
      <c r="D217" s="30">
        <v>6.9540544267735538E-2</v>
      </c>
      <c r="E217" s="30">
        <v>7.2740370632450271E-2</v>
      </c>
      <c r="F217" s="30">
        <v>7.6161942887370146E-2</v>
      </c>
      <c r="G217" s="30">
        <v>7.9806018678011514E-2</v>
      </c>
      <c r="H217" s="30">
        <v>8.3622633667172652E-2</v>
      </c>
      <c r="I217" s="30">
        <v>8.7557745260258293E-2</v>
      </c>
      <c r="J217" s="30">
        <v>9.1566764833334202E-2</v>
      </c>
      <c r="K217" s="30">
        <v>9.5615092411593758E-2</v>
      </c>
      <c r="L217" s="30">
        <v>9.9675180625732315E-2</v>
      </c>
      <c r="N217" s="1"/>
      <c r="O217" s="1"/>
      <c r="P217" s="1"/>
      <c r="Q217" s="1"/>
      <c r="R217" s="1">
        <f t="shared" si="192"/>
        <v>0.96263499179038947</v>
      </c>
      <c r="S217" s="1">
        <f t="shared" si="193"/>
        <v>0.96088263127441254</v>
      </c>
      <c r="T217" s="63">
        <f t="shared" si="194"/>
        <v>0.91977828397072436</v>
      </c>
      <c r="U217" s="65">
        <f t="shared" si="195"/>
        <v>0.87692253688831812</v>
      </c>
      <c r="V217" s="62">
        <f t="shared" si="196"/>
        <v>0.83265696390671251</v>
      </c>
      <c r="W217" s="68">
        <f t="shared" si="197"/>
        <v>0.78738517295942523</v>
      </c>
      <c r="Y217" s="24"/>
      <c r="Z217" s="24"/>
      <c r="AA217" s="24"/>
      <c r="AB217" s="24"/>
      <c r="AC217" s="24">
        <f t="shared" si="177"/>
        <v>7.9806018678011514E-2</v>
      </c>
      <c r="AD217" s="24">
        <f t="shared" si="178"/>
        <v>8.3622633667172652E-2</v>
      </c>
      <c r="AE217" s="24">
        <f t="shared" si="179"/>
        <v>8.7557745260258293E-2</v>
      </c>
      <c r="AF217" s="24">
        <f t="shared" si="180"/>
        <v>9.1566764833334202E-2</v>
      </c>
      <c r="AG217" s="24">
        <f t="shared" si="181"/>
        <v>9.5615092411593758E-2</v>
      </c>
      <c r="AH217" s="24">
        <f t="shared" si="182"/>
        <v>9.9675180625732315E-2</v>
      </c>
      <c r="AL217" s="23">
        <f t="shared" si="166"/>
        <v>0</v>
      </c>
      <c r="AM217" s="23">
        <f t="shared" si="167"/>
        <v>0</v>
      </c>
      <c r="AN217" s="23">
        <f t="shared" si="168"/>
        <v>0</v>
      </c>
      <c r="AO217" s="23">
        <f t="shared" si="169"/>
        <v>0</v>
      </c>
      <c r="AP217" s="23">
        <f t="shared" si="170"/>
        <v>5825.6988272754406</v>
      </c>
      <c r="AQ217" s="23">
        <f t="shared" si="171"/>
        <v>7648.7533741900652</v>
      </c>
      <c r="AR217" s="23">
        <f t="shared" si="172"/>
        <v>9131.2724041281454</v>
      </c>
      <c r="AS217" s="23">
        <f t="shared" si="173"/>
        <v>10463.613698678291</v>
      </c>
      <c r="AT217" s="23">
        <f t="shared" si="174"/>
        <v>11620.862174320629</v>
      </c>
      <c r="AU217" s="23">
        <f t="shared" si="175"/>
        <v>12587.459292903413</v>
      </c>
      <c r="AW217" s="25"/>
      <c r="AX217" s="25"/>
      <c r="AY217" s="25"/>
      <c r="AZ217" s="25"/>
      <c r="BA217" s="25">
        <f t="shared" si="184"/>
        <v>57277.659771495979</v>
      </c>
      <c r="BB217" s="25">
        <f t="shared" si="185"/>
        <v>51451.96094422054</v>
      </c>
      <c r="BC217" s="25">
        <f t="shared" si="186"/>
        <v>43803.207570030478</v>
      </c>
      <c r="BD217" s="25">
        <f t="shared" si="187"/>
        <v>34671.93516590233</v>
      </c>
      <c r="BE217" s="25">
        <f t="shared" si="188"/>
        <v>24208.321467224043</v>
      </c>
      <c r="BF217" s="25">
        <f t="shared" si="189"/>
        <v>12587.459292903413</v>
      </c>
      <c r="BG217" s="25">
        <f t="shared" si="190"/>
        <v>0</v>
      </c>
      <c r="BI217" s="25"/>
      <c r="BJ217" s="25"/>
      <c r="BK217" s="25"/>
      <c r="BL217" s="25"/>
      <c r="BM217" s="25">
        <f t="shared" si="152"/>
        <v>57277.659771495979</v>
      </c>
      <c r="BN217" s="25">
        <f t="shared" si="153"/>
        <v>51451.96094422054</v>
      </c>
      <c r="BO217" s="25">
        <f t="shared" si="154"/>
        <v>43803.207570030478</v>
      </c>
      <c r="BP217" s="25">
        <f t="shared" si="155"/>
        <v>34671.93516590233</v>
      </c>
      <c r="BQ217" s="25">
        <f t="shared" si="156"/>
        <v>24208.321467224043</v>
      </c>
      <c r="BR217" s="25">
        <f t="shared" si="157"/>
        <v>12587.459292903413</v>
      </c>
      <c r="BS217" s="25">
        <f t="shared" si="158"/>
        <v>0</v>
      </c>
    </row>
    <row r="218" spans="1:71" x14ac:dyDescent="0.2">
      <c r="A218" s="29">
        <f t="shared" si="191"/>
        <v>2.0999999999999992</v>
      </c>
      <c r="B218" s="30">
        <v>6.2186491163075903E-2</v>
      </c>
      <c r="C218" s="30">
        <v>6.5479367638051109E-2</v>
      </c>
      <c r="D218" s="30">
        <v>6.8630001340062793E-2</v>
      </c>
      <c r="E218" s="30">
        <v>7.1867423552186144E-2</v>
      </c>
      <c r="F218" s="30">
        <v>7.5322283090922482E-2</v>
      </c>
      <c r="G218" s="30">
        <v>7.8994515622544489E-2</v>
      </c>
      <c r="H218" s="30">
        <v>8.2834265830578402E-2</v>
      </c>
      <c r="I218" s="30">
        <v>8.6787869314852398E-2</v>
      </c>
      <c r="J218" s="30">
        <v>9.0811125226478717E-2</v>
      </c>
      <c r="K218" s="30">
        <v>9.4869761846281347E-2</v>
      </c>
      <c r="L218" s="30">
        <v>9.8936505957761586E-2</v>
      </c>
      <c r="N218" s="1"/>
      <c r="O218" s="1"/>
      <c r="P218" s="1"/>
      <c r="Q218" s="1"/>
      <c r="R218" s="1">
        <f t="shared" si="192"/>
        <v>0.96303921958853989</v>
      </c>
      <c r="S218" s="1">
        <f t="shared" si="193"/>
        <v>0.96127258997784459</v>
      </c>
      <c r="T218" s="63">
        <f t="shared" si="194"/>
        <v>0.92050369349380123</v>
      </c>
      <c r="U218" s="65">
        <f t="shared" si="195"/>
        <v>0.87793580419400641</v>
      </c>
      <c r="V218" s="62">
        <f t="shared" si="196"/>
        <v>0.83391629242723608</v>
      </c>
      <c r="W218" s="68">
        <f t="shared" si="197"/>
        <v>0.78885369629389424</v>
      </c>
      <c r="Y218" s="24"/>
      <c r="Z218" s="24"/>
      <c r="AA218" s="24"/>
      <c r="AB218" s="24"/>
      <c r="AC218" s="24">
        <f t="shared" si="177"/>
        <v>7.8994515622544489E-2</v>
      </c>
      <c r="AD218" s="24">
        <f t="shared" si="178"/>
        <v>8.2834265830578402E-2</v>
      </c>
      <c r="AE218" s="24">
        <f t="shared" si="179"/>
        <v>8.6787869314852398E-2</v>
      </c>
      <c r="AF218" s="24">
        <f t="shared" si="180"/>
        <v>9.0811125226478717E-2</v>
      </c>
      <c r="AG218" s="24">
        <f t="shared" si="181"/>
        <v>9.4869761846281347E-2</v>
      </c>
      <c r="AH218" s="24">
        <f t="shared" si="182"/>
        <v>9.8936505957761586E-2</v>
      </c>
      <c r="AL218" s="23">
        <f t="shared" si="166"/>
        <v>0</v>
      </c>
      <c r="AM218" s="23">
        <f t="shared" si="167"/>
        <v>0</v>
      </c>
      <c r="AN218" s="23">
        <f t="shared" si="168"/>
        <v>0</v>
      </c>
      <c r="AO218" s="23">
        <f t="shared" si="169"/>
        <v>0</v>
      </c>
      <c r="AP218" s="23">
        <f t="shared" si="170"/>
        <v>5437.3905086882114</v>
      </c>
      <c r="AQ218" s="23">
        <f t="shared" si="171"/>
        <v>7272.9393011965603</v>
      </c>
      <c r="AR218" s="23">
        <f t="shared" si="172"/>
        <v>8784.1372183572821</v>
      </c>
      <c r="AS218" s="23">
        <f t="shared" si="173"/>
        <v>10144.002672247439</v>
      </c>
      <c r="AT218" s="23">
        <f t="shared" si="174"/>
        <v>11327.666168449336</v>
      </c>
      <c r="AU218" s="23">
        <f t="shared" si="175"/>
        <v>12319.58258250188</v>
      </c>
      <c r="AW218" s="25"/>
      <c r="AX218" s="25"/>
      <c r="AY218" s="25"/>
      <c r="AZ218" s="25"/>
      <c r="BA218" s="25">
        <f t="shared" si="184"/>
        <v>55285.718451440713</v>
      </c>
      <c r="BB218" s="25">
        <f t="shared" si="185"/>
        <v>49848.327942752498</v>
      </c>
      <c r="BC218" s="25">
        <f t="shared" si="186"/>
        <v>42575.388641555939</v>
      </c>
      <c r="BD218" s="25">
        <f t="shared" si="187"/>
        <v>33791.251423198657</v>
      </c>
      <c r="BE218" s="25">
        <f t="shared" si="188"/>
        <v>23647.248750951214</v>
      </c>
      <c r="BF218" s="25">
        <f t="shared" si="189"/>
        <v>12319.58258250188</v>
      </c>
      <c r="BG218" s="25">
        <f t="shared" si="190"/>
        <v>0</v>
      </c>
      <c r="BI218" s="25"/>
      <c r="BJ218" s="25"/>
      <c r="BK218" s="25"/>
      <c r="BL218" s="25"/>
      <c r="BM218" s="25">
        <f t="shared" si="152"/>
        <v>55285.718451440713</v>
      </c>
      <c r="BN218" s="25">
        <f t="shared" si="153"/>
        <v>49848.327942752498</v>
      </c>
      <c r="BO218" s="25">
        <f t="shared" si="154"/>
        <v>42575.388641555939</v>
      </c>
      <c r="BP218" s="25">
        <f t="shared" si="155"/>
        <v>33791.251423198657</v>
      </c>
      <c r="BQ218" s="25">
        <f t="shared" si="156"/>
        <v>23647.248750951214</v>
      </c>
      <c r="BR218" s="25">
        <f t="shared" si="157"/>
        <v>12319.58258250188</v>
      </c>
      <c r="BS218" s="25">
        <f t="shared" si="158"/>
        <v>0</v>
      </c>
    </row>
    <row r="219" spans="1:71" x14ac:dyDescent="0.2">
      <c r="A219" s="29">
        <f t="shared" si="191"/>
        <v>2.109999999999999</v>
      </c>
      <c r="B219" s="30">
        <v>6.2553447968536319E-2</v>
      </c>
      <c r="C219" s="30">
        <v>6.5985723324494844E-2</v>
      </c>
      <c r="D219" s="30">
        <v>6.9265170131548037E-2</v>
      </c>
      <c r="E219" s="30">
        <v>7.2619457837183668E-2</v>
      </c>
      <c r="F219" s="30">
        <v>7.6177223980579967E-2</v>
      </c>
      <c r="G219" s="30">
        <v>7.9938009067847149E-2</v>
      </c>
      <c r="H219" s="30">
        <v>8.3852480385795014E-2</v>
      </c>
      <c r="I219" s="30">
        <v>8.786776011936942E-2</v>
      </c>
      <c r="J219" s="30">
        <v>9.1940442203422498E-2</v>
      </c>
      <c r="K219" s="30">
        <v>9.6036990291434116E-2</v>
      </c>
      <c r="L219" s="30">
        <v>0.10013081284688974</v>
      </c>
      <c r="N219" s="1"/>
      <c r="O219" s="1"/>
      <c r="P219" s="1"/>
      <c r="Q219" s="1"/>
      <c r="R219" s="1">
        <f t="shared" si="192"/>
        <v>0.96262763676096941</v>
      </c>
      <c r="S219" s="1">
        <f t="shared" si="193"/>
        <v>0.96081921973032014</v>
      </c>
      <c r="T219" s="63">
        <f t="shared" si="194"/>
        <v>0.91956690024415211</v>
      </c>
      <c r="U219" s="65">
        <f t="shared" si="195"/>
        <v>0.87651484316391215</v>
      </c>
      <c r="V219" s="62">
        <f t="shared" si="196"/>
        <v>0.8320349062556166</v>
      </c>
      <c r="W219" s="68">
        <f t="shared" si="197"/>
        <v>0.78655512044539866</v>
      </c>
      <c r="Y219" s="24"/>
      <c r="Z219" s="24"/>
      <c r="AA219" s="24"/>
      <c r="AB219" s="24"/>
      <c r="AC219" s="24">
        <f t="shared" si="177"/>
        <v>7.9938009067847149E-2</v>
      </c>
      <c r="AD219" s="24">
        <f t="shared" si="178"/>
        <v>8.3852480385795014E-2</v>
      </c>
      <c r="AE219" s="24">
        <f t="shared" si="179"/>
        <v>8.7867760119369434E-2</v>
      </c>
      <c r="AF219" s="24">
        <f t="shared" si="180"/>
        <v>9.1940442203422498E-2</v>
      </c>
      <c r="AG219" s="24">
        <f t="shared" si="181"/>
        <v>9.6036990291434116E-2</v>
      </c>
      <c r="AH219" s="24">
        <f t="shared" si="182"/>
        <v>0.10013081284688974</v>
      </c>
      <c r="AL219" s="23">
        <f t="shared" si="166"/>
        <v>0</v>
      </c>
      <c r="AM219" s="23">
        <f t="shared" si="167"/>
        <v>0</v>
      </c>
      <c r="AN219" s="23">
        <f t="shared" si="168"/>
        <v>0</v>
      </c>
      <c r="AO219" s="23">
        <f t="shared" si="169"/>
        <v>0</v>
      </c>
      <c r="AP219" s="23">
        <f t="shared" si="170"/>
        <v>5889.1831144434082</v>
      </c>
      <c r="AQ219" s="23">
        <f t="shared" si="171"/>
        <v>7758.6691822986058</v>
      </c>
      <c r="AR219" s="23">
        <f t="shared" si="172"/>
        <v>9271.713553822301</v>
      </c>
      <c r="AS219" s="23">
        <f t="shared" si="173"/>
        <v>10622.515896987368</v>
      </c>
      <c r="AT219" s="23">
        <f t="shared" si="174"/>
        <v>11787.69739388559</v>
      </c>
      <c r="AU219" s="23">
        <f t="shared" si="175"/>
        <v>12753.379664455928</v>
      </c>
      <c r="AW219" s="25"/>
      <c r="AX219" s="25"/>
      <c r="AY219" s="25"/>
      <c r="AZ219" s="25"/>
      <c r="BA219" s="25">
        <f t="shared" si="184"/>
        <v>58083.158805893196</v>
      </c>
      <c r="BB219" s="25">
        <f t="shared" si="185"/>
        <v>52193.975691449792</v>
      </c>
      <c r="BC219" s="25">
        <f t="shared" si="186"/>
        <v>44435.306509151182</v>
      </c>
      <c r="BD219" s="25">
        <f t="shared" si="187"/>
        <v>35163.592955328888</v>
      </c>
      <c r="BE219" s="25">
        <f t="shared" si="188"/>
        <v>24541.077058341518</v>
      </c>
      <c r="BF219" s="25">
        <f t="shared" si="189"/>
        <v>12753.379664455928</v>
      </c>
      <c r="BG219" s="25">
        <f t="shared" si="190"/>
        <v>0</v>
      </c>
      <c r="BI219" s="25"/>
      <c r="BJ219" s="25"/>
      <c r="BK219" s="25"/>
      <c r="BL219" s="25"/>
      <c r="BM219" s="25">
        <f t="shared" si="152"/>
        <v>58083.158805893196</v>
      </c>
      <c r="BN219" s="25">
        <f t="shared" si="153"/>
        <v>52193.975691449792</v>
      </c>
      <c r="BO219" s="25">
        <f t="shared" si="154"/>
        <v>44435.306509151182</v>
      </c>
      <c r="BP219" s="25">
        <f t="shared" si="155"/>
        <v>35163.592955328888</v>
      </c>
      <c r="BQ219" s="25">
        <f t="shared" si="156"/>
        <v>24541.077058341518</v>
      </c>
      <c r="BR219" s="25">
        <f t="shared" si="157"/>
        <v>12753.379664455928</v>
      </c>
      <c r="BS219" s="25">
        <f t="shared" si="158"/>
        <v>0</v>
      </c>
    </row>
    <row r="220" spans="1:71" x14ac:dyDescent="0.2">
      <c r="A220" s="29">
        <f t="shared" si="191"/>
        <v>2.1199999999999988</v>
      </c>
      <c r="B220" s="30">
        <v>6.085608039761993E-2</v>
      </c>
      <c r="C220" s="30">
        <v>6.4338243633317097E-2</v>
      </c>
      <c r="D220" s="30">
        <v>6.7674820840151334E-2</v>
      </c>
      <c r="E220" s="30">
        <v>7.1091268121849752E-2</v>
      </c>
      <c r="F220" s="30">
        <v>7.4713405543272132E-2</v>
      </c>
      <c r="G220" s="30">
        <v>7.8539558286296635E-2</v>
      </c>
      <c r="H220" s="30">
        <v>8.2520083001314734E-2</v>
      </c>
      <c r="I220" s="30">
        <v>8.6602050103023895E-2</v>
      </c>
      <c r="J220" s="30">
        <v>9.074200860245589E-2</v>
      </c>
      <c r="K220" s="30">
        <v>9.4906317932554496E-2</v>
      </c>
      <c r="L220" s="30">
        <v>9.9068229051955878E-2</v>
      </c>
      <c r="N220" s="1"/>
      <c r="O220" s="1"/>
      <c r="P220" s="1"/>
      <c r="Q220" s="1"/>
      <c r="R220" s="1">
        <f t="shared" si="192"/>
        <v>0.96333245070089235</v>
      </c>
      <c r="S220" s="1">
        <f t="shared" si="193"/>
        <v>0.96149128385947014</v>
      </c>
      <c r="T220" s="63">
        <f t="shared" si="194"/>
        <v>0.92079294538518019</v>
      </c>
      <c r="U220" s="65">
        <f t="shared" si="195"/>
        <v>0.87818054430924053</v>
      </c>
      <c r="V220" s="62">
        <f t="shared" si="196"/>
        <v>0.83403157535271955</v>
      </c>
      <c r="W220" s="68">
        <f t="shared" si="197"/>
        <v>0.7887816060786681</v>
      </c>
      <c r="Y220" s="24"/>
      <c r="Z220" s="24"/>
      <c r="AA220" s="24"/>
      <c r="AB220" s="24"/>
      <c r="AC220" s="24">
        <f t="shared" si="177"/>
        <v>7.8539558286296635E-2</v>
      </c>
      <c r="AD220" s="24">
        <f t="shared" si="178"/>
        <v>8.2520083001314734E-2</v>
      </c>
      <c r="AE220" s="24">
        <f t="shared" si="179"/>
        <v>8.6602050103023895E-2</v>
      </c>
      <c r="AF220" s="24">
        <f t="shared" si="180"/>
        <v>9.074200860245589E-2</v>
      </c>
      <c r="AG220" s="24">
        <f t="shared" si="181"/>
        <v>9.4906317932554496E-2</v>
      </c>
      <c r="AH220" s="24">
        <f t="shared" si="182"/>
        <v>9.9068229051955878E-2</v>
      </c>
      <c r="AL220" s="23">
        <f t="shared" si="166"/>
        <v>0</v>
      </c>
      <c r="AM220" s="23">
        <f t="shared" si="167"/>
        <v>0</v>
      </c>
      <c r="AN220" s="23">
        <f t="shared" si="168"/>
        <v>0</v>
      </c>
      <c r="AO220" s="23">
        <f t="shared" si="169"/>
        <v>0</v>
      </c>
      <c r="AP220" s="23">
        <f t="shared" si="170"/>
        <v>5219.9085303438023</v>
      </c>
      <c r="AQ220" s="23">
        <f t="shared" si="171"/>
        <v>7123.5519019934882</v>
      </c>
      <c r="AR220" s="23">
        <f t="shared" si="172"/>
        <v>8701.346967347059</v>
      </c>
      <c r="AS220" s="23">
        <f t="shared" si="173"/>
        <v>10116.482054946011</v>
      </c>
      <c r="AT220" s="23">
        <f t="shared" si="174"/>
        <v>11344.476601880091</v>
      </c>
      <c r="AU220" s="23">
        <f t="shared" si="175"/>
        <v>12370.407121536722</v>
      </c>
      <c r="AW220" s="25"/>
      <c r="AX220" s="25"/>
      <c r="AY220" s="25"/>
      <c r="AZ220" s="25"/>
      <c r="BA220" s="25">
        <f t="shared" si="184"/>
        <v>54876.173178047182</v>
      </c>
      <c r="BB220" s="25">
        <f t="shared" si="185"/>
        <v>49656.264647703378</v>
      </c>
      <c r="BC220" s="25">
        <f t="shared" si="186"/>
        <v>42532.712745709883</v>
      </c>
      <c r="BD220" s="25">
        <f t="shared" si="187"/>
        <v>33831.365778362822</v>
      </c>
      <c r="BE220" s="25">
        <f t="shared" si="188"/>
        <v>23714.883723416813</v>
      </c>
      <c r="BF220" s="25">
        <f t="shared" si="189"/>
        <v>12370.407121536722</v>
      </c>
      <c r="BG220" s="25">
        <f t="shared" si="190"/>
        <v>0</v>
      </c>
      <c r="BI220" s="25"/>
      <c r="BJ220" s="25"/>
      <c r="BK220" s="25"/>
      <c r="BL220" s="25"/>
      <c r="BM220" s="25">
        <f t="shared" ref="BM220:BM258" si="198">MAX(BA220,0)</f>
        <v>54876.173178047182</v>
      </c>
      <c r="BN220" s="25">
        <f t="shared" ref="BN220:BN283" si="199">MAX(BB220,0)</f>
        <v>49656.264647703378</v>
      </c>
      <c r="BO220" s="25">
        <f t="shared" ref="BO220:BO283" si="200">MAX(BC220,0)</f>
        <v>42532.712745709883</v>
      </c>
      <c r="BP220" s="25">
        <f t="shared" ref="BP220:BP283" si="201">MAX(BD220,0)</f>
        <v>33831.365778362822</v>
      </c>
      <c r="BQ220" s="25">
        <f t="shared" ref="BQ220:BQ283" si="202">MAX(BE220,0)</f>
        <v>23714.883723416813</v>
      </c>
      <c r="BR220" s="25">
        <f t="shared" ref="BR220:BR283" si="203">MAX(BF220,0)</f>
        <v>12370.407121536722</v>
      </c>
      <c r="BS220" s="25">
        <f t="shared" ref="BS220:BS283" si="204">MAX(BG220,0)</f>
        <v>0</v>
      </c>
    </row>
    <row r="221" spans="1:71" x14ac:dyDescent="0.2">
      <c r="A221" s="29">
        <f t="shared" si="191"/>
        <v>2.1299999999999986</v>
      </c>
      <c r="B221" s="30">
        <v>5.9964259902453285E-2</v>
      </c>
      <c r="C221" s="30">
        <v>6.3438199272050494E-2</v>
      </c>
      <c r="D221" s="30">
        <v>6.6779996769847957E-2</v>
      </c>
      <c r="E221" s="30">
        <v>7.021263663707844E-2</v>
      </c>
      <c r="F221" s="30">
        <v>7.3858907071162549E-2</v>
      </c>
      <c r="G221" s="30">
        <v>7.7715689587380135E-2</v>
      </c>
      <c r="H221" s="30">
        <v>8.1732788940905285E-2</v>
      </c>
      <c r="I221" s="30">
        <v>8.5856977476993099E-2</v>
      </c>
      <c r="J221" s="30">
        <v>9.0044511660798215E-2</v>
      </c>
      <c r="K221" s="30">
        <v>9.4261399202919552E-2</v>
      </c>
      <c r="L221" s="30">
        <v>9.8480486461891795E-2</v>
      </c>
      <c r="N221" s="1"/>
      <c r="O221" s="1"/>
      <c r="P221" s="1"/>
      <c r="Q221" s="1"/>
      <c r="R221" s="1">
        <f t="shared" si="192"/>
        <v>0.96374412169131685</v>
      </c>
      <c r="S221" s="1">
        <f t="shared" si="193"/>
        <v>0.96188743673488319</v>
      </c>
      <c r="T221" s="63">
        <f t="shared" si="194"/>
        <v>0.92151816564529099</v>
      </c>
      <c r="U221" s="65">
        <f t="shared" si="195"/>
        <v>0.87916255538562049</v>
      </c>
      <c r="V221" s="62">
        <f t="shared" si="196"/>
        <v>0.83519585619234504</v>
      </c>
      <c r="W221" s="68">
        <f t="shared" si="197"/>
        <v>0.79005438192756161</v>
      </c>
      <c r="Y221" s="24"/>
      <c r="Z221" s="24"/>
      <c r="AA221" s="24"/>
      <c r="AB221" s="24"/>
      <c r="AC221" s="24">
        <f t="shared" si="177"/>
        <v>7.7715689587380135E-2</v>
      </c>
      <c r="AD221" s="24">
        <f t="shared" si="178"/>
        <v>8.1732788940905285E-2</v>
      </c>
      <c r="AE221" s="24">
        <f t="shared" si="179"/>
        <v>8.5856977476993099E-2</v>
      </c>
      <c r="AF221" s="24">
        <f t="shared" si="180"/>
        <v>9.0044511660798215E-2</v>
      </c>
      <c r="AG221" s="24">
        <f t="shared" si="181"/>
        <v>9.4261399202919552E-2</v>
      </c>
      <c r="AH221" s="24">
        <f t="shared" si="182"/>
        <v>9.8480486461891795E-2</v>
      </c>
      <c r="AL221" s="23">
        <f t="shared" si="166"/>
        <v>0</v>
      </c>
      <c r="AM221" s="23">
        <f t="shared" si="167"/>
        <v>0</v>
      </c>
      <c r="AN221" s="23">
        <f t="shared" si="168"/>
        <v>0</v>
      </c>
      <c r="AO221" s="23">
        <f t="shared" si="169"/>
        <v>0</v>
      </c>
      <c r="AP221" s="23">
        <f t="shared" si="170"/>
        <v>4825.1399009564366</v>
      </c>
      <c r="AQ221" s="23">
        <f t="shared" si="171"/>
        <v>6747.8428093305802</v>
      </c>
      <c r="AR221" s="23">
        <f t="shared" si="172"/>
        <v>8364.9012037200155</v>
      </c>
      <c r="AS221" s="23">
        <f t="shared" si="173"/>
        <v>9821.188049270595</v>
      </c>
      <c r="AT221" s="23">
        <f t="shared" si="174"/>
        <v>11090.99639541844</v>
      </c>
      <c r="AU221" s="23">
        <f t="shared" si="175"/>
        <v>12158.193672376354</v>
      </c>
      <c r="AW221" s="25"/>
      <c r="AX221" s="25"/>
      <c r="AY221" s="25"/>
      <c r="AZ221" s="25"/>
      <c r="BA221" s="25">
        <f t="shared" si="184"/>
        <v>53008.262031072431</v>
      </c>
      <c r="BB221" s="25">
        <f t="shared" si="185"/>
        <v>48183.122130115982</v>
      </c>
      <c r="BC221" s="25">
        <f t="shared" si="186"/>
        <v>41435.279320785412</v>
      </c>
      <c r="BD221" s="25">
        <f t="shared" si="187"/>
        <v>33070.378117065389</v>
      </c>
      <c r="BE221" s="25">
        <f t="shared" si="188"/>
        <v>23249.190067794792</v>
      </c>
      <c r="BF221" s="25">
        <f t="shared" si="189"/>
        <v>12158.193672376354</v>
      </c>
      <c r="BG221" s="25">
        <f t="shared" si="190"/>
        <v>0</v>
      </c>
      <c r="BI221" s="25"/>
      <c r="BJ221" s="25"/>
      <c r="BK221" s="25"/>
      <c r="BL221" s="25"/>
      <c r="BM221" s="25">
        <f t="shared" si="198"/>
        <v>53008.262031072431</v>
      </c>
      <c r="BN221" s="25">
        <f t="shared" si="199"/>
        <v>48183.122130115982</v>
      </c>
      <c r="BO221" s="25">
        <f t="shared" si="200"/>
        <v>41435.279320785412</v>
      </c>
      <c r="BP221" s="25">
        <f t="shared" si="201"/>
        <v>33070.378117065389</v>
      </c>
      <c r="BQ221" s="25">
        <f t="shared" si="202"/>
        <v>23249.190067794792</v>
      </c>
      <c r="BR221" s="25">
        <f t="shared" si="203"/>
        <v>12158.193672376354</v>
      </c>
      <c r="BS221" s="25">
        <f t="shared" si="204"/>
        <v>0</v>
      </c>
    </row>
    <row r="222" spans="1:71" x14ac:dyDescent="0.2">
      <c r="A222" s="29">
        <f t="shared" si="191"/>
        <v>2.1399999999999983</v>
      </c>
      <c r="B222" s="30">
        <v>6.0046574043637425E-2</v>
      </c>
      <c r="C222" s="30">
        <v>6.3540166843833956E-2</v>
      </c>
      <c r="D222" s="30">
        <v>6.6905003652408201E-2</v>
      </c>
      <c r="E222" s="30">
        <v>7.0362094624155366E-2</v>
      </c>
      <c r="F222" s="30">
        <v>7.4031736829229283E-2</v>
      </c>
      <c r="G222" s="30">
        <v>7.7909894927894741E-2</v>
      </c>
      <c r="H222" s="30">
        <v>8.1946335832779577E-2</v>
      </c>
      <c r="I222" s="30">
        <v>8.6088042906323464E-2</v>
      </c>
      <c r="J222" s="30">
        <v>9.0291487860430147E-2</v>
      </c>
      <c r="K222" s="30">
        <v>9.4522834601954223E-2</v>
      </c>
      <c r="L222" s="30">
        <v>9.8755033212676965E-2</v>
      </c>
      <c r="N222" s="1"/>
      <c r="O222" s="1"/>
      <c r="P222" s="1"/>
      <c r="Q222" s="1"/>
      <c r="R222" s="1">
        <f t="shared" si="192"/>
        <v>0.96366084345791281</v>
      </c>
      <c r="S222" s="1">
        <f t="shared" si="193"/>
        <v>0.96179403943092645</v>
      </c>
      <c r="T222" s="63">
        <f t="shared" si="194"/>
        <v>0.9213213993153786</v>
      </c>
      <c r="U222" s="65">
        <f t="shared" si="195"/>
        <v>0.87885789207657206</v>
      </c>
      <c r="V222" s="62">
        <f t="shared" si="196"/>
        <v>0.83478341106783904</v>
      </c>
      <c r="W222" s="68">
        <f t="shared" si="197"/>
        <v>0.78953818018120359</v>
      </c>
      <c r="Y222" s="24"/>
      <c r="Z222" s="24"/>
      <c r="AA222" s="24"/>
      <c r="AB222" s="24"/>
      <c r="AC222" s="24">
        <f t="shared" si="177"/>
        <v>7.7909894927894741E-2</v>
      </c>
      <c r="AD222" s="24">
        <f t="shared" si="178"/>
        <v>8.1946335832779577E-2</v>
      </c>
      <c r="AE222" s="24">
        <f t="shared" si="179"/>
        <v>8.6088042906323464E-2</v>
      </c>
      <c r="AF222" s="24">
        <f t="shared" si="180"/>
        <v>9.0291487860430147E-2</v>
      </c>
      <c r="AG222" s="24">
        <f t="shared" si="181"/>
        <v>9.4522834601954223E-2</v>
      </c>
      <c r="AH222" s="24">
        <f t="shared" si="182"/>
        <v>9.8755033212676965E-2</v>
      </c>
      <c r="AL222" s="23">
        <f t="shared" si="166"/>
        <v>0</v>
      </c>
      <c r="AM222" s="23">
        <f t="shared" si="167"/>
        <v>0</v>
      </c>
      <c r="AN222" s="23">
        <f t="shared" si="168"/>
        <v>0</v>
      </c>
      <c r="AO222" s="23">
        <f t="shared" si="169"/>
        <v>0</v>
      </c>
      <c r="AP222" s="23">
        <f t="shared" si="170"/>
        <v>4918.2969962131665</v>
      </c>
      <c r="AQ222" s="23">
        <f t="shared" si="171"/>
        <v>6849.8816714585982</v>
      </c>
      <c r="AR222" s="23">
        <f t="shared" si="172"/>
        <v>8469.5578581248428</v>
      </c>
      <c r="AS222" s="23">
        <f t="shared" si="173"/>
        <v>9926.3131246645407</v>
      </c>
      <c r="AT222" s="23">
        <f t="shared" si="174"/>
        <v>11194.640291046375</v>
      </c>
      <c r="AU222" s="23">
        <f t="shared" si="175"/>
        <v>12258.632384125753</v>
      </c>
      <c r="AW222" s="25"/>
      <c r="AX222" s="25"/>
      <c r="AY222" s="25"/>
      <c r="AZ222" s="25"/>
      <c r="BA222" s="25">
        <f t="shared" si="184"/>
        <v>53617.322325633279</v>
      </c>
      <c r="BB222" s="25">
        <f t="shared" si="185"/>
        <v>48699.02532942011</v>
      </c>
      <c r="BC222" s="25">
        <f t="shared" si="186"/>
        <v>41849.143657961511</v>
      </c>
      <c r="BD222" s="25">
        <f t="shared" si="187"/>
        <v>33379.58579983667</v>
      </c>
      <c r="BE222" s="25">
        <f t="shared" si="188"/>
        <v>23453.272675172127</v>
      </c>
      <c r="BF222" s="25">
        <f t="shared" si="189"/>
        <v>12258.632384125753</v>
      </c>
      <c r="BG222" s="25">
        <f t="shared" si="190"/>
        <v>0</v>
      </c>
      <c r="BI222" s="25"/>
      <c r="BJ222" s="25"/>
      <c r="BK222" s="25"/>
      <c r="BL222" s="25"/>
      <c r="BM222" s="25">
        <f t="shared" si="198"/>
        <v>53617.322325633279</v>
      </c>
      <c r="BN222" s="25">
        <f t="shared" si="199"/>
        <v>48699.02532942011</v>
      </c>
      <c r="BO222" s="25">
        <f t="shared" si="200"/>
        <v>41849.143657961511</v>
      </c>
      <c r="BP222" s="25">
        <f t="shared" si="201"/>
        <v>33379.58579983667</v>
      </c>
      <c r="BQ222" s="25">
        <f t="shared" si="202"/>
        <v>23453.272675172127</v>
      </c>
      <c r="BR222" s="25">
        <f t="shared" si="203"/>
        <v>12258.632384125753</v>
      </c>
      <c r="BS222" s="25">
        <f t="shared" si="204"/>
        <v>0</v>
      </c>
    </row>
    <row r="223" spans="1:71" x14ac:dyDescent="0.2">
      <c r="A223" s="29">
        <f t="shared" si="191"/>
        <v>2.1499999999999981</v>
      </c>
      <c r="B223" s="30">
        <v>6.0805894779547794E-2</v>
      </c>
      <c r="C223" s="30">
        <v>6.4247099296693366E-2</v>
      </c>
      <c r="D223" s="30">
        <v>6.7562814530652063E-2</v>
      </c>
      <c r="E223" s="30">
        <v>7.0972195755062681E-2</v>
      </c>
      <c r="F223" s="30">
        <v>7.4593209944355157E-2</v>
      </c>
      <c r="G223" s="30">
        <v>7.8421052030126365E-2</v>
      </c>
      <c r="H223" s="30">
        <v>8.2405585605750259E-2</v>
      </c>
      <c r="I223" s="30">
        <v>8.6494134681540186E-2</v>
      </c>
      <c r="J223" s="30">
        <v>9.0643514581236928E-2</v>
      </c>
      <c r="K223" s="30">
        <v>9.4820173904588342E-2</v>
      </c>
      <c r="L223" s="30">
        <v>9.8997295356191742E-2</v>
      </c>
      <c r="N223" s="1"/>
      <c r="O223" s="1"/>
      <c r="P223" s="1"/>
      <c r="Q223" s="1"/>
      <c r="R223" s="1">
        <f t="shared" si="192"/>
        <v>0.96339034660101708</v>
      </c>
      <c r="S223" s="1">
        <f t="shared" si="193"/>
        <v>0.9615482569135646</v>
      </c>
      <c r="T223" s="63">
        <f t="shared" si="194"/>
        <v>0.92089837981514966</v>
      </c>
      <c r="U223" s="65">
        <f t="shared" si="195"/>
        <v>0.8783227096506715</v>
      </c>
      <c r="V223" s="62">
        <f t="shared" si="196"/>
        <v>0.83419588578314341</v>
      </c>
      <c r="W223" s="68">
        <f t="shared" si="197"/>
        <v>0.78895149643364393</v>
      </c>
      <c r="Y223" s="24"/>
      <c r="Z223" s="24"/>
      <c r="AA223" s="24"/>
      <c r="AB223" s="24"/>
      <c r="AC223" s="24">
        <f t="shared" si="177"/>
        <v>7.8421052030126365E-2</v>
      </c>
      <c r="AD223" s="24">
        <f t="shared" si="178"/>
        <v>8.2405585605750259E-2</v>
      </c>
      <c r="AE223" s="24">
        <f t="shared" si="179"/>
        <v>8.6494134681540186E-2</v>
      </c>
      <c r="AF223" s="24">
        <f t="shared" si="180"/>
        <v>9.0643514581236928E-2</v>
      </c>
      <c r="AG223" s="24">
        <f t="shared" si="181"/>
        <v>9.4820173904588342E-2</v>
      </c>
      <c r="AH223" s="24">
        <f t="shared" si="182"/>
        <v>9.8997295356191742E-2</v>
      </c>
      <c r="AL223" s="23">
        <f t="shared" si="166"/>
        <v>0</v>
      </c>
      <c r="AM223" s="23">
        <f t="shared" si="167"/>
        <v>0</v>
      </c>
      <c r="AN223" s="23">
        <f t="shared" si="168"/>
        <v>0</v>
      </c>
      <c r="AO223" s="23">
        <f t="shared" si="169"/>
        <v>0</v>
      </c>
      <c r="AP223" s="23">
        <f t="shared" si="170"/>
        <v>5163.1383531833981</v>
      </c>
      <c r="AQ223" s="23">
        <f t="shared" si="171"/>
        <v>7068.9266216690794</v>
      </c>
      <c r="AR223" s="23">
        <f t="shared" si="172"/>
        <v>8652.6537375500156</v>
      </c>
      <c r="AS223" s="23">
        <f t="shared" si="173"/>
        <v>10074.865006330425</v>
      </c>
      <c r="AT223" s="23">
        <f t="shared" si="174"/>
        <v>11310.781051382928</v>
      </c>
      <c r="AU223" s="23">
        <f t="shared" si="175"/>
        <v>12345.089877459042</v>
      </c>
      <c r="AW223" s="25"/>
      <c r="AX223" s="25"/>
      <c r="AY223" s="25"/>
      <c r="AZ223" s="25"/>
      <c r="BA223" s="25">
        <f t="shared" si="184"/>
        <v>54615.454647574894</v>
      </c>
      <c r="BB223" s="25">
        <f t="shared" si="185"/>
        <v>49452.316294391494</v>
      </c>
      <c r="BC223" s="25">
        <f t="shared" si="186"/>
        <v>42383.389672722413</v>
      </c>
      <c r="BD223" s="25">
        <f t="shared" si="187"/>
        <v>33730.735935172401</v>
      </c>
      <c r="BE223" s="25">
        <f t="shared" si="188"/>
        <v>23655.87092884197</v>
      </c>
      <c r="BF223" s="25">
        <f t="shared" si="189"/>
        <v>12345.089877459042</v>
      </c>
      <c r="BG223" s="25">
        <f t="shared" si="190"/>
        <v>0</v>
      </c>
      <c r="BI223" s="25"/>
      <c r="BJ223" s="25"/>
      <c r="BK223" s="25"/>
      <c r="BL223" s="25"/>
      <c r="BM223" s="25">
        <f t="shared" si="198"/>
        <v>54615.454647574894</v>
      </c>
      <c r="BN223" s="25">
        <f t="shared" si="199"/>
        <v>49452.316294391494</v>
      </c>
      <c r="BO223" s="25">
        <f t="shared" si="200"/>
        <v>42383.389672722413</v>
      </c>
      <c r="BP223" s="25">
        <f t="shared" si="201"/>
        <v>33730.735935172401</v>
      </c>
      <c r="BQ223" s="25">
        <f t="shared" si="202"/>
        <v>23655.87092884197</v>
      </c>
      <c r="BR223" s="25">
        <f t="shared" si="203"/>
        <v>12345.089877459042</v>
      </c>
      <c r="BS223" s="25">
        <f t="shared" si="204"/>
        <v>0</v>
      </c>
    </row>
    <row r="224" spans="1:71" x14ac:dyDescent="0.2">
      <c r="A224" s="29">
        <f t="shared" si="191"/>
        <v>2.1599999999999979</v>
      </c>
      <c r="B224" s="30">
        <v>6.0953821283061704E-2</v>
      </c>
      <c r="C224" s="30">
        <v>6.4328662209979209E-2</v>
      </c>
      <c r="D224" s="30">
        <v>6.7593360880563128E-2</v>
      </c>
      <c r="E224" s="30">
        <v>7.0964558348106915E-2</v>
      </c>
      <c r="F224" s="30">
        <v>7.4557272863760113E-2</v>
      </c>
      <c r="G224" s="30">
        <v>7.8365297123742336E-2</v>
      </c>
      <c r="H224" s="30">
        <v>8.233794644661864E-2</v>
      </c>
      <c r="I224" s="30">
        <v>8.6422235714957676E-2</v>
      </c>
      <c r="J224" s="30">
        <v>9.0574672851060786E-2</v>
      </c>
      <c r="K224" s="30">
        <v>9.4761340271269909E-2</v>
      </c>
      <c r="L224" s="30">
        <v>9.8955002827808933E-2</v>
      </c>
      <c r="N224" s="1"/>
      <c r="O224" s="1"/>
      <c r="P224" s="1"/>
      <c r="Q224" s="1"/>
      <c r="R224" s="1">
        <f t="shared" si="192"/>
        <v>0.96340765747480728</v>
      </c>
      <c r="S224" s="1">
        <f t="shared" si="193"/>
        <v>0.96157506280372684</v>
      </c>
      <c r="T224" s="63">
        <f t="shared" si="194"/>
        <v>0.92096067071383425</v>
      </c>
      <c r="U224" s="65">
        <f t="shared" si="195"/>
        <v>0.8784174405015921</v>
      </c>
      <c r="V224" s="62">
        <f t="shared" si="196"/>
        <v>0.8343107486664878</v>
      </c>
      <c r="W224" s="68">
        <f t="shared" si="197"/>
        <v>0.78906754717566119</v>
      </c>
      <c r="Y224" s="24"/>
      <c r="Z224" s="24"/>
      <c r="AA224" s="24"/>
      <c r="AB224" s="24"/>
      <c r="AC224" s="24">
        <f t="shared" si="177"/>
        <v>7.8365297123742336E-2</v>
      </c>
      <c r="AD224" s="24">
        <f t="shared" si="178"/>
        <v>8.233794644661864E-2</v>
      </c>
      <c r="AE224" s="24">
        <f t="shared" si="179"/>
        <v>8.6422235714957676E-2</v>
      </c>
      <c r="AF224" s="24">
        <f t="shared" si="180"/>
        <v>9.0574672851060786E-2</v>
      </c>
      <c r="AG224" s="24">
        <f t="shared" si="181"/>
        <v>9.4761340271269909E-2</v>
      </c>
      <c r="AH224" s="24">
        <f t="shared" si="182"/>
        <v>9.8955002827808933E-2</v>
      </c>
      <c r="AL224" s="23">
        <f t="shared" si="166"/>
        <v>0</v>
      </c>
      <c r="AM224" s="23">
        <f t="shared" si="167"/>
        <v>0</v>
      </c>
      <c r="AN224" s="23">
        <f t="shared" si="168"/>
        <v>0</v>
      </c>
      <c r="AO224" s="23">
        <f t="shared" si="169"/>
        <v>0</v>
      </c>
      <c r="AP224" s="23">
        <f t="shared" si="170"/>
        <v>5136.3737762003884</v>
      </c>
      <c r="AQ224" s="23">
        <f t="shared" si="171"/>
        <v>7036.6036237419466</v>
      </c>
      <c r="AR224" s="23">
        <f t="shared" si="172"/>
        <v>8620.1309553229839</v>
      </c>
      <c r="AS224" s="23">
        <f t="shared" si="173"/>
        <v>10045.715735287467</v>
      </c>
      <c r="AT224" s="23">
        <f t="shared" si="174"/>
        <v>11287.795699739694</v>
      </c>
      <c r="AU224" s="23">
        <f t="shared" si="175"/>
        <v>12330.219946411136</v>
      </c>
      <c r="AW224" s="25"/>
      <c r="AX224" s="25"/>
      <c r="AY224" s="25"/>
      <c r="AZ224" s="25"/>
      <c r="BA224" s="25">
        <f t="shared" si="184"/>
        <v>54456.839736703609</v>
      </c>
      <c r="BB224" s="25">
        <f t="shared" si="185"/>
        <v>49320.465960503221</v>
      </c>
      <c r="BC224" s="25">
        <f t="shared" si="186"/>
        <v>42283.862336761282</v>
      </c>
      <c r="BD224" s="25">
        <f t="shared" si="187"/>
        <v>33663.731381438294</v>
      </c>
      <c r="BE224" s="25">
        <f t="shared" si="188"/>
        <v>23618.01564615083</v>
      </c>
      <c r="BF224" s="25">
        <f t="shared" si="189"/>
        <v>12330.219946411136</v>
      </c>
      <c r="BG224" s="25">
        <f t="shared" si="190"/>
        <v>0</v>
      </c>
      <c r="BI224" s="25"/>
      <c r="BJ224" s="25"/>
      <c r="BK224" s="25"/>
      <c r="BL224" s="25"/>
      <c r="BM224" s="25">
        <f t="shared" si="198"/>
        <v>54456.839736703609</v>
      </c>
      <c r="BN224" s="25">
        <f t="shared" si="199"/>
        <v>49320.465960503221</v>
      </c>
      <c r="BO224" s="25">
        <f t="shared" si="200"/>
        <v>42283.862336761282</v>
      </c>
      <c r="BP224" s="25">
        <f t="shared" si="201"/>
        <v>33663.731381438294</v>
      </c>
      <c r="BQ224" s="25">
        <f t="shared" si="202"/>
        <v>23618.01564615083</v>
      </c>
      <c r="BR224" s="25">
        <f t="shared" si="203"/>
        <v>12330.219946411136</v>
      </c>
      <c r="BS224" s="25">
        <f t="shared" si="204"/>
        <v>0</v>
      </c>
    </row>
    <row r="225" spans="1:71" x14ac:dyDescent="0.2">
      <c r="A225" s="29">
        <f t="shared" si="191"/>
        <v>2.1699999999999977</v>
      </c>
      <c r="B225" s="30">
        <v>6.1211338555972279E-2</v>
      </c>
      <c r="C225" s="30">
        <v>6.4507632465281198E-2</v>
      </c>
      <c r="D225" s="30">
        <v>6.7708778829346977E-2</v>
      </c>
      <c r="E225" s="30">
        <v>7.1028934266859384E-2</v>
      </c>
      <c r="F225" s="30">
        <v>7.4580237711245903E-2</v>
      </c>
      <c r="G225" s="30">
        <v>7.8355135178360569E-2</v>
      </c>
      <c r="H225" s="30">
        <v>8.2302436970701179E-2</v>
      </c>
      <c r="I225" s="30">
        <v>8.6368887353418078E-2</v>
      </c>
      <c r="J225" s="30">
        <v>9.0510724147534152E-2</v>
      </c>
      <c r="K225" s="30">
        <v>9.4693701028406393E-2</v>
      </c>
      <c r="L225" s="30">
        <v>9.8890202837587565E-2</v>
      </c>
      <c r="N225" s="1"/>
      <c r="O225" s="1"/>
      <c r="P225" s="1"/>
      <c r="Q225" s="1"/>
      <c r="R225" s="1">
        <f t="shared" si="192"/>
        <v>0.96339659528335753</v>
      </c>
      <c r="S225" s="1">
        <f t="shared" si="193"/>
        <v>0.96157994855277329</v>
      </c>
      <c r="T225" s="63">
        <f t="shared" si="194"/>
        <v>0.92099337412522897</v>
      </c>
      <c r="U225" s="65">
        <f t="shared" si="195"/>
        <v>0.87848773651098511</v>
      </c>
      <c r="V225" s="62">
        <f t="shared" si="196"/>
        <v>0.83441746167193187</v>
      </c>
      <c r="W225" s="68">
        <f t="shared" si="197"/>
        <v>0.78920098828631069</v>
      </c>
      <c r="Y225" s="24"/>
      <c r="Z225" s="24"/>
      <c r="AA225" s="24"/>
      <c r="AB225" s="24"/>
      <c r="AC225" s="24">
        <f t="shared" si="177"/>
        <v>7.8355135178360569E-2</v>
      </c>
      <c r="AD225" s="24">
        <f t="shared" si="178"/>
        <v>8.2302436970701179E-2</v>
      </c>
      <c r="AE225" s="24">
        <f t="shared" si="179"/>
        <v>8.6368887353418078E-2</v>
      </c>
      <c r="AF225" s="24">
        <f t="shared" si="180"/>
        <v>9.0510724147534152E-2</v>
      </c>
      <c r="AG225" s="24">
        <f t="shared" si="181"/>
        <v>9.4693701028406393E-2</v>
      </c>
      <c r="AH225" s="24">
        <f t="shared" si="182"/>
        <v>9.8890202837587565E-2</v>
      </c>
      <c r="AL225" s="23">
        <f t="shared" si="166"/>
        <v>0</v>
      </c>
      <c r="AM225" s="23">
        <f t="shared" si="167"/>
        <v>0</v>
      </c>
      <c r="AN225" s="23">
        <f t="shared" si="168"/>
        <v>0</v>
      </c>
      <c r="AO225" s="23">
        <f t="shared" si="169"/>
        <v>0</v>
      </c>
      <c r="AP225" s="23">
        <f t="shared" si="170"/>
        <v>5131.4198067276675</v>
      </c>
      <c r="AQ225" s="23">
        <f t="shared" si="171"/>
        <v>7019.5667766107008</v>
      </c>
      <c r="AR225" s="23">
        <f t="shared" si="172"/>
        <v>8595.8703133410672</v>
      </c>
      <c r="AS225" s="23">
        <f t="shared" si="173"/>
        <v>10018.430575258226</v>
      </c>
      <c r="AT225" s="23">
        <f t="shared" si="174"/>
        <v>11261.019789196633</v>
      </c>
      <c r="AU225" s="23">
        <f t="shared" si="175"/>
        <v>12306.735031399243</v>
      </c>
      <c r="AW225" s="25"/>
      <c r="AX225" s="25"/>
      <c r="AY225" s="25"/>
      <c r="AZ225" s="25"/>
      <c r="BA225" s="25">
        <f t="shared" si="184"/>
        <v>54333.042292533537</v>
      </c>
      <c r="BB225" s="25">
        <f t="shared" si="185"/>
        <v>49201.62248580587</v>
      </c>
      <c r="BC225" s="25">
        <f t="shared" si="186"/>
        <v>42182.05570919517</v>
      </c>
      <c r="BD225" s="25">
        <f t="shared" si="187"/>
        <v>33586.185395854103</v>
      </c>
      <c r="BE225" s="25">
        <f t="shared" si="188"/>
        <v>23567.754820595874</v>
      </c>
      <c r="BF225" s="25">
        <f t="shared" si="189"/>
        <v>12306.735031399243</v>
      </c>
      <c r="BG225" s="25">
        <f t="shared" si="190"/>
        <v>0</v>
      </c>
      <c r="BI225" s="25"/>
      <c r="BJ225" s="25"/>
      <c r="BK225" s="25"/>
      <c r="BL225" s="25"/>
      <c r="BM225" s="25">
        <f t="shared" si="198"/>
        <v>54333.042292533537</v>
      </c>
      <c r="BN225" s="25">
        <f t="shared" si="199"/>
        <v>49201.62248580587</v>
      </c>
      <c r="BO225" s="25">
        <f t="shared" si="200"/>
        <v>42182.05570919517</v>
      </c>
      <c r="BP225" s="25">
        <f t="shared" si="201"/>
        <v>33586.185395854103</v>
      </c>
      <c r="BQ225" s="25">
        <f t="shared" si="202"/>
        <v>23567.754820595874</v>
      </c>
      <c r="BR225" s="25">
        <f t="shared" si="203"/>
        <v>12306.735031399243</v>
      </c>
      <c r="BS225" s="25">
        <f t="shared" si="204"/>
        <v>0</v>
      </c>
    </row>
    <row r="226" spans="1:71" x14ac:dyDescent="0.2">
      <c r="A226" s="29">
        <f t="shared" si="191"/>
        <v>2.1799999999999975</v>
      </c>
      <c r="B226" s="30">
        <v>6.1032157065247276E-2</v>
      </c>
      <c r="C226" s="30">
        <v>6.4245030092718175E-2</v>
      </c>
      <c r="D226" s="30">
        <v>6.7378865286659012E-2</v>
      </c>
      <c r="E226" s="30">
        <v>7.0645271108471352E-2</v>
      </c>
      <c r="F226" s="30">
        <v>7.4153482001585627E-2</v>
      </c>
      <c r="G226" s="30">
        <v>7.7894558309754156E-2</v>
      </c>
      <c r="H226" s="30">
        <v>8.1816754182358259E-2</v>
      </c>
      <c r="I226" s="30">
        <v>8.5866487452430668E-2</v>
      </c>
      <c r="J226" s="30">
        <v>8.9999668841899555E-2</v>
      </c>
      <c r="K226" s="30">
        <v>9.4181666434721104E-2</v>
      </c>
      <c r="L226" s="30">
        <v>9.8384428608808208E-2</v>
      </c>
      <c r="N226" s="1"/>
      <c r="O226" s="1"/>
      <c r="P226" s="1"/>
      <c r="Q226" s="1"/>
      <c r="R226" s="1">
        <f t="shared" si="192"/>
        <v>0.96360218471554571</v>
      </c>
      <c r="S226" s="1">
        <f t="shared" si="193"/>
        <v>0.96180141479316106</v>
      </c>
      <c r="T226" s="63">
        <f t="shared" si="194"/>
        <v>0.92144079339834439</v>
      </c>
      <c r="U226" s="65">
        <f t="shared" si="195"/>
        <v>0.87915001425360906</v>
      </c>
      <c r="V226" s="62">
        <f t="shared" si="196"/>
        <v>0.83527076462444838</v>
      </c>
      <c r="W226" s="68">
        <f t="shared" si="197"/>
        <v>0.79021188068155068</v>
      </c>
      <c r="Y226" s="24"/>
      <c r="Z226" s="24"/>
      <c r="AA226" s="24"/>
      <c r="AB226" s="24"/>
      <c r="AC226" s="24">
        <f t="shared" si="177"/>
        <v>7.7894558309754156E-2</v>
      </c>
      <c r="AD226" s="24">
        <f t="shared" si="178"/>
        <v>8.1816754182358259E-2</v>
      </c>
      <c r="AE226" s="24">
        <f t="shared" si="179"/>
        <v>8.5866487452430668E-2</v>
      </c>
      <c r="AF226" s="24">
        <f t="shared" si="180"/>
        <v>8.9999668841899555E-2</v>
      </c>
      <c r="AG226" s="24">
        <f t="shared" si="181"/>
        <v>9.4181666434721104E-2</v>
      </c>
      <c r="AH226" s="24">
        <f t="shared" si="182"/>
        <v>9.8384428608808208E-2</v>
      </c>
      <c r="AL226" s="23">
        <f t="shared" si="166"/>
        <v>0</v>
      </c>
      <c r="AM226" s="23">
        <f t="shared" si="167"/>
        <v>0</v>
      </c>
      <c r="AN226" s="23">
        <f t="shared" si="168"/>
        <v>0</v>
      </c>
      <c r="AO226" s="23">
        <f t="shared" si="169"/>
        <v>0</v>
      </c>
      <c r="AP226" s="23">
        <f t="shared" si="170"/>
        <v>4910.6084164943277</v>
      </c>
      <c r="AQ226" s="23">
        <f t="shared" si="171"/>
        <v>6787.6182913165194</v>
      </c>
      <c r="AR226" s="23">
        <f t="shared" si="172"/>
        <v>8368.5803119130378</v>
      </c>
      <c r="AS226" s="23">
        <f t="shared" si="173"/>
        <v>9801.336168947204</v>
      </c>
      <c r="AT226" s="23">
        <f t="shared" si="174"/>
        <v>11058.691917981223</v>
      </c>
      <c r="AU226" s="23">
        <f t="shared" si="175"/>
        <v>12122.664401659234</v>
      </c>
      <c r="AW226" s="25"/>
      <c r="AX226" s="25"/>
      <c r="AY226" s="25"/>
      <c r="AZ226" s="25"/>
      <c r="BA226" s="25">
        <f t="shared" si="184"/>
        <v>53049.499508311543</v>
      </c>
      <c r="BB226" s="25">
        <f t="shared" si="185"/>
        <v>48138.891091817219</v>
      </c>
      <c r="BC226" s="25">
        <f t="shared" si="186"/>
        <v>41351.272800500701</v>
      </c>
      <c r="BD226" s="25">
        <f t="shared" si="187"/>
        <v>32982.692488587658</v>
      </c>
      <c r="BE226" s="25">
        <f t="shared" si="188"/>
        <v>23181.356319640458</v>
      </c>
      <c r="BF226" s="25">
        <f t="shared" si="189"/>
        <v>12122.664401659234</v>
      </c>
      <c r="BG226" s="25">
        <f t="shared" si="190"/>
        <v>0</v>
      </c>
      <c r="BI226" s="25"/>
      <c r="BJ226" s="25"/>
      <c r="BK226" s="25"/>
      <c r="BL226" s="25"/>
      <c r="BM226" s="25">
        <f t="shared" si="198"/>
        <v>53049.499508311543</v>
      </c>
      <c r="BN226" s="25">
        <f t="shared" si="199"/>
        <v>48138.891091817219</v>
      </c>
      <c r="BO226" s="25">
        <f t="shared" si="200"/>
        <v>41351.272800500701</v>
      </c>
      <c r="BP226" s="25">
        <f t="shared" si="201"/>
        <v>32982.692488587658</v>
      </c>
      <c r="BQ226" s="25">
        <f t="shared" si="202"/>
        <v>23181.356319640458</v>
      </c>
      <c r="BR226" s="25">
        <f t="shared" si="203"/>
        <v>12122.664401659234</v>
      </c>
      <c r="BS226" s="25">
        <f t="shared" si="204"/>
        <v>0</v>
      </c>
    </row>
    <row r="227" spans="1:71" x14ac:dyDescent="0.2">
      <c r="A227" s="29">
        <f t="shared" si="191"/>
        <v>2.1899999999999973</v>
      </c>
      <c r="B227" s="30">
        <v>6.1087839818810524E-2</v>
      </c>
      <c r="C227" s="30">
        <v>6.4232422704291872E-2</v>
      </c>
      <c r="D227" s="30">
        <v>6.7312177192116032E-2</v>
      </c>
      <c r="E227" s="30">
        <v>7.0536233659564324E-2</v>
      </c>
      <c r="F227" s="30">
        <v>7.4011029636250239E-2</v>
      </c>
      <c r="G227" s="30">
        <v>7.772633358402628E-2</v>
      </c>
      <c r="H227" s="30">
        <v>8.162992529339945E-2</v>
      </c>
      <c r="I227" s="30">
        <v>8.5667973351767526E-2</v>
      </c>
      <c r="J227" s="30">
        <v>8.9796137411940022E-2</v>
      </c>
      <c r="K227" s="30">
        <v>9.3979476148849717E-2</v>
      </c>
      <c r="L227" s="30">
        <v>9.8189578054754367E-2</v>
      </c>
      <c r="N227" s="1"/>
      <c r="O227" s="1"/>
      <c r="P227" s="1"/>
      <c r="Q227" s="1"/>
      <c r="R227" s="1">
        <f t="shared" si="192"/>
        <v>0.96367082086508971</v>
      </c>
      <c r="S227" s="1">
        <f t="shared" si="193"/>
        <v>0.96188231758517995</v>
      </c>
      <c r="T227" s="63">
        <f t="shared" si="194"/>
        <v>0.92161296124047887</v>
      </c>
      <c r="U227" s="65">
        <f t="shared" si="195"/>
        <v>0.8794118387452059</v>
      </c>
      <c r="V227" s="62">
        <f t="shared" si="196"/>
        <v>0.83561084154234866</v>
      </c>
      <c r="W227" s="68">
        <f t="shared" si="197"/>
        <v>0.79061141456551642</v>
      </c>
      <c r="Y227" s="24"/>
      <c r="Z227" s="24"/>
      <c r="AA227" s="24"/>
      <c r="AB227" s="24"/>
      <c r="AC227" s="24">
        <f t="shared" si="177"/>
        <v>7.772633358402628E-2</v>
      </c>
      <c r="AD227" s="24">
        <f t="shared" si="178"/>
        <v>8.162992529339945E-2</v>
      </c>
      <c r="AE227" s="24">
        <f t="shared" si="179"/>
        <v>8.5667973351767526E-2</v>
      </c>
      <c r="AF227" s="24">
        <f t="shared" si="180"/>
        <v>8.9796137411940022E-2</v>
      </c>
      <c r="AG227" s="24">
        <f t="shared" si="181"/>
        <v>9.3979476148849717E-2</v>
      </c>
      <c r="AH227" s="24">
        <f t="shared" si="182"/>
        <v>9.8189578054754367E-2</v>
      </c>
      <c r="AL227" s="23">
        <f t="shared" si="166"/>
        <v>0</v>
      </c>
      <c r="AM227" s="23">
        <f t="shared" si="167"/>
        <v>0</v>
      </c>
      <c r="AN227" s="23">
        <f t="shared" si="168"/>
        <v>0</v>
      </c>
      <c r="AO227" s="23">
        <f t="shared" si="169"/>
        <v>0</v>
      </c>
      <c r="AP227" s="23">
        <f t="shared" si="170"/>
        <v>4829.9015630768863</v>
      </c>
      <c r="AQ227" s="23">
        <f t="shared" si="171"/>
        <v>6698.3355355889371</v>
      </c>
      <c r="AR227" s="23">
        <f t="shared" si="172"/>
        <v>8278.6673664566861</v>
      </c>
      <c r="AS227" s="23">
        <f t="shared" si="173"/>
        <v>9714.7611841418366</v>
      </c>
      <c r="AT227" s="23">
        <f t="shared" si="174"/>
        <v>10978.718219613887</v>
      </c>
      <c r="AU227" s="23">
        <f t="shared" si="175"/>
        <v>12051.768126992672</v>
      </c>
      <c r="AW227" s="25"/>
      <c r="AX227" s="25"/>
      <c r="AY227" s="25"/>
      <c r="AZ227" s="25"/>
      <c r="BA227" s="25">
        <f t="shared" si="184"/>
        <v>52552.15199587091</v>
      </c>
      <c r="BB227" s="25">
        <f t="shared" si="185"/>
        <v>47722.250432794026</v>
      </c>
      <c r="BC227" s="25">
        <f t="shared" si="186"/>
        <v>41023.91489720509</v>
      </c>
      <c r="BD227" s="25">
        <f t="shared" si="187"/>
        <v>32745.247530748395</v>
      </c>
      <c r="BE227" s="25">
        <f t="shared" si="188"/>
        <v>23030.486346606558</v>
      </c>
      <c r="BF227" s="25">
        <f t="shared" si="189"/>
        <v>12051.768126992672</v>
      </c>
      <c r="BG227" s="25">
        <f t="shared" si="190"/>
        <v>0</v>
      </c>
      <c r="BI227" s="25"/>
      <c r="BJ227" s="25"/>
      <c r="BK227" s="25"/>
      <c r="BL227" s="25"/>
      <c r="BM227" s="25">
        <f t="shared" si="198"/>
        <v>52552.15199587091</v>
      </c>
      <c r="BN227" s="25">
        <f t="shared" si="199"/>
        <v>47722.250432794026</v>
      </c>
      <c r="BO227" s="25">
        <f t="shared" si="200"/>
        <v>41023.91489720509</v>
      </c>
      <c r="BP227" s="25">
        <f t="shared" si="201"/>
        <v>32745.247530748395</v>
      </c>
      <c r="BQ227" s="25">
        <f t="shared" si="202"/>
        <v>23030.486346606558</v>
      </c>
      <c r="BR227" s="25">
        <f t="shared" si="203"/>
        <v>12051.768126992672</v>
      </c>
      <c r="BS227" s="25">
        <f t="shared" si="204"/>
        <v>0</v>
      </c>
    </row>
    <row r="228" spans="1:71" x14ac:dyDescent="0.2">
      <c r="A228" s="29">
        <f t="shared" si="191"/>
        <v>2.1999999999999971</v>
      </c>
      <c r="B228" s="30">
        <v>6.1417225839103064E-2</v>
      </c>
      <c r="C228" s="30">
        <v>6.4503055025506545E-2</v>
      </c>
      <c r="D228" s="30">
        <v>6.753377209181613E-2</v>
      </c>
      <c r="E228" s="30">
        <v>7.0716254137057191E-2</v>
      </c>
      <c r="F228" s="30">
        <v>7.4154403060122873E-2</v>
      </c>
      <c r="G228" s="30">
        <v>7.7836942973884576E-2</v>
      </c>
      <c r="H228" s="30">
        <v>8.1711414994698015E-2</v>
      </c>
      <c r="I228" s="30">
        <v>8.5723969610314546E-2</v>
      </c>
      <c r="J228" s="30">
        <v>8.9830245420085206E-2</v>
      </c>
      <c r="K228" s="30">
        <v>9.3995221862844924E-2</v>
      </c>
      <c r="L228" s="30">
        <v>9.8190358111884257E-2</v>
      </c>
      <c r="N228" s="1"/>
      <c r="O228" s="1"/>
      <c r="P228" s="1"/>
      <c r="Q228" s="1"/>
      <c r="R228" s="1">
        <f t="shared" si="192"/>
        <v>0.96360174094863849</v>
      </c>
      <c r="S228" s="1">
        <f t="shared" si="193"/>
        <v>0.96182912244803209</v>
      </c>
      <c r="T228" s="63">
        <f t="shared" si="194"/>
        <v>0.92153786233548973</v>
      </c>
      <c r="U228" s="65">
        <f t="shared" si="195"/>
        <v>0.87933797618823184</v>
      </c>
      <c r="V228" s="62">
        <f t="shared" si="196"/>
        <v>0.83555384144375155</v>
      </c>
      <c r="W228" s="68">
        <f t="shared" si="197"/>
        <v>0.79058029332501534</v>
      </c>
      <c r="Y228" s="24"/>
      <c r="Z228" s="24"/>
      <c r="AA228" s="24"/>
      <c r="AB228" s="24"/>
      <c r="AC228" s="24">
        <f t="shared" si="177"/>
        <v>7.7836942973884576E-2</v>
      </c>
      <c r="AD228" s="24">
        <f t="shared" si="178"/>
        <v>8.1711414994698015E-2</v>
      </c>
      <c r="AE228" s="24">
        <f t="shared" si="179"/>
        <v>8.5723969610314546E-2</v>
      </c>
      <c r="AF228" s="24">
        <f t="shared" si="180"/>
        <v>8.9830245420085206E-2</v>
      </c>
      <c r="AG228" s="24">
        <f t="shared" si="181"/>
        <v>9.3995221862844924E-2</v>
      </c>
      <c r="AH228" s="24">
        <f t="shared" si="182"/>
        <v>9.8190358111884257E-2</v>
      </c>
      <c r="AL228" s="23">
        <f t="shared" si="166"/>
        <v>0</v>
      </c>
      <c r="AM228" s="23">
        <f t="shared" si="167"/>
        <v>0</v>
      </c>
      <c r="AN228" s="23">
        <f t="shared" si="168"/>
        <v>0</v>
      </c>
      <c r="AO228" s="23">
        <f t="shared" si="169"/>
        <v>0</v>
      </c>
      <c r="AP228" s="23">
        <f t="shared" si="170"/>
        <v>4882.8470360413121</v>
      </c>
      <c r="AQ228" s="23">
        <f t="shared" si="171"/>
        <v>6737.1546803734891</v>
      </c>
      <c r="AR228" s="23">
        <f t="shared" si="172"/>
        <v>8303.7941040127407</v>
      </c>
      <c r="AS228" s="23">
        <f t="shared" si="173"/>
        <v>9728.9414664185897</v>
      </c>
      <c r="AT228" s="23">
        <f t="shared" si="174"/>
        <v>10984.547516644197</v>
      </c>
      <c r="AU228" s="23">
        <f t="shared" si="175"/>
        <v>12051.602075992058</v>
      </c>
      <c r="AW228" s="25"/>
      <c r="AX228" s="25"/>
      <c r="AY228" s="25"/>
      <c r="AZ228" s="25"/>
      <c r="BA228" s="25">
        <f t="shared" si="184"/>
        <v>52688.886879482387</v>
      </c>
      <c r="BB228" s="25">
        <f t="shared" si="185"/>
        <v>47806.039843441074</v>
      </c>
      <c r="BC228" s="25">
        <f t="shared" si="186"/>
        <v>41068.885163067585</v>
      </c>
      <c r="BD228" s="25">
        <f t="shared" si="187"/>
        <v>32765.091059054845</v>
      </c>
      <c r="BE228" s="25">
        <f t="shared" si="188"/>
        <v>23036.149592636255</v>
      </c>
      <c r="BF228" s="25">
        <f t="shared" si="189"/>
        <v>12051.602075992058</v>
      </c>
      <c r="BG228" s="25">
        <f t="shared" si="190"/>
        <v>0</v>
      </c>
      <c r="BI228" s="25"/>
      <c r="BJ228" s="25"/>
      <c r="BK228" s="25"/>
      <c r="BL228" s="25"/>
      <c r="BM228" s="25">
        <f t="shared" si="198"/>
        <v>52688.886879482387</v>
      </c>
      <c r="BN228" s="25">
        <f t="shared" si="199"/>
        <v>47806.039843441074</v>
      </c>
      <c r="BO228" s="25">
        <f t="shared" si="200"/>
        <v>41068.885163067585</v>
      </c>
      <c r="BP228" s="25">
        <f t="shared" si="201"/>
        <v>32765.091059054845</v>
      </c>
      <c r="BQ228" s="25">
        <f t="shared" si="202"/>
        <v>23036.149592636255</v>
      </c>
      <c r="BR228" s="25">
        <f t="shared" si="203"/>
        <v>12051.602075992058</v>
      </c>
      <c r="BS228" s="25">
        <f t="shared" si="204"/>
        <v>0</v>
      </c>
    </row>
    <row r="229" spans="1:71" x14ac:dyDescent="0.2">
      <c r="A229" s="29">
        <f t="shared" si="191"/>
        <v>2.2099999999999969</v>
      </c>
      <c r="B229" s="30">
        <v>6.1621565624065511E-2</v>
      </c>
      <c r="C229" s="30">
        <v>6.476053091712422E-2</v>
      </c>
      <c r="D229" s="30">
        <v>6.7841580550659808E-2</v>
      </c>
      <c r="E229" s="30">
        <v>7.106983298053636E-2</v>
      </c>
      <c r="F229" s="30">
        <v>7.4547184582705206E-2</v>
      </c>
      <c r="G229" s="30">
        <v>7.8261831516697161E-2</v>
      </c>
      <c r="H229" s="30">
        <v>8.216158091835056E-2</v>
      </c>
      <c r="I229" s="30">
        <v>8.619306539883799E-2</v>
      </c>
      <c r="J229" s="30">
        <v>9.0312401622543018E-2</v>
      </c>
      <c r="K229" s="30">
        <v>9.4484989072689249E-2</v>
      </c>
      <c r="L229" s="30">
        <v>9.8682657275998745E-2</v>
      </c>
      <c r="N229" s="1"/>
      <c r="O229" s="1"/>
      <c r="P229" s="1"/>
      <c r="Q229" s="1"/>
      <c r="R229" s="1">
        <f t="shared" si="192"/>
        <v>0.96341251705067299</v>
      </c>
      <c r="S229" s="1">
        <f t="shared" si="193"/>
        <v>0.96162480906426873</v>
      </c>
      <c r="T229" s="63">
        <f t="shared" si="194"/>
        <v>0.92112311075302944</v>
      </c>
      <c r="U229" s="65">
        <f t="shared" si="195"/>
        <v>0.87871945321166645</v>
      </c>
      <c r="V229" s="62">
        <f t="shared" si="196"/>
        <v>0.83474849487472336</v>
      </c>
      <c r="W229" s="68">
        <f t="shared" si="197"/>
        <v>0.78961288494095894</v>
      </c>
      <c r="Y229" s="24"/>
      <c r="Z229" s="24"/>
      <c r="AA229" s="24"/>
      <c r="AB229" s="24"/>
      <c r="AC229" s="24">
        <f t="shared" si="177"/>
        <v>7.8261831516697161E-2</v>
      </c>
      <c r="AD229" s="24">
        <f t="shared" si="178"/>
        <v>8.216158091835056E-2</v>
      </c>
      <c r="AE229" s="24">
        <f t="shared" si="179"/>
        <v>8.619306539883799E-2</v>
      </c>
      <c r="AF229" s="24">
        <f t="shared" si="180"/>
        <v>9.0312401622543018E-2</v>
      </c>
      <c r="AG229" s="24">
        <f t="shared" si="181"/>
        <v>9.4484989072689249E-2</v>
      </c>
      <c r="AH229" s="24">
        <f t="shared" si="182"/>
        <v>9.8682657275998745E-2</v>
      </c>
      <c r="AL229" s="23">
        <f t="shared" si="166"/>
        <v>0</v>
      </c>
      <c r="AM229" s="23">
        <f t="shared" si="167"/>
        <v>0</v>
      </c>
      <c r="AN229" s="23">
        <f t="shared" si="168"/>
        <v>0</v>
      </c>
      <c r="AO229" s="23">
        <f t="shared" si="169"/>
        <v>0</v>
      </c>
      <c r="AP229" s="23">
        <f t="shared" si="170"/>
        <v>5086.5596544010768</v>
      </c>
      <c r="AQ229" s="23">
        <f t="shared" si="171"/>
        <v>6952.1689226676581</v>
      </c>
      <c r="AR229" s="23">
        <f t="shared" si="172"/>
        <v>8516.1043461060544</v>
      </c>
      <c r="AS229" s="23">
        <f t="shared" si="173"/>
        <v>9933.9381834135911</v>
      </c>
      <c r="AT229" s="23">
        <f t="shared" si="174"/>
        <v>11178.376307455175</v>
      </c>
      <c r="AU229" s="23">
        <f t="shared" si="175"/>
        <v>12231.217788991953</v>
      </c>
      <c r="AW229" s="25"/>
      <c r="AX229" s="25"/>
      <c r="AY229" s="25"/>
      <c r="AZ229" s="25"/>
      <c r="BA229" s="25">
        <f t="shared" si="184"/>
        <v>53898.365203035508</v>
      </c>
      <c r="BB229" s="25">
        <f t="shared" si="185"/>
        <v>48811.805548634431</v>
      </c>
      <c r="BC229" s="25">
        <f t="shared" si="186"/>
        <v>41859.636625966778</v>
      </c>
      <c r="BD229" s="25">
        <f t="shared" si="187"/>
        <v>33343.532279860723</v>
      </c>
      <c r="BE229" s="25">
        <f t="shared" si="188"/>
        <v>23409.59409644713</v>
      </c>
      <c r="BF229" s="25">
        <f t="shared" si="189"/>
        <v>12231.217788991953</v>
      </c>
      <c r="BG229" s="25">
        <f t="shared" si="190"/>
        <v>0</v>
      </c>
      <c r="BI229" s="25"/>
      <c r="BJ229" s="25"/>
      <c r="BK229" s="25"/>
      <c r="BL229" s="25"/>
      <c r="BM229" s="25">
        <f t="shared" si="198"/>
        <v>53898.365203035508</v>
      </c>
      <c r="BN229" s="25">
        <f t="shared" si="199"/>
        <v>48811.805548634431</v>
      </c>
      <c r="BO229" s="25">
        <f t="shared" si="200"/>
        <v>41859.636625966778</v>
      </c>
      <c r="BP229" s="25">
        <f t="shared" si="201"/>
        <v>33343.532279860723</v>
      </c>
      <c r="BQ229" s="25">
        <f t="shared" si="202"/>
        <v>23409.59409644713</v>
      </c>
      <c r="BR229" s="25">
        <f t="shared" si="203"/>
        <v>12231.217788991953</v>
      </c>
      <c r="BS229" s="25">
        <f t="shared" si="204"/>
        <v>0</v>
      </c>
    </row>
    <row r="230" spans="1:71" x14ac:dyDescent="0.2">
      <c r="A230" s="29">
        <f t="shared" si="191"/>
        <v>2.2199999999999966</v>
      </c>
      <c r="B230" s="30">
        <v>6.1313616440979428E-2</v>
      </c>
      <c r="C230" s="30">
        <v>6.4350604783276769E-2</v>
      </c>
      <c r="D230" s="30">
        <v>6.7344980228626741E-2</v>
      </c>
      <c r="E230" s="30">
        <v>7.0499357315175315E-2</v>
      </c>
      <c r="F230" s="30">
        <v>7.3912916110362964E-2</v>
      </c>
      <c r="G230" s="30">
        <v>7.7572600362875166E-2</v>
      </c>
      <c r="H230" s="30">
        <v>8.1425747213150546E-2</v>
      </c>
      <c r="I230" s="30">
        <v>8.5418730977654012E-2</v>
      </c>
      <c r="J230" s="30">
        <v>8.9507404888427622E-2</v>
      </c>
      <c r="K230" s="30">
        <v>9.3656847142303365E-2</v>
      </c>
      <c r="L230" s="30">
        <v>9.7838516678712045E-2</v>
      </c>
      <c r="N230" s="1"/>
      <c r="O230" s="1"/>
      <c r="P230" s="1"/>
      <c r="Q230" s="1"/>
      <c r="R230" s="1">
        <f t="shared" si="192"/>
        <v>0.9637180965956923</v>
      </c>
      <c r="S230" s="1">
        <f t="shared" si="193"/>
        <v>0.96195625706040733</v>
      </c>
      <c r="T230" s="63">
        <f t="shared" si="194"/>
        <v>0.92180115361736281</v>
      </c>
      <c r="U230" s="65">
        <f t="shared" si="195"/>
        <v>0.87974068025407293</v>
      </c>
      <c r="V230" s="62">
        <f t="shared" si="196"/>
        <v>0.83609351694692902</v>
      </c>
      <c r="W230" s="68">
        <f t="shared" si="197"/>
        <v>0.79124935724256029</v>
      </c>
      <c r="Y230" s="24"/>
      <c r="Z230" s="24"/>
      <c r="AA230" s="24"/>
      <c r="AB230" s="24"/>
      <c r="AC230" s="24">
        <f t="shared" si="177"/>
        <v>7.7572600362875166E-2</v>
      </c>
      <c r="AD230" s="24">
        <f t="shared" si="178"/>
        <v>8.1425747213150546E-2</v>
      </c>
      <c r="AE230" s="24">
        <f t="shared" si="179"/>
        <v>8.5418730977654025E-2</v>
      </c>
      <c r="AF230" s="24">
        <f t="shared" si="180"/>
        <v>8.9507404888427622E-2</v>
      </c>
      <c r="AG230" s="24">
        <f t="shared" si="181"/>
        <v>9.3656847142303365E-2</v>
      </c>
      <c r="AH230" s="24">
        <f t="shared" si="182"/>
        <v>9.7838516678712045E-2</v>
      </c>
      <c r="AL230" s="23">
        <f t="shared" si="166"/>
        <v>0</v>
      </c>
      <c r="AM230" s="23">
        <f t="shared" si="167"/>
        <v>0</v>
      </c>
      <c r="AN230" s="23">
        <f t="shared" si="168"/>
        <v>0</v>
      </c>
      <c r="AO230" s="23">
        <f t="shared" si="169"/>
        <v>0</v>
      </c>
      <c r="AP230" s="23">
        <f t="shared" si="170"/>
        <v>4756.0607645891023</v>
      </c>
      <c r="AQ230" s="23">
        <f t="shared" si="171"/>
        <v>6600.6452428020311</v>
      </c>
      <c r="AR230" s="23">
        <f t="shared" si="172"/>
        <v>8165.4819074476491</v>
      </c>
      <c r="AS230" s="23">
        <f t="shared" si="173"/>
        <v>9591.3889850508713</v>
      </c>
      <c r="AT230" s="23">
        <f t="shared" si="174"/>
        <v>10850.185866137006</v>
      </c>
      <c r="AU230" s="23">
        <f t="shared" si="175"/>
        <v>11922.604129113077</v>
      </c>
      <c r="AW230" s="25"/>
      <c r="AX230" s="25"/>
      <c r="AY230" s="25"/>
      <c r="AZ230" s="25"/>
      <c r="BA230" s="25">
        <f t="shared" si="184"/>
        <v>51886.366895139734</v>
      </c>
      <c r="BB230" s="25">
        <f t="shared" si="185"/>
        <v>47130.306130550634</v>
      </c>
      <c r="BC230" s="25">
        <f t="shared" si="186"/>
        <v>40529.6608877486</v>
      </c>
      <c r="BD230" s="25">
        <f t="shared" si="187"/>
        <v>32364.178980300952</v>
      </c>
      <c r="BE230" s="25">
        <f t="shared" si="188"/>
        <v>22772.789995250081</v>
      </c>
      <c r="BF230" s="25">
        <f t="shared" si="189"/>
        <v>11922.604129113077</v>
      </c>
      <c r="BG230" s="25">
        <f t="shared" si="190"/>
        <v>0</v>
      </c>
      <c r="BI230" s="25"/>
      <c r="BJ230" s="25"/>
      <c r="BK230" s="25"/>
      <c r="BL230" s="25"/>
      <c r="BM230" s="25">
        <f t="shared" si="198"/>
        <v>51886.366895139734</v>
      </c>
      <c r="BN230" s="25">
        <f t="shared" si="199"/>
        <v>47130.306130550634</v>
      </c>
      <c r="BO230" s="25">
        <f t="shared" si="200"/>
        <v>40529.6608877486</v>
      </c>
      <c r="BP230" s="25">
        <f t="shared" si="201"/>
        <v>32364.178980300952</v>
      </c>
      <c r="BQ230" s="25">
        <f t="shared" si="202"/>
        <v>22772.789995250081</v>
      </c>
      <c r="BR230" s="25">
        <f t="shared" si="203"/>
        <v>11922.604129113077</v>
      </c>
      <c r="BS230" s="25">
        <f t="shared" si="204"/>
        <v>0</v>
      </c>
    </row>
    <row r="231" spans="1:71" x14ac:dyDescent="0.2">
      <c r="A231" s="29">
        <f t="shared" si="191"/>
        <v>2.2299999999999964</v>
      </c>
      <c r="B231" s="30">
        <v>6.1297282873212559E-2</v>
      </c>
      <c r="C231" s="30">
        <v>6.4307906769741588E-2</v>
      </c>
      <c r="D231" s="30">
        <v>6.7280892133453285E-2</v>
      </c>
      <c r="E231" s="30">
        <v>7.0416786548949437E-2</v>
      </c>
      <c r="F231" s="30">
        <v>7.3812524265102611E-2</v>
      </c>
      <c r="G231" s="30">
        <v>7.7454253480051666E-2</v>
      </c>
      <c r="H231" s="30">
        <v>8.1289286784839071E-2</v>
      </c>
      <c r="I231" s="30">
        <v>8.5264181310459056E-2</v>
      </c>
      <c r="J231" s="30">
        <v>8.9334966911520902E-2</v>
      </c>
      <c r="K231" s="30">
        <v>9.3466840724436742E-2</v>
      </c>
      <c r="L231" s="30">
        <v>9.7631331715516106E-2</v>
      </c>
      <c r="N231" s="1"/>
      <c r="O231" s="1"/>
      <c r="P231" s="1"/>
      <c r="Q231" s="1"/>
      <c r="R231" s="1">
        <f t="shared" si="192"/>
        <v>0.96376647252883341</v>
      </c>
      <c r="S231" s="1">
        <f t="shared" si="193"/>
        <v>0.96201318100680144</v>
      </c>
      <c r="T231" s="63">
        <f t="shared" si="194"/>
        <v>0.92192695158063021</v>
      </c>
      <c r="U231" s="65">
        <f t="shared" si="195"/>
        <v>0.87994464933970185</v>
      </c>
      <c r="V231" s="62">
        <f t="shared" si="196"/>
        <v>0.83638191522402028</v>
      </c>
      <c r="W231" s="68">
        <f t="shared" si="197"/>
        <v>0.79162530266556752</v>
      </c>
      <c r="Y231" s="24"/>
      <c r="Z231" s="24"/>
      <c r="AA231" s="24"/>
      <c r="AB231" s="24"/>
      <c r="AC231" s="24">
        <f t="shared" si="177"/>
        <v>7.7454253480051666E-2</v>
      </c>
      <c r="AD231" s="24">
        <f t="shared" si="178"/>
        <v>8.1289286784839071E-2</v>
      </c>
      <c r="AE231" s="24">
        <f t="shared" si="179"/>
        <v>8.5264181310459056E-2</v>
      </c>
      <c r="AF231" s="24">
        <f t="shared" si="180"/>
        <v>8.9334966911520902E-2</v>
      </c>
      <c r="AG231" s="24">
        <f t="shared" si="181"/>
        <v>9.3466840724436742E-2</v>
      </c>
      <c r="AH231" s="24">
        <f t="shared" si="182"/>
        <v>9.7631331715516106E-2</v>
      </c>
      <c r="AL231" s="23">
        <f t="shared" si="166"/>
        <v>0</v>
      </c>
      <c r="AM231" s="23">
        <f t="shared" si="167"/>
        <v>0</v>
      </c>
      <c r="AN231" s="23">
        <f t="shared" si="168"/>
        <v>0</v>
      </c>
      <c r="AO231" s="23">
        <f t="shared" si="169"/>
        <v>0</v>
      </c>
      <c r="AP231" s="23">
        <f t="shared" si="170"/>
        <v>4699.2701265423311</v>
      </c>
      <c r="AQ231" s="23">
        <f t="shared" si="171"/>
        <v>6535.3974718921445</v>
      </c>
      <c r="AR231" s="23">
        <f t="shared" si="172"/>
        <v>8095.3544968636879</v>
      </c>
      <c r="AS231" s="23">
        <f t="shared" si="173"/>
        <v>9517.7448242062255</v>
      </c>
      <c r="AT231" s="23">
        <f t="shared" si="174"/>
        <v>10774.469513828184</v>
      </c>
      <c r="AU231" s="23">
        <f t="shared" si="175"/>
        <v>11846.262473092398</v>
      </c>
      <c r="AW231" s="25"/>
      <c r="AX231" s="25"/>
      <c r="AY231" s="25"/>
      <c r="AZ231" s="25"/>
      <c r="BA231" s="25">
        <f t="shared" si="184"/>
        <v>51468.498906424975</v>
      </c>
      <c r="BB231" s="25">
        <f t="shared" si="185"/>
        <v>46769.228779882644</v>
      </c>
      <c r="BC231" s="25">
        <f t="shared" si="186"/>
        <v>40233.831307990498</v>
      </c>
      <c r="BD231" s="25">
        <f t="shared" si="187"/>
        <v>32138.476811126806</v>
      </c>
      <c r="BE231" s="25">
        <f t="shared" si="188"/>
        <v>22620.731986920582</v>
      </c>
      <c r="BF231" s="25">
        <f t="shared" si="189"/>
        <v>11846.262473092398</v>
      </c>
      <c r="BG231" s="25">
        <f t="shared" si="190"/>
        <v>0</v>
      </c>
      <c r="BI231" s="25"/>
      <c r="BJ231" s="25"/>
      <c r="BK231" s="25"/>
      <c r="BL231" s="25"/>
      <c r="BM231" s="25">
        <f t="shared" si="198"/>
        <v>51468.498906424975</v>
      </c>
      <c r="BN231" s="25">
        <f t="shared" si="199"/>
        <v>46769.228779882644</v>
      </c>
      <c r="BO231" s="25">
        <f t="shared" si="200"/>
        <v>40233.831307990498</v>
      </c>
      <c r="BP231" s="25">
        <f t="shared" si="201"/>
        <v>32138.476811126806</v>
      </c>
      <c r="BQ231" s="25">
        <f t="shared" si="202"/>
        <v>22620.731986920582</v>
      </c>
      <c r="BR231" s="25">
        <f t="shared" si="203"/>
        <v>11846.262473092398</v>
      </c>
      <c r="BS231" s="25">
        <f t="shared" si="204"/>
        <v>0</v>
      </c>
    </row>
    <row r="232" spans="1:71" x14ac:dyDescent="0.2">
      <c r="A232" s="29">
        <f t="shared" si="191"/>
        <v>2.2399999999999962</v>
      </c>
      <c r="B232" s="30">
        <v>6.1159153986736804E-2</v>
      </c>
      <c r="C232" s="30">
        <v>6.405909116039897E-2</v>
      </c>
      <c r="D232" s="30">
        <v>6.6937584793452479E-2</v>
      </c>
      <c r="E232" s="30">
        <v>6.9992631814308329E-2</v>
      </c>
      <c r="F232" s="30">
        <v>7.3318469533285635E-2</v>
      </c>
      <c r="G232" s="30">
        <v>7.6899985892653525E-2</v>
      </c>
      <c r="H232" s="30">
        <v>8.0683992955990741E-2</v>
      </c>
      <c r="I232" s="30">
        <v>8.4616750419635567E-2</v>
      </c>
      <c r="J232" s="30">
        <v>8.8653983481758708E-2</v>
      </c>
      <c r="K232" s="30">
        <v>9.27605271147523E-2</v>
      </c>
      <c r="L232" s="30">
        <v>9.6907499594539398E-2</v>
      </c>
      <c r="N232" s="1"/>
      <c r="O232" s="1"/>
      <c r="P232" s="1"/>
      <c r="Q232" s="1"/>
      <c r="R232" s="1">
        <f t="shared" si="192"/>
        <v>0.96400457863004385</v>
      </c>
      <c r="S232" s="1">
        <f t="shared" si="193"/>
        <v>0.96227982431547165</v>
      </c>
      <c r="T232" s="63">
        <f t="shared" si="194"/>
        <v>0.92248515719723545</v>
      </c>
      <c r="U232" s="65">
        <f t="shared" si="195"/>
        <v>0.88079961944534546</v>
      </c>
      <c r="V232" s="62">
        <f t="shared" si="196"/>
        <v>0.83752181575162654</v>
      </c>
      <c r="W232" s="68">
        <f t="shared" si="197"/>
        <v>0.79302437684606863</v>
      </c>
      <c r="Y232" s="24"/>
      <c r="Z232" s="24"/>
      <c r="AA232" s="24"/>
      <c r="AB232" s="24"/>
      <c r="AC232" s="24">
        <f t="shared" si="177"/>
        <v>7.6899985892653525E-2</v>
      </c>
      <c r="AD232" s="24">
        <f t="shared" si="178"/>
        <v>8.0683992955990741E-2</v>
      </c>
      <c r="AE232" s="24">
        <f t="shared" si="179"/>
        <v>8.4616750419635567E-2</v>
      </c>
      <c r="AF232" s="24">
        <f t="shared" si="180"/>
        <v>8.8653983481758708E-2</v>
      </c>
      <c r="AG232" s="24">
        <f t="shared" si="181"/>
        <v>9.27605271147523E-2</v>
      </c>
      <c r="AH232" s="24">
        <f t="shared" si="182"/>
        <v>9.6907499594539398E-2</v>
      </c>
      <c r="AL232" s="23">
        <f t="shared" si="166"/>
        <v>0</v>
      </c>
      <c r="AM232" s="23">
        <f t="shared" si="167"/>
        <v>0</v>
      </c>
      <c r="AN232" s="23">
        <f t="shared" si="168"/>
        <v>0</v>
      </c>
      <c r="AO232" s="23">
        <f t="shared" si="169"/>
        <v>0</v>
      </c>
      <c r="AP232" s="23">
        <f t="shared" si="170"/>
        <v>4433.2728722368238</v>
      </c>
      <c r="AQ232" s="23">
        <f t="shared" si="171"/>
        <v>6245.977882737865</v>
      </c>
      <c r="AR232" s="23">
        <f t="shared" si="172"/>
        <v>7801.6333547249105</v>
      </c>
      <c r="AS232" s="23">
        <f t="shared" si="173"/>
        <v>9227.0874639956946</v>
      </c>
      <c r="AT232" s="23">
        <f t="shared" si="174"/>
        <v>10493.377453407949</v>
      </c>
      <c r="AU232" s="23">
        <f t="shared" si="175"/>
        <v>11580.190634932806</v>
      </c>
      <c r="AW232" s="25"/>
      <c r="AX232" s="25"/>
      <c r="AY232" s="25"/>
      <c r="AZ232" s="25"/>
      <c r="BA232" s="25">
        <f t="shared" si="184"/>
        <v>49781.539662036048</v>
      </c>
      <c r="BB232" s="25">
        <f t="shared" si="185"/>
        <v>45348.266789799221</v>
      </c>
      <c r="BC232" s="25">
        <f t="shared" si="186"/>
        <v>39102.28890706136</v>
      </c>
      <c r="BD232" s="25">
        <f t="shared" si="187"/>
        <v>31300.655552336451</v>
      </c>
      <c r="BE232" s="25">
        <f t="shared" si="188"/>
        <v>22073.568088340755</v>
      </c>
      <c r="BF232" s="25">
        <f t="shared" si="189"/>
        <v>11580.190634932806</v>
      </c>
      <c r="BG232" s="25">
        <f t="shared" si="190"/>
        <v>0</v>
      </c>
      <c r="BI232" s="25"/>
      <c r="BJ232" s="25"/>
      <c r="BK232" s="25"/>
      <c r="BL232" s="25"/>
      <c r="BM232" s="25">
        <f t="shared" si="198"/>
        <v>49781.539662036048</v>
      </c>
      <c r="BN232" s="25">
        <f t="shared" si="199"/>
        <v>45348.266789799221</v>
      </c>
      <c r="BO232" s="25">
        <f t="shared" si="200"/>
        <v>39102.28890706136</v>
      </c>
      <c r="BP232" s="25">
        <f t="shared" si="201"/>
        <v>31300.655552336451</v>
      </c>
      <c r="BQ232" s="25">
        <f t="shared" si="202"/>
        <v>22073.568088340755</v>
      </c>
      <c r="BR232" s="25">
        <f t="shared" si="203"/>
        <v>11580.190634932806</v>
      </c>
      <c r="BS232" s="25">
        <f t="shared" si="204"/>
        <v>0</v>
      </c>
    </row>
    <row r="233" spans="1:71" x14ac:dyDescent="0.2">
      <c r="A233" s="29">
        <f t="shared" si="191"/>
        <v>2.249999999999996</v>
      </c>
      <c r="B233" s="30">
        <v>6.0158629678376388E-2</v>
      </c>
      <c r="C233" s="30">
        <v>6.3201142645684008E-2</v>
      </c>
      <c r="D233" s="30">
        <v>6.6214708981066878E-2</v>
      </c>
      <c r="E233" s="30">
        <v>6.9395648863722459E-2</v>
      </c>
      <c r="F233" s="30">
        <v>7.2836408231694502E-2</v>
      </c>
      <c r="G233" s="30">
        <v>7.6521506798574959E-2</v>
      </c>
      <c r="H233" s="30">
        <v>8.0398136994959513E-2</v>
      </c>
      <c r="I233" s="30">
        <v>8.4413137770719252E-2</v>
      </c>
      <c r="J233" s="30">
        <v>8.8522805350059158E-2</v>
      </c>
      <c r="K233" s="30">
        <v>9.2692488403448486E-2</v>
      </c>
      <c r="L233" s="30">
        <v>9.6893770762988427E-2</v>
      </c>
      <c r="N233" s="1"/>
      <c r="O233" s="1"/>
      <c r="P233" s="1"/>
      <c r="Q233" s="1"/>
      <c r="R233" s="1">
        <f t="shared" si="192"/>
        <v>0.96423696128554726</v>
      </c>
      <c r="S233" s="1">
        <f t="shared" si="193"/>
        <v>0.96246194294503007</v>
      </c>
      <c r="T233" s="63">
        <f t="shared" si="194"/>
        <v>0.92274889277178029</v>
      </c>
      <c r="U233" s="65">
        <f t="shared" si="195"/>
        <v>0.88106867344587192</v>
      </c>
      <c r="V233" s="62">
        <f t="shared" si="196"/>
        <v>0.83774157367189528</v>
      </c>
      <c r="W233" s="68">
        <f t="shared" si="197"/>
        <v>0.79315927921055496</v>
      </c>
      <c r="Y233" s="24"/>
      <c r="Z233" s="24"/>
      <c r="AA233" s="24"/>
      <c r="AB233" s="24"/>
      <c r="AC233" s="24">
        <f t="shared" si="177"/>
        <v>7.6521506798574959E-2</v>
      </c>
      <c r="AD233" s="24">
        <f t="shared" si="178"/>
        <v>8.0398136994959513E-2</v>
      </c>
      <c r="AE233" s="24">
        <f t="shared" si="179"/>
        <v>8.4413137770719252E-2</v>
      </c>
      <c r="AF233" s="24">
        <f t="shared" si="180"/>
        <v>8.8522805350059158E-2</v>
      </c>
      <c r="AG233" s="24">
        <f t="shared" si="181"/>
        <v>9.2692488403448486E-2</v>
      </c>
      <c r="AH233" s="24">
        <f t="shared" si="182"/>
        <v>9.6893770762988427E-2</v>
      </c>
      <c r="AL233" s="23">
        <f t="shared" si="166"/>
        <v>0</v>
      </c>
      <c r="AM233" s="23">
        <f t="shared" si="167"/>
        <v>0</v>
      </c>
      <c r="AN233" s="23">
        <f t="shared" si="168"/>
        <v>0</v>
      </c>
      <c r="AO233" s="23">
        <f t="shared" si="169"/>
        <v>0</v>
      </c>
      <c r="AP233" s="23">
        <f t="shared" si="170"/>
        <v>4251.86978987772</v>
      </c>
      <c r="AQ233" s="23">
        <f t="shared" si="171"/>
        <v>6109.597238781249</v>
      </c>
      <c r="AR233" s="23">
        <f t="shared" si="172"/>
        <v>7709.9221437344759</v>
      </c>
      <c r="AS233" s="23">
        <f t="shared" si="173"/>
        <v>9172.1175507340013</v>
      </c>
      <c r="AT233" s="23">
        <f t="shared" si="174"/>
        <v>10467.631389333344</v>
      </c>
      <c r="AU233" s="23">
        <f t="shared" si="175"/>
        <v>11576.715980516581</v>
      </c>
      <c r="AW233" s="25"/>
      <c r="AX233" s="25"/>
      <c r="AY233" s="25"/>
      <c r="AZ233" s="25"/>
      <c r="BA233" s="25">
        <f t="shared" si="184"/>
        <v>49287.854092977366</v>
      </c>
      <c r="BB233" s="25">
        <f t="shared" si="185"/>
        <v>45035.984303099649</v>
      </c>
      <c r="BC233" s="25">
        <f t="shared" si="186"/>
        <v>38926.387064318398</v>
      </c>
      <c r="BD233" s="25">
        <f t="shared" si="187"/>
        <v>31216.464920583923</v>
      </c>
      <c r="BE233" s="25">
        <f t="shared" si="188"/>
        <v>22044.347369849926</v>
      </c>
      <c r="BF233" s="25">
        <f t="shared" si="189"/>
        <v>11576.715980516581</v>
      </c>
      <c r="BG233" s="25">
        <f t="shared" si="190"/>
        <v>0</v>
      </c>
      <c r="BI233" s="25"/>
      <c r="BJ233" s="25"/>
      <c r="BK233" s="25"/>
      <c r="BL233" s="25"/>
      <c r="BM233" s="25">
        <f t="shared" si="198"/>
        <v>49287.854092977366</v>
      </c>
      <c r="BN233" s="25">
        <f t="shared" si="199"/>
        <v>45035.984303099649</v>
      </c>
      <c r="BO233" s="25">
        <f t="shared" si="200"/>
        <v>38926.387064318398</v>
      </c>
      <c r="BP233" s="25">
        <f t="shared" si="201"/>
        <v>31216.464920583923</v>
      </c>
      <c r="BQ233" s="25">
        <f t="shared" si="202"/>
        <v>22044.347369849926</v>
      </c>
      <c r="BR233" s="25">
        <f t="shared" si="203"/>
        <v>11576.715980516581</v>
      </c>
      <c r="BS233" s="25">
        <f t="shared" si="204"/>
        <v>0</v>
      </c>
    </row>
    <row r="234" spans="1:71" x14ac:dyDescent="0.2">
      <c r="A234" s="29">
        <f t="shared" si="191"/>
        <v>2.2599999999999958</v>
      </c>
      <c r="B234" s="30">
        <v>5.9192465463605647E-2</v>
      </c>
      <c r="C234" s="30">
        <v>6.2397671885816096E-2</v>
      </c>
      <c r="D234" s="30">
        <v>6.5560935741401608E-2</v>
      </c>
      <c r="E234" s="30">
        <v>6.8877166750903981E-2</v>
      </c>
      <c r="F234" s="30">
        <v>7.2437316525982745E-2</v>
      </c>
      <c r="G234" s="30">
        <v>7.6225820106485764E-2</v>
      </c>
      <c r="H234" s="30">
        <v>8.0190522850775103E-2</v>
      </c>
      <c r="I234" s="30">
        <v>8.4279111380723859E-2</v>
      </c>
      <c r="J234" s="30">
        <v>8.8448720383031323E-2</v>
      </c>
      <c r="K234" s="30">
        <v>9.2665479846425064E-2</v>
      </c>
      <c r="L234" s="30">
        <v>9.6901707161961989E-2</v>
      </c>
      <c r="N234" s="1"/>
      <c r="O234" s="1"/>
      <c r="P234" s="1"/>
      <c r="Q234" s="1"/>
      <c r="R234" s="1">
        <f t="shared" si="192"/>
        <v>0.96442938997087668</v>
      </c>
      <c r="S234" s="1">
        <f t="shared" si="193"/>
        <v>0.96260424705821457</v>
      </c>
      <c r="T234" s="63">
        <f t="shared" si="194"/>
        <v>0.92294048838174125</v>
      </c>
      <c r="U234" s="65">
        <f t="shared" si="195"/>
        <v>0.88124582093256387</v>
      </c>
      <c r="V234" s="62">
        <f t="shared" si="196"/>
        <v>0.83786571098210338</v>
      </c>
      <c r="W234" s="68">
        <f t="shared" si="197"/>
        <v>0.79321283623771022</v>
      </c>
      <c r="Y234" s="24"/>
      <c r="Z234" s="24"/>
      <c r="AA234" s="24"/>
      <c r="AB234" s="24"/>
      <c r="AC234" s="24">
        <f t="shared" si="177"/>
        <v>7.6225820106485764E-2</v>
      </c>
      <c r="AD234" s="24">
        <f t="shared" si="178"/>
        <v>8.0190522850775103E-2</v>
      </c>
      <c r="AE234" s="24">
        <f t="shared" si="179"/>
        <v>8.4279111380723859E-2</v>
      </c>
      <c r="AF234" s="24">
        <f t="shared" si="180"/>
        <v>8.8448720383031323E-2</v>
      </c>
      <c r="AG234" s="24">
        <f t="shared" si="181"/>
        <v>9.2665479846425064E-2</v>
      </c>
      <c r="AH234" s="24">
        <f t="shared" si="182"/>
        <v>9.6901707161961989E-2</v>
      </c>
      <c r="AL234" s="23">
        <f t="shared" si="166"/>
        <v>0</v>
      </c>
      <c r="AM234" s="23">
        <f t="shared" si="167"/>
        <v>0</v>
      </c>
      <c r="AN234" s="23">
        <f t="shared" si="168"/>
        <v>0</v>
      </c>
      <c r="AO234" s="23">
        <f t="shared" si="169"/>
        <v>0</v>
      </c>
      <c r="AP234" s="23">
        <f t="shared" si="170"/>
        <v>4110.133849481399</v>
      </c>
      <c r="AQ234" s="23">
        <f t="shared" si="171"/>
        <v>6010.5754403834053</v>
      </c>
      <c r="AR234" s="23">
        <f t="shared" si="172"/>
        <v>7649.6738078772069</v>
      </c>
      <c r="AS234" s="23">
        <f t="shared" si="173"/>
        <v>9141.318161013076</v>
      </c>
      <c r="AT234" s="23">
        <f t="shared" si="174"/>
        <v>10457.867720580094</v>
      </c>
      <c r="AU234" s="23">
        <f t="shared" si="175"/>
        <v>11580.645309661028</v>
      </c>
      <c r="AW234" s="25"/>
      <c r="AX234" s="25"/>
      <c r="AY234" s="25"/>
      <c r="AZ234" s="25"/>
      <c r="BA234" s="25">
        <f t="shared" si="184"/>
        <v>48950.214288996205</v>
      </c>
      <c r="BB234" s="25">
        <f t="shared" si="185"/>
        <v>44840.080439514808</v>
      </c>
      <c r="BC234" s="25">
        <f t="shared" si="186"/>
        <v>38829.504999131401</v>
      </c>
      <c r="BD234" s="25">
        <f t="shared" si="187"/>
        <v>31179.831191254198</v>
      </c>
      <c r="BE234" s="25">
        <f t="shared" si="188"/>
        <v>22038.51303024112</v>
      </c>
      <c r="BF234" s="25">
        <f t="shared" si="189"/>
        <v>11580.645309661028</v>
      </c>
      <c r="BG234" s="25">
        <f t="shared" si="190"/>
        <v>0</v>
      </c>
      <c r="BI234" s="25"/>
      <c r="BJ234" s="25"/>
      <c r="BK234" s="25"/>
      <c r="BL234" s="25"/>
      <c r="BM234" s="25">
        <f t="shared" si="198"/>
        <v>48950.214288996205</v>
      </c>
      <c r="BN234" s="25">
        <f t="shared" si="199"/>
        <v>44840.080439514808</v>
      </c>
      <c r="BO234" s="25">
        <f t="shared" si="200"/>
        <v>38829.504999131401</v>
      </c>
      <c r="BP234" s="25">
        <f t="shared" si="201"/>
        <v>31179.831191254198</v>
      </c>
      <c r="BQ234" s="25">
        <f t="shared" si="202"/>
        <v>22038.51303024112</v>
      </c>
      <c r="BR234" s="25">
        <f t="shared" si="203"/>
        <v>11580.645309661028</v>
      </c>
      <c r="BS234" s="25">
        <f t="shared" si="204"/>
        <v>0</v>
      </c>
    </row>
    <row r="235" spans="1:71" x14ac:dyDescent="0.2">
      <c r="A235" s="29">
        <f t="shared" si="191"/>
        <v>2.2699999999999956</v>
      </c>
      <c r="B235" s="30">
        <v>6.0946218632015131E-2</v>
      </c>
      <c r="C235" s="30">
        <v>6.4025482625601329E-2</v>
      </c>
      <c r="D235" s="30">
        <v>6.7075955060320977E-2</v>
      </c>
      <c r="E235" s="30">
        <v>7.0290177514196001E-2</v>
      </c>
      <c r="F235" s="30">
        <v>7.3756679459044863E-2</v>
      </c>
      <c r="G235" s="30">
        <v>7.7458870006491917E-2</v>
      </c>
      <c r="H235" s="30">
        <v>8.1344295331040678E-2</v>
      </c>
      <c r="I235" s="30">
        <v>8.5360533535866437E-2</v>
      </c>
      <c r="J235" s="30">
        <v>8.9464600620768456E-2</v>
      </c>
      <c r="K235" s="30">
        <v>9.3622450931036938E-2</v>
      </c>
      <c r="L235" s="30">
        <v>9.7806178835710786E-2</v>
      </c>
      <c r="N235" s="1"/>
      <c r="O235" s="1"/>
      <c r="P235" s="1"/>
      <c r="Q235" s="1"/>
      <c r="R235" s="1">
        <f t="shared" si="192"/>
        <v>0.963793383580414</v>
      </c>
      <c r="S235" s="1">
        <f t="shared" si="193"/>
        <v>0.96201096042972123</v>
      </c>
      <c r="T235" s="63">
        <f t="shared" si="194"/>
        <v>0.92187623911414196</v>
      </c>
      <c r="U235" s="65">
        <f t="shared" si="195"/>
        <v>0.87981748159179607</v>
      </c>
      <c r="V235" s="62">
        <f t="shared" si="196"/>
        <v>0.83616509675218142</v>
      </c>
      <c r="W235" s="68">
        <f t="shared" si="197"/>
        <v>0.79131740011818008</v>
      </c>
      <c r="Y235" s="24"/>
      <c r="Z235" s="24"/>
      <c r="AA235" s="24"/>
      <c r="AB235" s="24"/>
      <c r="AC235" s="24">
        <f t="shared" si="177"/>
        <v>7.7458870006491917E-2</v>
      </c>
      <c r="AD235" s="24">
        <f t="shared" si="178"/>
        <v>8.1344295331040678E-2</v>
      </c>
      <c r="AE235" s="24">
        <f t="shared" si="179"/>
        <v>8.5360533535866437E-2</v>
      </c>
      <c r="AF235" s="24">
        <f t="shared" si="180"/>
        <v>8.9464600620768456E-2</v>
      </c>
      <c r="AG235" s="24">
        <f t="shared" si="181"/>
        <v>9.3622450931036938E-2</v>
      </c>
      <c r="AH235" s="24">
        <f t="shared" si="182"/>
        <v>9.7806178835710786E-2</v>
      </c>
      <c r="AL235" s="23">
        <f t="shared" si="166"/>
        <v>0</v>
      </c>
      <c r="AM235" s="23">
        <f t="shared" si="167"/>
        <v>0</v>
      </c>
      <c r="AN235" s="23">
        <f t="shared" si="168"/>
        <v>0</v>
      </c>
      <c r="AO235" s="23">
        <f t="shared" si="169"/>
        <v>0</v>
      </c>
      <c r="AP235" s="23">
        <f t="shared" si="170"/>
        <v>4701.6260321077998</v>
      </c>
      <c r="AQ235" s="23">
        <f t="shared" si="171"/>
        <v>6561.8417986735676</v>
      </c>
      <c r="AR235" s="23">
        <f t="shared" si="172"/>
        <v>8139.3216090240494</v>
      </c>
      <c r="AS235" s="23">
        <f t="shared" si="173"/>
        <v>9573.3963415646449</v>
      </c>
      <c r="AT235" s="23">
        <f t="shared" si="174"/>
        <v>10836.73431875686</v>
      </c>
      <c r="AU235" s="23">
        <f t="shared" si="175"/>
        <v>11910.834655296003</v>
      </c>
      <c r="AW235" s="25"/>
      <c r="AX235" s="25"/>
      <c r="AY235" s="25"/>
      <c r="AZ235" s="25"/>
      <c r="BA235" s="25">
        <f t="shared" si="184"/>
        <v>51723.754755422924</v>
      </c>
      <c r="BB235" s="25">
        <f t="shared" si="185"/>
        <v>47022.128723315123</v>
      </c>
      <c r="BC235" s="25">
        <f t="shared" si="186"/>
        <v>40460.286924641565</v>
      </c>
      <c r="BD235" s="25">
        <f t="shared" si="187"/>
        <v>32320.965315617508</v>
      </c>
      <c r="BE235" s="25">
        <f t="shared" si="188"/>
        <v>22747.568974052861</v>
      </c>
      <c r="BF235" s="25">
        <f t="shared" si="189"/>
        <v>11910.834655296003</v>
      </c>
      <c r="BG235" s="25">
        <f t="shared" si="190"/>
        <v>0</v>
      </c>
      <c r="BI235" s="25"/>
      <c r="BJ235" s="25"/>
      <c r="BK235" s="25"/>
      <c r="BL235" s="25"/>
      <c r="BM235" s="25">
        <f t="shared" si="198"/>
        <v>51723.754755422924</v>
      </c>
      <c r="BN235" s="25">
        <f t="shared" si="199"/>
        <v>47022.128723315123</v>
      </c>
      <c r="BO235" s="25">
        <f t="shared" si="200"/>
        <v>40460.286924641565</v>
      </c>
      <c r="BP235" s="25">
        <f t="shared" si="201"/>
        <v>32320.965315617508</v>
      </c>
      <c r="BQ235" s="25">
        <f t="shared" si="202"/>
        <v>22747.568974052861</v>
      </c>
      <c r="BR235" s="25">
        <f t="shared" si="203"/>
        <v>11910.834655296003</v>
      </c>
      <c r="BS235" s="25">
        <f t="shared" si="204"/>
        <v>0</v>
      </c>
    </row>
    <row r="236" spans="1:71" x14ac:dyDescent="0.2">
      <c r="A236" s="29">
        <f t="shared" si="191"/>
        <v>2.2799999999999954</v>
      </c>
      <c r="B236" s="30">
        <v>6.0994170253890985E-2</v>
      </c>
      <c r="C236" s="30">
        <v>6.4155290253226513E-2</v>
      </c>
      <c r="D236" s="30">
        <v>6.7285786117304347E-2</v>
      </c>
      <c r="E236" s="30">
        <v>7.0576301151054774E-2</v>
      </c>
      <c r="F236" s="30">
        <v>7.4113441560062179E-2</v>
      </c>
      <c r="G236" s="30">
        <v>7.7880076011989305E-2</v>
      </c>
      <c r="H236" s="30">
        <v>8.1823926260158983E-2</v>
      </c>
      <c r="I236" s="30">
        <v>8.5892932635059302E-2</v>
      </c>
      <c r="J236" s="30">
        <v>9.0044462259833341E-2</v>
      </c>
      <c r="K236" s="30">
        <v>9.4244763838136958E-2</v>
      </c>
      <c r="L236" s="30">
        <v>9.8466179097638398E-2</v>
      </c>
      <c r="N236" s="1"/>
      <c r="O236" s="1"/>
      <c r="P236" s="1"/>
      <c r="Q236" s="1"/>
      <c r="R236" s="1">
        <f t="shared" si="192"/>
        <v>0.96362147643712182</v>
      </c>
      <c r="S236" s="1">
        <f t="shared" si="193"/>
        <v>0.96180837936561658</v>
      </c>
      <c r="T236" s="63">
        <f t="shared" si="194"/>
        <v>0.92143418477698424</v>
      </c>
      <c r="U236" s="65">
        <f t="shared" si="195"/>
        <v>0.87911514102125798</v>
      </c>
      <c r="V236" s="62">
        <f t="shared" si="196"/>
        <v>0.83519593871131137</v>
      </c>
      <c r="W236" s="68">
        <f t="shared" si="197"/>
        <v>0.79008723971791217</v>
      </c>
      <c r="Y236" s="24"/>
      <c r="Z236" s="24"/>
      <c r="AA236" s="24"/>
      <c r="AB236" s="24"/>
      <c r="AC236" s="24">
        <f t="shared" si="177"/>
        <v>7.7880076011989305E-2</v>
      </c>
      <c r="AD236" s="24">
        <f t="shared" si="178"/>
        <v>8.1823926260158983E-2</v>
      </c>
      <c r="AE236" s="24">
        <f t="shared" si="179"/>
        <v>8.5892932635059302E-2</v>
      </c>
      <c r="AF236" s="24">
        <f t="shared" si="180"/>
        <v>9.0044462259833341E-2</v>
      </c>
      <c r="AG236" s="24">
        <f t="shared" si="181"/>
        <v>9.4244763838136958E-2</v>
      </c>
      <c r="AH236" s="24">
        <f t="shared" si="182"/>
        <v>9.8466179097638398E-2</v>
      </c>
      <c r="AL236" s="23">
        <f t="shared" si="166"/>
        <v>0</v>
      </c>
      <c r="AM236" s="23">
        <f t="shared" si="167"/>
        <v>0</v>
      </c>
      <c r="AN236" s="23">
        <f t="shared" si="168"/>
        <v>0</v>
      </c>
      <c r="AO236" s="23">
        <f t="shared" si="169"/>
        <v>0</v>
      </c>
      <c r="AP236" s="23">
        <f t="shared" si="170"/>
        <v>4903.7290023658315</v>
      </c>
      <c r="AQ236" s="23">
        <f t="shared" si="171"/>
        <v>6791.1165239121747</v>
      </c>
      <c r="AR236" s="23">
        <f t="shared" si="172"/>
        <v>8380.7040396675402</v>
      </c>
      <c r="AS236" s="23">
        <f t="shared" si="173"/>
        <v>9820.636665432814</v>
      </c>
      <c r="AT236" s="23">
        <f t="shared" si="174"/>
        <v>11084.050596677638</v>
      </c>
      <c r="AU236" s="23">
        <f t="shared" si="175"/>
        <v>12153.047289892673</v>
      </c>
      <c r="AW236" s="25"/>
      <c r="AX236" s="25"/>
      <c r="AY236" s="25"/>
      <c r="AZ236" s="25"/>
      <c r="BA236" s="25">
        <f t="shared" si="184"/>
        <v>53133.284117948679</v>
      </c>
      <c r="BB236" s="25">
        <f t="shared" si="185"/>
        <v>48229.555115582843</v>
      </c>
      <c r="BC236" s="25">
        <f t="shared" si="186"/>
        <v>41438.438591670667</v>
      </c>
      <c r="BD236" s="25">
        <f t="shared" si="187"/>
        <v>33057.734552003123</v>
      </c>
      <c r="BE236" s="25">
        <f t="shared" si="188"/>
        <v>23237.097886570311</v>
      </c>
      <c r="BF236" s="25">
        <f t="shared" si="189"/>
        <v>12153.047289892673</v>
      </c>
      <c r="BG236" s="25">
        <f t="shared" si="190"/>
        <v>0</v>
      </c>
      <c r="BI236" s="25"/>
      <c r="BJ236" s="25"/>
      <c r="BK236" s="25"/>
      <c r="BL236" s="25"/>
      <c r="BM236" s="25">
        <f t="shared" si="198"/>
        <v>53133.284117948679</v>
      </c>
      <c r="BN236" s="25">
        <f t="shared" si="199"/>
        <v>48229.555115582843</v>
      </c>
      <c r="BO236" s="25">
        <f t="shared" si="200"/>
        <v>41438.438591670667</v>
      </c>
      <c r="BP236" s="25">
        <f t="shared" si="201"/>
        <v>33057.734552003123</v>
      </c>
      <c r="BQ236" s="25">
        <f t="shared" si="202"/>
        <v>23237.097886570311</v>
      </c>
      <c r="BR236" s="25">
        <f t="shared" si="203"/>
        <v>12153.047289892673</v>
      </c>
      <c r="BS236" s="25">
        <f t="shared" si="204"/>
        <v>0</v>
      </c>
    </row>
    <row r="237" spans="1:71" x14ac:dyDescent="0.2">
      <c r="A237" s="29">
        <f t="shared" si="191"/>
        <v>2.2899999999999952</v>
      </c>
      <c r="B237" s="30">
        <v>6.0377019044078974E-2</v>
      </c>
      <c r="C237" s="30">
        <v>6.3655678029912177E-2</v>
      </c>
      <c r="D237" s="30">
        <v>6.6899116367544503E-2</v>
      </c>
      <c r="E237" s="30">
        <v>7.0296168283376287E-2</v>
      </c>
      <c r="F237" s="30">
        <v>7.3931634067627885E-2</v>
      </c>
      <c r="G237" s="30">
        <v>7.7787945958880556E-2</v>
      </c>
      <c r="H237" s="30">
        <v>8.1813094716670864E-2</v>
      </c>
      <c r="I237" s="30">
        <v>8.5955472371144898E-2</v>
      </c>
      <c r="J237" s="30">
        <v>9.0172885727914515E-2</v>
      </c>
      <c r="K237" s="30">
        <v>9.4431966603431061E-2</v>
      </c>
      <c r="L237" s="30">
        <v>9.8705393215385642E-2</v>
      </c>
      <c r="N237" s="1"/>
      <c r="O237" s="1"/>
      <c r="P237" s="1"/>
      <c r="Q237" s="1"/>
      <c r="R237" s="1">
        <f t="shared" si="192"/>
        <v>0.96370907722082466</v>
      </c>
      <c r="S237" s="1">
        <f t="shared" si="193"/>
        <v>0.96185268611464025</v>
      </c>
      <c r="T237" s="63">
        <f t="shared" si="194"/>
        <v>0.92144416538548068</v>
      </c>
      <c r="U237" s="65">
        <f t="shared" si="195"/>
        <v>0.87903267544598751</v>
      </c>
      <c r="V237" s="62">
        <f t="shared" si="196"/>
        <v>0.83498144874008329</v>
      </c>
      <c r="W237" s="68">
        <f t="shared" si="197"/>
        <v>0.78971755994075843</v>
      </c>
      <c r="Y237" s="24"/>
      <c r="Z237" s="24"/>
      <c r="AA237" s="24"/>
      <c r="AB237" s="24"/>
      <c r="AC237" s="24">
        <f t="shared" si="177"/>
        <v>7.7787945958880556E-2</v>
      </c>
      <c r="AD237" s="24">
        <f t="shared" si="178"/>
        <v>8.1813094716670864E-2</v>
      </c>
      <c r="AE237" s="24">
        <f t="shared" si="179"/>
        <v>8.5955472371144898E-2</v>
      </c>
      <c r="AF237" s="24">
        <f t="shared" si="180"/>
        <v>9.0172885727914515E-2</v>
      </c>
      <c r="AG237" s="24">
        <f t="shared" si="181"/>
        <v>9.4431966603431061E-2</v>
      </c>
      <c r="AH237" s="24">
        <f t="shared" si="182"/>
        <v>9.8705393215385642E-2</v>
      </c>
      <c r="AL237" s="23">
        <f t="shared" si="166"/>
        <v>0</v>
      </c>
      <c r="AM237" s="23">
        <f t="shared" si="167"/>
        <v>0</v>
      </c>
      <c r="AN237" s="23">
        <f t="shared" si="168"/>
        <v>0</v>
      </c>
      <c r="AO237" s="23">
        <f t="shared" si="169"/>
        <v>0</v>
      </c>
      <c r="AP237" s="23">
        <f t="shared" si="170"/>
        <v>4859.7815057312864</v>
      </c>
      <c r="AQ237" s="23">
        <f t="shared" si="171"/>
        <v>6786.220189481216</v>
      </c>
      <c r="AR237" s="23">
        <f t="shared" si="172"/>
        <v>8409.6082535798414</v>
      </c>
      <c r="AS237" s="23">
        <f t="shared" si="173"/>
        <v>9876.1596509743013</v>
      </c>
      <c r="AT237" s="23">
        <f t="shared" si="174"/>
        <v>11159.359475906365</v>
      </c>
      <c r="AU237" s="23">
        <f t="shared" si="175"/>
        <v>12241.816705165722</v>
      </c>
      <c r="AW237" s="25"/>
      <c r="AX237" s="25"/>
      <c r="AY237" s="25"/>
      <c r="AZ237" s="25"/>
      <c r="BA237" s="25">
        <f t="shared" si="184"/>
        <v>53332.945780838731</v>
      </c>
      <c r="BB237" s="25">
        <f t="shared" si="185"/>
        <v>48473.164275107447</v>
      </c>
      <c r="BC237" s="25">
        <f t="shared" si="186"/>
        <v>41686.94408562623</v>
      </c>
      <c r="BD237" s="25">
        <f t="shared" si="187"/>
        <v>33277.335832046389</v>
      </c>
      <c r="BE237" s="25">
        <f t="shared" si="188"/>
        <v>23401.176181072085</v>
      </c>
      <c r="BF237" s="25">
        <f t="shared" si="189"/>
        <v>12241.816705165722</v>
      </c>
      <c r="BG237" s="25">
        <f t="shared" si="190"/>
        <v>0</v>
      </c>
      <c r="BI237" s="25"/>
      <c r="BJ237" s="25"/>
      <c r="BK237" s="25"/>
      <c r="BL237" s="25"/>
      <c r="BM237" s="25">
        <f t="shared" si="198"/>
        <v>53332.945780838731</v>
      </c>
      <c r="BN237" s="25">
        <f t="shared" si="199"/>
        <v>48473.164275107447</v>
      </c>
      <c r="BO237" s="25">
        <f t="shared" si="200"/>
        <v>41686.94408562623</v>
      </c>
      <c r="BP237" s="25">
        <f t="shared" si="201"/>
        <v>33277.335832046389</v>
      </c>
      <c r="BQ237" s="25">
        <f t="shared" si="202"/>
        <v>23401.176181072085</v>
      </c>
      <c r="BR237" s="25">
        <f t="shared" si="203"/>
        <v>12241.816705165722</v>
      </c>
      <c r="BS237" s="25">
        <f t="shared" si="204"/>
        <v>0</v>
      </c>
    </row>
    <row r="238" spans="1:71" x14ac:dyDescent="0.2">
      <c r="A238" s="29">
        <f t="shared" si="191"/>
        <v>2.2999999999999949</v>
      </c>
      <c r="B238" s="30">
        <v>6.1019130620921777E-2</v>
      </c>
      <c r="C238" s="30">
        <v>6.4189476247911617E-2</v>
      </c>
      <c r="D238" s="30">
        <v>6.7334234133184817E-2</v>
      </c>
      <c r="E238" s="30">
        <v>7.0640027471846625E-2</v>
      </c>
      <c r="F238" s="30">
        <v>7.418947601245042E-2</v>
      </c>
      <c r="G238" s="30">
        <v>7.7964187657173459E-2</v>
      </c>
      <c r="H238" s="30">
        <v>8.1912023809606396E-2</v>
      </c>
      <c r="I238" s="30">
        <v>8.5981425943181033E-2</v>
      </c>
      <c r="J238" s="30">
        <v>9.0130237398556023E-2</v>
      </c>
      <c r="K238" s="30">
        <v>9.4325070156494273E-2</v>
      </c>
      <c r="L238" s="30">
        <v>9.8538536351306133E-2</v>
      </c>
      <c r="N238" s="1"/>
      <c r="O238" s="1"/>
      <c r="P238" s="1"/>
      <c r="Q238" s="1"/>
      <c r="R238" s="1">
        <f t="shared" si="192"/>
        <v>0.96358484291784341</v>
      </c>
      <c r="S238" s="1">
        <f t="shared" si="193"/>
        <v>0.96176793057360599</v>
      </c>
      <c r="T238" s="63">
        <f t="shared" si="194"/>
        <v>0.92135301225893074</v>
      </c>
      <c r="U238" s="65">
        <f t="shared" si="195"/>
        <v>0.87899845505530139</v>
      </c>
      <c r="V238" s="62">
        <f t="shared" si="196"/>
        <v>0.83505267290529994</v>
      </c>
      <c r="W238" s="68">
        <f t="shared" si="197"/>
        <v>0.78992863314632511</v>
      </c>
      <c r="Y238" s="24"/>
      <c r="Z238" s="24"/>
      <c r="AA238" s="24"/>
      <c r="AB238" s="24"/>
      <c r="AC238" s="24">
        <f t="shared" si="177"/>
        <v>7.7964187657173459E-2</v>
      </c>
      <c r="AD238" s="24">
        <f t="shared" si="178"/>
        <v>8.1912023809606396E-2</v>
      </c>
      <c r="AE238" s="24">
        <f t="shared" si="179"/>
        <v>8.5981425943181033E-2</v>
      </c>
      <c r="AF238" s="24">
        <f t="shared" si="180"/>
        <v>9.0130237398556023E-2</v>
      </c>
      <c r="AG238" s="24">
        <f t="shared" si="181"/>
        <v>9.4325070156494273E-2</v>
      </c>
      <c r="AH238" s="24">
        <f t="shared" si="182"/>
        <v>9.8538536351306133E-2</v>
      </c>
      <c r="AL238" s="23">
        <f t="shared" si="166"/>
        <v>0</v>
      </c>
      <c r="AM238" s="23">
        <f t="shared" si="167"/>
        <v>0</v>
      </c>
      <c r="AN238" s="23">
        <f t="shared" si="168"/>
        <v>0</v>
      </c>
      <c r="AO238" s="23">
        <f t="shared" si="169"/>
        <v>0</v>
      </c>
      <c r="AP238" s="23">
        <f t="shared" si="170"/>
        <v>4944.0669329409793</v>
      </c>
      <c r="AQ238" s="23">
        <f t="shared" si="171"/>
        <v>6833.1956228363788</v>
      </c>
      <c r="AR238" s="23">
        <f t="shared" si="172"/>
        <v>8420.7325407014723</v>
      </c>
      <c r="AS238" s="23">
        <f t="shared" si="173"/>
        <v>9857.0312682184103</v>
      </c>
      <c r="AT238" s="23">
        <f t="shared" si="174"/>
        <v>11115.679290709984</v>
      </c>
      <c r="AU238" s="23">
        <f t="shared" si="175"/>
        <v>12179.186151834447</v>
      </c>
      <c r="AW238" s="25"/>
      <c r="AX238" s="25"/>
      <c r="AY238" s="25"/>
      <c r="AZ238" s="25"/>
      <c r="BA238" s="25">
        <f t="shared" si="184"/>
        <v>53349.891807241664</v>
      </c>
      <c r="BB238" s="25">
        <f t="shared" si="185"/>
        <v>48405.824874300692</v>
      </c>
      <c r="BC238" s="25">
        <f t="shared" si="186"/>
        <v>41572.629251464314</v>
      </c>
      <c r="BD238" s="25">
        <f t="shared" si="187"/>
        <v>33151.896710762841</v>
      </c>
      <c r="BE238" s="25">
        <f t="shared" si="188"/>
        <v>23294.865442544433</v>
      </c>
      <c r="BF238" s="25">
        <f t="shared" si="189"/>
        <v>12179.186151834447</v>
      </c>
      <c r="BG238" s="25">
        <f t="shared" si="190"/>
        <v>0</v>
      </c>
      <c r="BI238" s="25"/>
      <c r="BJ238" s="25"/>
      <c r="BK238" s="25"/>
      <c r="BL238" s="25"/>
      <c r="BM238" s="25">
        <f t="shared" si="198"/>
        <v>53349.891807241664</v>
      </c>
      <c r="BN238" s="25">
        <f t="shared" si="199"/>
        <v>48405.824874300692</v>
      </c>
      <c r="BO238" s="25">
        <f t="shared" si="200"/>
        <v>41572.629251464314</v>
      </c>
      <c r="BP238" s="25">
        <f t="shared" si="201"/>
        <v>33151.896710762841</v>
      </c>
      <c r="BQ238" s="25">
        <f t="shared" si="202"/>
        <v>23294.865442544433</v>
      </c>
      <c r="BR238" s="25">
        <f t="shared" si="203"/>
        <v>12179.186151834447</v>
      </c>
      <c r="BS238" s="25">
        <f t="shared" si="204"/>
        <v>0</v>
      </c>
    </row>
    <row r="239" spans="1:71" x14ac:dyDescent="0.2">
      <c r="A239" s="29">
        <f t="shared" si="191"/>
        <v>2.3099999999999947</v>
      </c>
      <c r="B239" s="30">
        <v>6.0617331760108611E-2</v>
      </c>
      <c r="C239" s="30">
        <v>6.3842991750841904E-2</v>
      </c>
      <c r="D239" s="30">
        <v>6.7046588524648912E-2</v>
      </c>
      <c r="E239" s="30">
        <v>7.0412588691205411E-2</v>
      </c>
      <c r="F239" s="30">
        <v>7.402151241757618E-2</v>
      </c>
      <c r="G239" s="30">
        <v>7.7854211005216681E-2</v>
      </c>
      <c r="H239" s="30">
        <v>8.1858473913829374E-2</v>
      </c>
      <c r="I239" s="30">
        <v>8.5982845638040067E-2</v>
      </c>
      <c r="J239" s="30">
        <v>9.0185258762212589E-2</v>
      </c>
      <c r="K239" s="30">
        <v>9.4432358342540615E-2</v>
      </c>
      <c r="L239" s="30">
        <v>9.8696743714267537E-2</v>
      </c>
      <c r="N239" s="1"/>
      <c r="O239" s="1"/>
      <c r="P239" s="1"/>
      <c r="Q239" s="1"/>
      <c r="R239" s="1">
        <f t="shared" si="192"/>
        <v>0.96366576990308406</v>
      </c>
      <c r="S239" s="1">
        <f t="shared" si="193"/>
        <v>0.96182081803617114</v>
      </c>
      <c r="T239" s="63">
        <f t="shared" si="194"/>
        <v>0.92140235193776665</v>
      </c>
      <c r="U239" s="65">
        <f t="shared" si="195"/>
        <v>0.87899658319291285</v>
      </c>
      <c r="V239" s="62">
        <f t="shared" si="196"/>
        <v>0.83496078648753214</v>
      </c>
      <c r="W239" s="68">
        <f t="shared" si="197"/>
        <v>0.78971678653300292</v>
      </c>
      <c r="Y239" s="24"/>
      <c r="Z239" s="24"/>
      <c r="AA239" s="24"/>
      <c r="AB239" s="24"/>
      <c r="AC239" s="24">
        <f t="shared" si="177"/>
        <v>7.7854211005216681E-2</v>
      </c>
      <c r="AD239" s="24">
        <f t="shared" si="178"/>
        <v>8.1858473913829374E-2</v>
      </c>
      <c r="AE239" s="24">
        <f t="shared" si="179"/>
        <v>8.5982845638040067E-2</v>
      </c>
      <c r="AF239" s="24">
        <f t="shared" si="180"/>
        <v>9.0185258762212589E-2</v>
      </c>
      <c r="AG239" s="24">
        <f t="shared" si="181"/>
        <v>9.4432358342540615E-2</v>
      </c>
      <c r="AH239" s="24">
        <f t="shared" si="182"/>
        <v>9.8696743714267537E-2</v>
      </c>
      <c r="AL239" s="23">
        <f t="shared" si="166"/>
        <v>0</v>
      </c>
      <c r="AM239" s="23">
        <f t="shared" si="167"/>
        <v>0</v>
      </c>
      <c r="AN239" s="23">
        <f t="shared" si="168"/>
        <v>0</v>
      </c>
      <c r="AO239" s="23">
        <f t="shared" si="169"/>
        <v>0</v>
      </c>
      <c r="AP239" s="23">
        <f t="shared" si="170"/>
        <v>4891.491794514608</v>
      </c>
      <c r="AQ239" s="23">
        <f t="shared" si="171"/>
        <v>6807.8186768747692</v>
      </c>
      <c r="AR239" s="23">
        <f t="shared" si="172"/>
        <v>8421.8375372162936</v>
      </c>
      <c r="AS239" s="23">
        <f t="shared" si="173"/>
        <v>9881.1920726042026</v>
      </c>
      <c r="AT239" s="23">
        <f t="shared" si="174"/>
        <v>11159.246872445579</v>
      </c>
      <c r="AU239" s="23">
        <f t="shared" si="175"/>
        <v>12238.389388061605</v>
      </c>
      <c r="AW239" s="25"/>
      <c r="AX239" s="25"/>
      <c r="AY239" s="25"/>
      <c r="AZ239" s="25"/>
      <c r="BA239" s="25">
        <f t="shared" si="184"/>
        <v>53399.976341717062</v>
      </c>
      <c r="BB239" s="25">
        <f t="shared" si="185"/>
        <v>48508.484547202446</v>
      </c>
      <c r="BC239" s="25">
        <f t="shared" si="186"/>
        <v>41700.665870327677</v>
      </c>
      <c r="BD239" s="25">
        <f t="shared" si="187"/>
        <v>33278.828333111393</v>
      </c>
      <c r="BE239" s="25">
        <f t="shared" si="188"/>
        <v>23397.636260507184</v>
      </c>
      <c r="BF239" s="25">
        <f t="shared" si="189"/>
        <v>12238.389388061605</v>
      </c>
      <c r="BG239" s="25">
        <f t="shared" si="190"/>
        <v>0</v>
      </c>
      <c r="BI239" s="25"/>
      <c r="BJ239" s="25"/>
      <c r="BK239" s="25"/>
      <c r="BL239" s="25"/>
      <c r="BM239" s="25">
        <f t="shared" si="198"/>
        <v>53399.976341717062</v>
      </c>
      <c r="BN239" s="25">
        <f t="shared" si="199"/>
        <v>48508.484547202446</v>
      </c>
      <c r="BO239" s="25">
        <f t="shared" si="200"/>
        <v>41700.665870327677</v>
      </c>
      <c r="BP239" s="25">
        <f t="shared" si="201"/>
        <v>33278.828333111393</v>
      </c>
      <c r="BQ239" s="25">
        <f t="shared" si="202"/>
        <v>23397.636260507184</v>
      </c>
      <c r="BR239" s="25">
        <f t="shared" si="203"/>
        <v>12238.389388061605</v>
      </c>
      <c r="BS239" s="25">
        <f t="shared" si="204"/>
        <v>0</v>
      </c>
    </row>
    <row r="240" spans="1:71" x14ac:dyDescent="0.2">
      <c r="A240" s="29">
        <f t="shared" si="191"/>
        <v>2.3199999999999945</v>
      </c>
      <c r="B240" s="30">
        <v>6.1305120269738431E-2</v>
      </c>
      <c r="C240" s="30">
        <v>6.4500681457730885E-2</v>
      </c>
      <c r="D240" s="30">
        <v>6.7677265897153019E-2</v>
      </c>
      <c r="E240" s="30">
        <v>7.1017355042366739E-2</v>
      </c>
      <c r="F240" s="30">
        <v>7.4599566628600428E-2</v>
      </c>
      <c r="G240" s="30">
        <v>7.840417933976121E-2</v>
      </c>
      <c r="H240" s="30">
        <v>8.2379084481001841E-2</v>
      </c>
      <c r="I240" s="30">
        <v>8.6473099582629165E-2</v>
      </c>
      <c r="J240" s="30">
        <v>9.0644415639383566E-2</v>
      </c>
      <c r="K240" s="30">
        <v>9.4859880155436324E-2</v>
      </c>
      <c r="L240" s="30">
        <v>9.9092249410817235E-2</v>
      </c>
      <c r="N240" s="1"/>
      <c r="O240" s="1"/>
      <c r="P240" s="1"/>
      <c r="Q240" s="1"/>
      <c r="R240" s="1">
        <f t="shared" si="192"/>
        <v>0.96338728462176393</v>
      </c>
      <c r="S240" s="1">
        <f t="shared" si="193"/>
        <v>0.96155636890078733</v>
      </c>
      <c r="T240" s="63">
        <f t="shared" si="194"/>
        <v>0.92092278498137448</v>
      </c>
      <c r="U240" s="65">
        <f t="shared" si="195"/>
        <v>0.87835042349550174</v>
      </c>
      <c r="V240" s="62">
        <f t="shared" si="196"/>
        <v>0.83419438246650046</v>
      </c>
      <c r="W240" s="68">
        <f t="shared" si="197"/>
        <v>0.78887318455548638</v>
      </c>
      <c r="Y240" s="24"/>
      <c r="Z240" s="24"/>
      <c r="AA240" s="24"/>
      <c r="AB240" s="24"/>
      <c r="AC240" s="24">
        <f t="shared" si="177"/>
        <v>7.840417933976121E-2</v>
      </c>
      <c r="AD240" s="24">
        <f t="shared" si="178"/>
        <v>8.2379084481001841E-2</v>
      </c>
      <c r="AE240" s="24">
        <f t="shared" si="179"/>
        <v>8.6473099582629165E-2</v>
      </c>
      <c r="AF240" s="24">
        <f t="shared" si="180"/>
        <v>9.0644415639383566E-2</v>
      </c>
      <c r="AG240" s="24">
        <f t="shared" si="181"/>
        <v>9.4859880155436324E-2</v>
      </c>
      <c r="AH240" s="24">
        <f t="shared" si="182"/>
        <v>9.9092249410817235E-2</v>
      </c>
      <c r="AL240" s="23">
        <f t="shared" si="166"/>
        <v>0</v>
      </c>
      <c r="AM240" s="23">
        <f t="shared" si="167"/>
        <v>0</v>
      </c>
      <c r="AN240" s="23">
        <f t="shared" si="168"/>
        <v>0</v>
      </c>
      <c r="AO240" s="23">
        <f t="shared" si="169"/>
        <v>0</v>
      </c>
      <c r="AP240" s="23">
        <f t="shared" si="170"/>
        <v>5154.9944753117879</v>
      </c>
      <c r="AQ240" s="23">
        <f t="shared" si="171"/>
        <v>7056.2450951832479</v>
      </c>
      <c r="AR240" s="23">
        <f t="shared" si="172"/>
        <v>8643.1971947088186</v>
      </c>
      <c r="AS240" s="23">
        <f t="shared" si="173"/>
        <v>10075.578622420824</v>
      </c>
      <c r="AT240" s="23">
        <f t="shared" si="174"/>
        <v>11327.322033761569</v>
      </c>
      <c r="AU240" s="23">
        <f t="shared" si="175"/>
        <v>12381.317848920113</v>
      </c>
      <c r="AW240" s="25"/>
      <c r="AX240" s="25"/>
      <c r="AY240" s="25"/>
      <c r="AZ240" s="25"/>
      <c r="BA240" s="25">
        <f t="shared" si="184"/>
        <v>54638.655270306364</v>
      </c>
      <c r="BB240" s="25">
        <f t="shared" si="185"/>
        <v>49483.660794994576</v>
      </c>
      <c r="BC240" s="25">
        <f t="shared" si="186"/>
        <v>42427.415699811332</v>
      </c>
      <c r="BD240" s="25">
        <f t="shared" si="187"/>
        <v>33784.218505102501</v>
      </c>
      <c r="BE240" s="25">
        <f t="shared" si="188"/>
        <v>23708.63988268168</v>
      </c>
      <c r="BF240" s="25">
        <f t="shared" si="189"/>
        <v>12381.317848920113</v>
      </c>
      <c r="BG240" s="25">
        <f t="shared" si="190"/>
        <v>0</v>
      </c>
      <c r="BI240" s="25"/>
      <c r="BJ240" s="25"/>
      <c r="BK240" s="25"/>
      <c r="BL240" s="25"/>
      <c r="BM240" s="25">
        <f t="shared" si="198"/>
        <v>54638.655270306364</v>
      </c>
      <c r="BN240" s="25">
        <f t="shared" si="199"/>
        <v>49483.660794994576</v>
      </c>
      <c r="BO240" s="25">
        <f t="shared" si="200"/>
        <v>42427.415699811332</v>
      </c>
      <c r="BP240" s="25">
        <f t="shared" si="201"/>
        <v>33784.218505102501</v>
      </c>
      <c r="BQ240" s="25">
        <f t="shared" si="202"/>
        <v>23708.63988268168</v>
      </c>
      <c r="BR240" s="25">
        <f t="shared" si="203"/>
        <v>12381.317848920113</v>
      </c>
      <c r="BS240" s="25">
        <f t="shared" si="204"/>
        <v>0</v>
      </c>
    </row>
    <row r="241" spans="1:71" x14ac:dyDescent="0.2">
      <c r="A241" s="29">
        <f t="shared" si="191"/>
        <v>2.3299999999999943</v>
      </c>
      <c r="B241" s="30">
        <v>6.1929822913328145E-2</v>
      </c>
      <c r="C241" s="30">
        <v>6.4988569538857219E-2</v>
      </c>
      <c r="D241" s="30">
        <v>6.8044142253997589E-2</v>
      </c>
      <c r="E241" s="30">
        <v>7.1276514544914835E-2</v>
      </c>
      <c r="F241" s="30">
        <v>7.4761903843934593E-2</v>
      </c>
      <c r="G241" s="30">
        <v>7.8479505239323635E-2</v>
      </c>
      <c r="H241" s="30">
        <v>8.2376790838137523E-2</v>
      </c>
      <c r="I241" s="30">
        <v>8.6402326446506028E-2</v>
      </c>
      <c r="J241" s="30">
        <v>9.0514035882946015E-2</v>
      </c>
      <c r="K241" s="30">
        <v>9.4678443722190517E-2</v>
      </c>
      <c r="L241" s="30">
        <v>9.8867938181056242E-2</v>
      </c>
      <c r="N241" s="1"/>
      <c r="O241" s="1"/>
      <c r="P241" s="1"/>
      <c r="Q241" s="1"/>
      <c r="R241" s="1">
        <f t="shared" si="192"/>
        <v>0.96330909099070405</v>
      </c>
      <c r="S241" s="1">
        <f t="shared" si="193"/>
        <v>0.9615201545335279</v>
      </c>
      <c r="T241" s="63">
        <f t="shared" si="194"/>
        <v>0.92092489725177118</v>
      </c>
      <c r="U241" s="65">
        <f t="shared" si="195"/>
        <v>0.87844367386625888</v>
      </c>
      <c r="V241" s="62">
        <f t="shared" si="196"/>
        <v>0.83441193495052268</v>
      </c>
      <c r="W241" s="68">
        <f t="shared" si="197"/>
        <v>0.78923109156328608</v>
      </c>
      <c r="Y241" s="24"/>
      <c r="Z241" s="24"/>
      <c r="AA241" s="24"/>
      <c r="AB241" s="24"/>
      <c r="AC241" s="24">
        <f t="shared" si="177"/>
        <v>7.8479505239323635E-2</v>
      </c>
      <c r="AD241" s="24">
        <f t="shared" si="178"/>
        <v>8.2376790838137523E-2</v>
      </c>
      <c r="AE241" s="24">
        <f t="shared" si="179"/>
        <v>8.6402326446506028E-2</v>
      </c>
      <c r="AF241" s="24">
        <f t="shared" si="180"/>
        <v>9.0514035882946015E-2</v>
      </c>
      <c r="AG241" s="24">
        <f t="shared" si="181"/>
        <v>9.4678443722190517E-2</v>
      </c>
      <c r="AH241" s="24">
        <f t="shared" si="182"/>
        <v>9.8867938181056242E-2</v>
      </c>
      <c r="AL241" s="23">
        <f t="shared" si="166"/>
        <v>0</v>
      </c>
      <c r="AM241" s="23">
        <f t="shared" si="167"/>
        <v>0</v>
      </c>
      <c r="AN241" s="23">
        <f t="shared" si="168"/>
        <v>0</v>
      </c>
      <c r="AO241" s="23">
        <f t="shared" si="169"/>
        <v>0</v>
      </c>
      <c r="AP241" s="23">
        <f t="shared" si="170"/>
        <v>5190.8571304864408</v>
      </c>
      <c r="AQ241" s="23">
        <f t="shared" si="171"/>
        <v>7054.8766492624845</v>
      </c>
      <c r="AR241" s="23">
        <f t="shared" si="172"/>
        <v>8610.6286475829329</v>
      </c>
      <c r="AS241" s="23">
        <f t="shared" si="173"/>
        <v>10019.38266352278</v>
      </c>
      <c r="AT241" s="23">
        <f t="shared" si="174"/>
        <v>11254.579763206764</v>
      </c>
      <c r="AU241" s="23">
        <f t="shared" si="175"/>
        <v>12298.418479825425</v>
      </c>
      <c r="AW241" s="25"/>
      <c r="AX241" s="25"/>
      <c r="AY241" s="25"/>
      <c r="AZ241" s="25"/>
      <c r="BA241" s="25">
        <f t="shared" si="184"/>
        <v>54428.743333886829</v>
      </c>
      <c r="BB241" s="25">
        <f t="shared" si="185"/>
        <v>49237.886203400383</v>
      </c>
      <c r="BC241" s="25">
        <f t="shared" si="186"/>
        <v>42183.009554137898</v>
      </c>
      <c r="BD241" s="25">
        <f t="shared" si="187"/>
        <v>33572.380906554972</v>
      </c>
      <c r="BE241" s="25">
        <f t="shared" si="188"/>
        <v>23552.998243032191</v>
      </c>
      <c r="BF241" s="25">
        <f t="shared" si="189"/>
        <v>12298.418479825425</v>
      </c>
      <c r="BG241" s="25">
        <f t="shared" si="190"/>
        <v>0</v>
      </c>
      <c r="BI241" s="25"/>
      <c r="BJ241" s="25"/>
      <c r="BK241" s="25"/>
      <c r="BL241" s="25"/>
      <c r="BM241" s="25">
        <f t="shared" si="198"/>
        <v>54428.743333886829</v>
      </c>
      <c r="BN241" s="25">
        <f t="shared" si="199"/>
        <v>49237.886203400383</v>
      </c>
      <c r="BO241" s="25">
        <f t="shared" si="200"/>
        <v>42183.009554137898</v>
      </c>
      <c r="BP241" s="25">
        <f t="shared" si="201"/>
        <v>33572.380906554972</v>
      </c>
      <c r="BQ241" s="25">
        <f t="shared" si="202"/>
        <v>23552.998243032191</v>
      </c>
      <c r="BR241" s="25">
        <f t="shared" si="203"/>
        <v>12298.418479825425</v>
      </c>
      <c r="BS241" s="25">
        <f t="shared" si="204"/>
        <v>0</v>
      </c>
    </row>
    <row r="242" spans="1:71" x14ac:dyDescent="0.2">
      <c r="A242" s="29">
        <f t="shared" si="191"/>
        <v>2.3399999999999941</v>
      </c>
      <c r="B242" s="30">
        <v>6.101531314577089E-2</v>
      </c>
      <c r="C242" s="30">
        <v>6.4097540945413922E-2</v>
      </c>
      <c r="D242" s="30">
        <v>6.7178773407747763E-2</v>
      </c>
      <c r="E242" s="30">
        <v>7.043695587801907E-2</v>
      </c>
      <c r="F242" s="30">
        <v>7.3946409493767559E-2</v>
      </c>
      <c r="G242" s="30">
        <v>7.7685736709541986E-2</v>
      </c>
      <c r="H242" s="30">
        <v>8.160247145775075E-2</v>
      </c>
      <c r="I242" s="30">
        <v>8.5645405185277107E-2</v>
      </c>
      <c r="J242" s="30">
        <v>8.9772671093321696E-2</v>
      </c>
      <c r="K242" s="30">
        <v>9.3950947598475332E-2</v>
      </c>
      <c r="L242" s="30">
        <v>9.8152731993162115E-2</v>
      </c>
      <c r="N242" s="1"/>
      <c r="O242" s="1"/>
      <c r="P242" s="1"/>
      <c r="Q242" s="1"/>
      <c r="R242" s="1">
        <f t="shared" si="192"/>
        <v>0.9637019576409781</v>
      </c>
      <c r="S242" s="1">
        <f t="shared" si="193"/>
        <v>0.9619018424911997</v>
      </c>
      <c r="T242" s="63">
        <f t="shared" si="194"/>
        <v>0.92163826339856758</v>
      </c>
      <c r="U242" s="65">
        <f t="shared" si="195"/>
        <v>0.87944160931828907</v>
      </c>
      <c r="V242" s="62">
        <f t="shared" si="196"/>
        <v>0.83565005988314867</v>
      </c>
      <c r="W242" s="68">
        <f t="shared" si="197"/>
        <v>0.79066780407029846</v>
      </c>
      <c r="Y242" s="24"/>
      <c r="Z242" s="24"/>
      <c r="AA242" s="24"/>
      <c r="AB242" s="24"/>
      <c r="AC242" s="24">
        <f t="shared" si="177"/>
        <v>7.7685736709541986E-2</v>
      </c>
      <c r="AD242" s="24">
        <f t="shared" si="178"/>
        <v>8.160247145775075E-2</v>
      </c>
      <c r="AE242" s="24">
        <f t="shared" si="179"/>
        <v>8.5645405185277107E-2</v>
      </c>
      <c r="AF242" s="24">
        <f t="shared" si="180"/>
        <v>8.9772671093321696E-2</v>
      </c>
      <c r="AG242" s="24">
        <f t="shared" si="181"/>
        <v>9.3950947598475332E-2</v>
      </c>
      <c r="AH242" s="24">
        <f t="shared" si="182"/>
        <v>9.8152731993162115E-2</v>
      </c>
      <c r="AL242" s="23">
        <f t="shared" si="166"/>
        <v>0</v>
      </c>
      <c r="AM242" s="23">
        <f t="shared" si="167"/>
        <v>0</v>
      </c>
      <c r="AN242" s="23">
        <f t="shared" si="168"/>
        <v>0</v>
      </c>
      <c r="AO242" s="23">
        <f t="shared" si="169"/>
        <v>0</v>
      </c>
      <c r="AP242" s="23">
        <f t="shared" si="170"/>
        <v>4810.4959763542611</v>
      </c>
      <c r="AQ242" s="23">
        <f t="shared" si="171"/>
        <v>6685.2675551654202</v>
      </c>
      <c r="AR242" s="23">
        <f t="shared" si="172"/>
        <v>8268.4948078636935</v>
      </c>
      <c r="AS242" s="23">
        <f t="shared" si="173"/>
        <v>9704.7714277248233</v>
      </c>
      <c r="AT242" s="23">
        <f t="shared" si="174"/>
        <v>10967.313549490496</v>
      </c>
      <c r="AU242" s="23">
        <f t="shared" si="175"/>
        <v>12038.061209026882</v>
      </c>
      <c r="AW242" s="25"/>
      <c r="AX242" s="25"/>
      <c r="AY242" s="25"/>
      <c r="AZ242" s="25"/>
      <c r="BA242" s="25">
        <f t="shared" si="184"/>
        <v>52474.404525625578</v>
      </c>
      <c r="BB242" s="25">
        <f t="shared" si="185"/>
        <v>47663.90854927132</v>
      </c>
      <c r="BC242" s="25">
        <f t="shared" si="186"/>
        <v>40978.640994105896</v>
      </c>
      <c r="BD242" s="25">
        <f t="shared" si="187"/>
        <v>32710.1461862422</v>
      </c>
      <c r="BE242" s="25">
        <f t="shared" si="188"/>
        <v>23005.374758517377</v>
      </c>
      <c r="BF242" s="25">
        <f t="shared" si="189"/>
        <v>12038.061209026882</v>
      </c>
      <c r="BG242" s="25">
        <f t="shared" si="190"/>
        <v>0</v>
      </c>
      <c r="BI242" s="25"/>
      <c r="BJ242" s="25"/>
      <c r="BK242" s="25"/>
      <c r="BL242" s="25"/>
      <c r="BM242" s="25">
        <f t="shared" si="198"/>
        <v>52474.404525625578</v>
      </c>
      <c r="BN242" s="25">
        <f t="shared" si="199"/>
        <v>47663.90854927132</v>
      </c>
      <c r="BO242" s="25">
        <f t="shared" si="200"/>
        <v>40978.640994105896</v>
      </c>
      <c r="BP242" s="25">
        <f t="shared" si="201"/>
        <v>32710.1461862422</v>
      </c>
      <c r="BQ242" s="25">
        <f t="shared" si="202"/>
        <v>23005.374758517377</v>
      </c>
      <c r="BR242" s="25">
        <f t="shared" si="203"/>
        <v>12038.061209026882</v>
      </c>
      <c r="BS242" s="25">
        <f t="shared" si="204"/>
        <v>0</v>
      </c>
    </row>
    <row r="243" spans="1:71" x14ac:dyDescent="0.2">
      <c r="A243" s="29">
        <f t="shared" si="191"/>
        <v>2.3499999999999939</v>
      </c>
      <c r="B243" s="30">
        <v>5.9786560114621634E-2</v>
      </c>
      <c r="C243" s="30">
        <v>6.2773752102105174E-2</v>
      </c>
      <c r="D243" s="30">
        <v>6.5775434378998646E-2</v>
      </c>
      <c r="E243" s="30">
        <v>6.8966989850571397E-2</v>
      </c>
      <c r="F243" s="30">
        <v>7.242033249681748E-2</v>
      </c>
      <c r="G243" s="30">
        <v>7.6112948291767998E-2</v>
      </c>
      <c r="H243" s="30">
        <v>7.9991899333511141E-2</v>
      </c>
      <c r="I243" s="30">
        <v>8.4005665448541156E-2</v>
      </c>
      <c r="J243" s="30">
        <v>8.8112051173944855E-2</v>
      </c>
      <c r="K243" s="30">
        <v>9.2277350936864802E-2</v>
      </c>
      <c r="L243" s="30">
        <v>9.6473633639657247E-2</v>
      </c>
      <c r="N243" s="1"/>
      <c r="O243" s="1"/>
      <c r="P243" s="1"/>
      <c r="Q243" s="1"/>
      <c r="R243" s="1">
        <f t="shared" si="192"/>
        <v>0.96443757995409485</v>
      </c>
      <c r="S243" s="1">
        <f t="shared" si="193"/>
        <v>0.96265857403530652</v>
      </c>
      <c r="T243" s="63">
        <f t="shared" si="194"/>
        <v>0.92312382427457618</v>
      </c>
      <c r="U243" s="65">
        <f t="shared" si="195"/>
        <v>0.88160735469992924</v>
      </c>
      <c r="V243" s="62">
        <f t="shared" si="196"/>
        <v>0.83843006813493104</v>
      </c>
      <c r="W243" s="68">
        <f t="shared" si="197"/>
        <v>0.79398288185644528</v>
      </c>
      <c r="Y243" s="24"/>
      <c r="Z243" s="24"/>
      <c r="AA243" s="24"/>
      <c r="AB243" s="24"/>
      <c r="AC243" s="24">
        <f t="shared" si="177"/>
        <v>7.6112948291767998E-2</v>
      </c>
      <c r="AD243" s="24">
        <f t="shared" si="178"/>
        <v>7.9991899333511141E-2</v>
      </c>
      <c r="AE243" s="24">
        <f t="shared" si="179"/>
        <v>8.4005665448541156E-2</v>
      </c>
      <c r="AF243" s="24">
        <f t="shared" si="180"/>
        <v>8.8112051173944855E-2</v>
      </c>
      <c r="AG243" s="24">
        <f t="shared" si="181"/>
        <v>9.2277350936864802E-2</v>
      </c>
      <c r="AH243" s="24">
        <f t="shared" si="182"/>
        <v>9.6473633639657247E-2</v>
      </c>
      <c r="AL243" s="23">
        <f t="shared" si="166"/>
        <v>0</v>
      </c>
      <c r="AM243" s="23">
        <f t="shared" si="167"/>
        <v>0</v>
      </c>
      <c r="AN243" s="23">
        <f t="shared" si="168"/>
        <v>0</v>
      </c>
      <c r="AO243" s="23">
        <f t="shared" si="169"/>
        <v>0</v>
      </c>
      <c r="AP243" s="23">
        <f t="shared" si="170"/>
        <v>4055.7398430304702</v>
      </c>
      <c r="AQ243" s="23">
        <f t="shared" si="171"/>
        <v>5915.3113462845868</v>
      </c>
      <c r="AR243" s="23">
        <f t="shared" si="172"/>
        <v>7524.981136575223</v>
      </c>
      <c r="AS243" s="23">
        <f t="shared" si="173"/>
        <v>8996.6633890622179</v>
      </c>
      <c r="AT243" s="23">
        <f t="shared" si="174"/>
        <v>10302.202301895064</v>
      </c>
      <c r="AU243" s="23">
        <f t="shared" si="175"/>
        <v>11421.946196807257</v>
      </c>
      <c r="AW243" s="25"/>
      <c r="AX243" s="25"/>
      <c r="AY243" s="25"/>
      <c r="AZ243" s="25"/>
      <c r="BA243" s="25">
        <f t="shared" si="184"/>
        <v>48216.844213654818</v>
      </c>
      <c r="BB243" s="25">
        <f t="shared" si="185"/>
        <v>44161.104370624351</v>
      </c>
      <c r="BC243" s="25">
        <f t="shared" si="186"/>
        <v>38245.793024339764</v>
      </c>
      <c r="BD243" s="25">
        <f t="shared" si="187"/>
        <v>30720.811887764539</v>
      </c>
      <c r="BE243" s="25">
        <f t="shared" si="188"/>
        <v>21724.148498702321</v>
      </c>
      <c r="BF243" s="25">
        <f t="shared" si="189"/>
        <v>11421.946196807257</v>
      </c>
      <c r="BG243" s="25">
        <f t="shared" si="190"/>
        <v>0</v>
      </c>
      <c r="BI243" s="25"/>
      <c r="BJ243" s="25"/>
      <c r="BK243" s="25"/>
      <c r="BL243" s="25"/>
      <c r="BM243" s="25">
        <f t="shared" si="198"/>
        <v>48216.844213654818</v>
      </c>
      <c r="BN243" s="25">
        <f t="shared" si="199"/>
        <v>44161.104370624351</v>
      </c>
      <c r="BO243" s="25">
        <f t="shared" si="200"/>
        <v>38245.793024339764</v>
      </c>
      <c r="BP243" s="25">
        <f t="shared" si="201"/>
        <v>30720.811887764539</v>
      </c>
      <c r="BQ243" s="25">
        <f t="shared" si="202"/>
        <v>21724.148498702321</v>
      </c>
      <c r="BR243" s="25">
        <f t="shared" si="203"/>
        <v>11421.946196807257</v>
      </c>
      <c r="BS243" s="25">
        <f t="shared" si="204"/>
        <v>0</v>
      </c>
    </row>
    <row r="244" spans="1:71" x14ac:dyDescent="0.2">
      <c r="A244" s="29">
        <f t="shared" si="191"/>
        <v>2.3599999999999937</v>
      </c>
      <c r="B244" s="30">
        <v>6.0215957357083322E-2</v>
      </c>
      <c r="C244" s="30">
        <v>6.320587166743187E-2</v>
      </c>
      <c r="D244" s="30">
        <v>6.6208797398989994E-2</v>
      </c>
      <c r="E244" s="30">
        <v>6.939833007552261E-2</v>
      </c>
      <c r="F244" s="30">
        <v>7.2844774285842975E-2</v>
      </c>
      <c r="G244" s="30">
        <v>7.652528436921277E-2</v>
      </c>
      <c r="H244" s="30">
        <v>8.0387225746502852E-2</v>
      </c>
      <c r="I244" s="30">
        <v>8.4379538235768298E-2</v>
      </c>
      <c r="J244" s="30">
        <v>8.846046855629966E-2</v>
      </c>
      <c r="K244" s="30">
        <v>9.2596698210603137E-2</v>
      </c>
      <c r="L244" s="30">
        <v>9.6760639139514978E-2</v>
      </c>
      <c r="N244" s="1"/>
      <c r="O244" s="1"/>
      <c r="P244" s="1"/>
      <c r="Q244" s="1"/>
      <c r="R244" s="1">
        <f t="shared" si="192"/>
        <v>0.96423292786466819</v>
      </c>
      <c r="S244" s="1">
        <f t="shared" si="193"/>
        <v>0.96246012506275902</v>
      </c>
      <c r="T244" s="63">
        <f t="shared" si="194"/>
        <v>0.92275896116914169</v>
      </c>
      <c r="U244" s="65">
        <f t="shared" si="195"/>
        <v>0.88111307981141884</v>
      </c>
      <c r="V244" s="62">
        <f t="shared" si="196"/>
        <v>0.83784602443028888</v>
      </c>
      <c r="W244" s="68">
        <f t="shared" si="197"/>
        <v>0.79334924415640229</v>
      </c>
      <c r="Y244" s="24"/>
      <c r="Z244" s="24"/>
      <c r="AA244" s="24"/>
      <c r="AB244" s="24"/>
      <c r="AC244" s="24">
        <f t="shared" si="177"/>
        <v>7.652528436921277E-2</v>
      </c>
      <c r="AD244" s="24">
        <f t="shared" si="178"/>
        <v>8.0387225746502852E-2</v>
      </c>
      <c r="AE244" s="24">
        <f t="shared" si="179"/>
        <v>8.4379538235768298E-2</v>
      </c>
      <c r="AF244" s="24">
        <f t="shared" si="180"/>
        <v>8.846046855629966E-2</v>
      </c>
      <c r="AG244" s="24">
        <f t="shared" si="181"/>
        <v>9.2596698210603137E-2</v>
      </c>
      <c r="AH244" s="24">
        <f t="shared" si="182"/>
        <v>9.6760639139514978E-2</v>
      </c>
      <c r="AL244" s="23">
        <f t="shared" si="166"/>
        <v>0</v>
      </c>
      <c r="AM244" s="23">
        <f t="shared" si="167"/>
        <v>0</v>
      </c>
      <c r="AN244" s="23">
        <f t="shared" si="168"/>
        <v>0</v>
      </c>
      <c r="AO244" s="23">
        <f t="shared" si="169"/>
        <v>0</v>
      </c>
      <c r="AP244" s="23">
        <f t="shared" si="170"/>
        <v>4253.6732332266283</v>
      </c>
      <c r="AQ244" s="23">
        <f t="shared" si="171"/>
        <v>6104.3348782974836</v>
      </c>
      <c r="AR244" s="23">
        <f t="shared" si="172"/>
        <v>7694.5041330859685</v>
      </c>
      <c r="AS244" s="23">
        <f t="shared" si="173"/>
        <v>9145.1169485420269</v>
      </c>
      <c r="AT244" s="23">
        <f t="shared" si="174"/>
        <v>10428.807791719248</v>
      </c>
      <c r="AU244" s="23">
        <f t="shared" si="175"/>
        <v>11526.678715709504</v>
      </c>
      <c r="AW244" s="25"/>
      <c r="AX244" s="25"/>
      <c r="AY244" s="25"/>
      <c r="AZ244" s="25"/>
      <c r="BA244" s="25">
        <f t="shared" si="184"/>
        <v>49153.115700580856</v>
      </c>
      <c r="BB244" s="25">
        <f t="shared" si="185"/>
        <v>44899.442467354231</v>
      </c>
      <c r="BC244" s="25">
        <f t="shared" si="186"/>
        <v>38795.107589056744</v>
      </c>
      <c r="BD244" s="25">
        <f t="shared" si="187"/>
        <v>31100.603455970777</v>
      </c>
      <c r="BE244" s="25">
        <f t="shared" si="188"/>
        <v>21955.486507428752</v>
      </c>
      <c r="BF244" s="25">
        <f t="shared" si="189"/>
        <v>11526.678715709504</v>
      </c>
      <c r="BG244" s="25">
        <f t="shared" si="190"/>
        <v>0</v>
      </c>
      <c r="BI244" s="25"/>
      <c r="BJ244" s="25"/>
      <c r="BK244" s="25"/>
      <c r="BL244" s="25"/>
      <c r="BM244" s="25">
        <f t="shared" si="198"/>
        <v>49153.115700580856</v>
      </c>
      <c r="BN244" s="25">
        <f t="shared" si="199"/>
        <v>44899.442467354231</v>
      </c>
      <c r="BO244" s="25">
        <f t="shared" si="200"/>
        <v>38795.107589056744</v>
      </c>
      <c r="BP244" s="25">
        <f t="shared" si="201"/>
        <v>31100.603455970777</v>
      </c>
      <c r="BQ244" s="25">
        <f t="shared" si="202"/>
        <v>21955.486507428752</v>
      </c>
      <c r="BR244" s="25">
        <f t="shared" si="203"/>
        <v>11526.678715709504</v>
      </c>
      <c r="BS244" s="25">
        <f t="shared" si="204"/>
        <v>0</v>
      </c>
    </row>
    <row r="245" spans="1:71" x14ac:dyDescent="0.2">
      <c r="A245" s="29">
        <f t="shared" si="191"/>
        <v>2.3699999999999934</v>
      </c>
      <c r="B245" s="30">
        <v>5.9867346489750221E-2</v>
      </c>
      <c r="C245" s="30">
        <v>6.2851604991663895E-2</v>
      </c>
      <c r="D245" s="30">
        <v>6.5856961611127196E-2</v>
      </c>
      <c r="E245" s="30">
        <v>6.9054708331806658E-2</v>
      </c>
      <c r="F245" s="30">
        <v>7.2513046188062494E-2</v>
      </c>
      <c r="G245" s="30">
        <v>7.620829086513764E-2</v>
      </c>
      <c r="H245" s="30">
        <v>8.0087594521660699E-2</v>
      </c>
      <c r="I245" s="30">
        <v>8.4099836892660013E-2</v>
      </c>
      <c r="J245" s="30">
        <v>8.8203186059092664E-2</v>
      </c>
      <c r="K245" s="30">
        <v>9.2364189999690344E-2</v>
      </c>
      <c r="L245" s="30">
        <v>9.6555083456471014E-2</v>
      </c>
      <c r="N245" s="1"/>
      <c r="O245" s="1"/>
      <c r="P245" s="1"/>
      <c r="Q245" s="1"/>
      <c r="R245" s="1">
        <f t="shared" si="192"/>
        <v>0.96439287270633989</v>
      </c>
      <c r="S245" s="1">
        <f t="shared" si="193"/>
        <v>0.96261268395627231</v>
      </c>
      <c r="T245" s="63">
        <f t="shared" si="194"/>
        <v>0.92303548999317708</v>
      </c>
      <c r="U245" s="65">
        <f t="shared" si="195"/>
        <v>0.8814828301385228</v>
      </c>
      <c r="V245" s="62">
        <f t="shared" si="196"/>
        <v>0.83827726160543181</v>
      </c>
      <c r="W245" s="68">
        <f t="shared" si="197"/>
        <v>0.79381052874245106</v>
      </c>
      <c r="Y245" s="24"/>
      <c r="Z245" s="24"/>
      <c r="AA245" s="24"/>
      <c r="AB245" s="24"/>
      <c r="AC245" s="24">
        <f t="shared" si="177"/>
        <v>7.620829086513764E-2</v>
      </c>
      <c r="AD245" s="24">
        <f t="shared" si="178"/>
        <v>8.0087594521660699E-2</v>
      </c>
      <c r="AE245" s="24">
        <f t="shared" si="179"/>
        <v>8.4099836892660013E-2</v>
      </c>
      <c r="AF245" s="24">
        <f t="shared" si="180"/>
        <v>8.8203186059092664E-2</v>
      </c>
      <c r="AG245" s="24">
        <f t="shared" si="181"/>
        <v>9.2364189999690344E-2</v>
      </c>
      <c r="AH245" s="24">
        <f t="shared" si="182"/>
        <v>9.6555083456471014E-2</v>
      </c>
      <c r="AL245" s="23">
        <f t="shared" si="166"/>
        <v>0</v>
      </c>
      <c r="AM245" s="23">
        <f t="shared" si="167"/>
        <v>0</v>
      </c>
      <c r="AN245" s="23">
        <f t="shared" si="168"/>
        <v>0</v>
      </c>
      <c r="AO245" s="23">
        <f t="shared" si="169"/>
        <v>0</v>
      </c>
      <c r="AP245" s="23">
        <f t="shared" si="170"/>
        <v>4101.5256851940021</v>
      </c>
      <c r="AQ245" s="23">
        <f t="shared" si="171"/>
        <v>5961.0880634560599</v>
      </c>
      <c r="AR245" s="23">
        <f t="shared" si="172"/>
        <v>7567.7228590765117</v>
      </c>
      <c r="AS245" s="23">
        <f t="shared" si="173"/>
        <v>9035.5595538826656</v>
      </c>
      <c r="AT245" s="23">
        <f t="shared" si="174"/>
        <v>10336.722298861721</v>
      </c>
      <c r="AU245" s="23">
        <f t="shared" si="175"/>
        <v>11451.794649270918</v>
      </c>
      <c r="AW245" s="25"/>
      <c r="AX245" s="25"/>
      <c r="AY245" s="25"/>
      <c r="AZ245" s="25"/>
      <c r="BA245" s="25">
        <f t="shared" si="184"/>
        <v>48454.413109741879</v>
      </c>
      <c r="BB245" s="25">
        <f t="shared" si="185"/>
        <v>44352.887424547873</v>
      </c>
      <c r="BC245" s="25">
        <f t="shared" si="186"/>
        <v>38391.799361091813</v>
      </c>
      <c r="BD245" s="25">
        <f t="shared" si="187"/>
        <v>30824.076502015305</v>
      </c>
      <c r="BE245" s="25">
        <f t="shared" si="188"/>
        <v>21788.516948132637</v>
      </c>
      <c r="BF245" s="25">
        <f t="shared" si="189"/>
        <v>11451.794649270918</v>
      </c>
      <c r="BG245" s="25">
        <f t="shared" si="190"/>
        <v>0</v>
      </c>
      <c r="BI245" s="25"/>
      <c r="BJ245" s="25"/>
      <c r="BK245" s="25"/>
      <c r="BL245" s="25"/>
      <c r="BM245" s="25">
        <f t="shared" si="198"/>
        <v>48454.413109741879</v>
      </c>
      <c r="BN245" s="25">
        <f t="shared" si="199"/>
        <v>44352.887424547873</v>
      </c>
      <c r="BO245" s="25">
        <f t="shared" si="200"/>
        <v>38391.799361091813</v>
      </c>
      <c r="BP245" s="25">
        <f t="shared" si="201"/>
        <v>30824.076502015305</v>
      </c>
      <c r="BQ245" s="25">
        <f t="shared" si="202"/>
        <v>21788.516948132637</v>
      </c>
      <c r="BR245" s="25">
        <f t="shared" si="203"/>
        <v>11451.794649270918</v>
      </c>
      <c r="BS245" s="25">
        <f t="shared" si="204"/>
        <v>0</v>
      </c>
    </row>
    <row r="246" spans="1:71" x14ac:dyDescent="0.2">
      <c r="A246" s="29">
        <f t="shared" si="191"/>
        <v>2.3799999999999932</v>
      </c>
      <c r="B246" s="30">
        <v>5.9678421333831735E-2</v>
      </c>
      <c r="C246" s="30">
        <v>6.2711578791967676E-2</v>
      </c>
      <c r="D246" s="30">
        <v>6.5763799816438789E-2</v>
      </c>
      <c r="E246" s="30">
        <v>6.9004543045384614E-2</v>
      </c>
      <c r="F246" s="30">
        <v>7.2500397451579546E-2</v>
      </c>
      <c r="G246" s="30">
        <v>7.6227318768941746E-2</v>
      </c>
      <c r="H246" s="30">
        <v>8.0132715152300402E-2</v>
      </c>
      <c r="I246" s="30">
        <v>8.4165872077409457E-2</v>
      </c>
      <c r="J246" s="30">
        <v>8.8285344084042205E-2</v>
      </c>
      <c r="K246" s="30">
        <v>9.2458010948513442E-2</v>
      </c>
      <c r="L246" s="30">
        <v>9.6656395895323127E-2</v>
      </c>
      <c r="N246" s="1"/>
      <c r="O246" s="1"/>
      <c r="P246" s="1"/>
      <c r="Q246" s="1"/>
      <c r="R246" s="1">
        <f t="shared" si="192"/>
        <v>0.9643989719012831</v>
      </c>
      <c r="S246" s="1">
        <f t="shared" si="193"/>
        <v>0.96260352574906238</v>
      </c>
      <c r="T246" s="63">
        <f t="shared" si="194"/>
        <v>0.92299384298934239</v>
      </c>
      <c r="U246" s="65">
        <f t="shared" si="195"/>
        <v>0.881395521140381</v>
      </c>
      <c r="V246" s="62">
        <f t="shared" si="196"/>
        <v>0.83813953051310897</v>
      </c>
      <c r="W246" s="68">
        <f t="shared" si="197"/>
        <v>0.7936243604339327</v>
      </c>
      <c r="Y246" s="24"/>
      <c r="Z246" s="24"/>
      <c r="AA246" s="24"/>
      <c r="AB246" s="24"/>
      <c r="AC246" s="24">
        <f t="shared" si="177"/>
        <v>7.6227318768941746E-2</v>
      </c>
      <c r="AD246" s="24">
        <f t="shared" si="178"/>
        <v>8.0132715152300402E-2</v>
      </c>
      <c r="AE246" s="24">
        <f t="shared" si="179"/>
        <v>8.4165872077409457E-2</v>
      </c>
      <c r="AF246" s="24">
        <f t="shared" si="180"/>
        <v>8.8285344084042205E-2</v>
      </c>
      <c r="AG246" s="24">
        <f t="shared" si="181"/>
        <v>9.2458010948513442E-2</v>
      </c>
      <c r="AH246" s="24">
        <f t="shared" si="182"/>
        <v>9.6656395895323127E-2</v>
      </c>
      <c r="AL246" s="23">
        <f t="shared" si="166"/>
        <v>0</v>
      </c>
      <c r="AM246" s="23">
        <f t="shared" si="167"/>
        <v>0</v>
      </c>
      <c r="AN246" s="23">
        <f t="shared" si="168"/>
        <v>0</v>
      </c>
      <c r="AO246" s="23">
        <f t="shared" si="169"/>
        <v>0</v>
      </c>
      <c r="AP246" s="23">
        <f t="shared" si="170"/>
        <v>4110.7268702678712</v>
      </c>
      <c r="AQ246" s="23">
        <f t="shared" si="171"/>
        <v>5982.7479892896235</v>
      </c>
      <c r="AR246" s="23">
        <f t="shared" si="172"/>
        <v>7597.8564408241427</v>
      </c>
      <c r="AS246" s="23">
        <f t="shared" si="173"/>
        <v>9070.8714585486341</v>
      </c>
      <c r="AT246" s="23">
        <f t="shared" si="174"/>
        <v>10374.341472021</v>
      </c>
      <c r="AU246" s="23">
        <f t="shared" si="175"/>
        <v>11489.310928400173</v>
      </c>
      <c r="AW246" s="25"/>
      <c r="AX246" s="25"/>
      <c r="AY246" s="25"/>
      <c r="AZ246" s="25"/>
      <c r="BA246" s="25">
        <f t="shared" si="184"/>
        <v>48625.855159351442</v>
      </c>
      <c r="BB246" s="25">
        <f t="shared" si="185"/>
        <v>44515.128289083572</v>
      </c>
      <c r="BC246" s="25">
        <f t="shared" si="186"/>
        <v>38532.380299793949</v>
      </c>
      <c r="BD246" s="25">
        <f t="shared" si="187"/>
        <v>30934.523858969809</v>
      </c>
      <c r="BE246" s="25">
        <f t="shared" si="188"/>
        <v>21863.652400421175</v>
      </c>
      <c r="BF246" s="25">
        <f t="shared" si="189"/>
        <v>11489.310928400173</v>
      </c>
      <c r="BG246" s="25">
        <f t="shared" si="190"/>
        <v>0</v>
      </c>
      <c r="BI246" s="25"/>
      <c r="BJ246" s="25"/>
      <c r="BK246" s="25"/>
      <c r="BL246" s="25"/>
      <c r="BM246" s="25">
        <f t="shared" si="198"/>
        <v>48625.855159351442</v>
      </c>
      <c r="BN246" s="25">
        <f t="shared" si="199"/>
        <v>44515.128289083572</v>
      </c>
      <c r="BO246" s="25">
        <f t="shared" si="200"/>
        <v>38532.380299793949</v>
      </c>
      <c r="BP246" s="25">
        <f t="shared" si="201"/>
        <v>30934.523858969809</v>
      </c>
      <c r="BQ246" s="25">
        <f t="shared" si="202"/>
        <v>21863.652400421175</v>
      </c>
      <c r="BR246" s="25">
        <f t="shared" si="203"/>
        <v>11489.310928400173</v>
      </c>
      <c r="BS246" s="25">
        <f t="shared" si="204"/>
        <v>0</v>
      </c>
    </row>
    <row r="247" spans="1:71" x14ac:dyDescent="0.2">
      <c r="A247" s="29">
        <f t="shared" si="191"/>
        <v>2.389999999999993</v>
      </c>
      <c r="B247" s="30">
        <v>5.8631450101413483E-2</v>
      </c>
      <c r="C247" s="30">
        <v>6.1930092346419427E-2</v>
      </c>
      <c r="D247" s="30">
        <v>6.522380676393473E-2</v>
      </c>
      <c r="E247" s="30">
        <v>6.8681066825589332E-2</v>
      </c>
      <c r="F247" s="30">
        <v>7.2367718238115636E-2</v>
      </c>
      <c r="G247" s="30">
        <v>7.6260212856396087E-2</v>
      </c>
      <c r="H247" s="30">
        <v>8.0307061579689573E-2</v>
      </c>
      <c r="I247" s="30">
        <v>8.4458798992176023E-2</v>
      </c>
      <c r="J247" s="30">
        <v>8.8675208752558854E-2</v>
      </c>
      <c r="K247" s="30">
        <v>9.2924345321772531E-2</v>
      </c>
      <c r="L247" s="30">
        <v>9.7179863651880277E-2</v>
      </c>
      <c r="N247" s="1"/>
      <c r="O247" s="1"/>
      <c r="P247" s="1"/>
      <c r="Q247" s="1"/>
      <c r="R247" s="1">
        <f t="shared" si="192"/>
        <v>0.96446295187199127</v>
      </c>
      <c r="S247" s="1">
        <f t="shared" si="193"/>
        <v>0.9625876938969764</v>
      </c>
      <c r="T247" s="63">
        <f t="shared" si="194"/>
        <v>0.92283293633747254</v>
      </c>
      <c r="U247" s="65">
        <f t="shared" si="195"/>
        <v>0.88100832950470376</v>
      </c>
      <c r="V247" s="62">
        <f t="shared" si="196"/>
        <v>0.83748626325156261</v>
      </c>
      <c r="W247" s="68">
        <f t="shared" si="197"/>
        <v>0.79269966376415524</v>
      </c>
      <c r="Y247" s="24"/>
      <c r="Z247" s="24"/>
      <c r="AA247" s="24"/>
      <c r="AB247" s="24"/>
      <c r="AC247" s="24">
        <f t="shared" si="177"/>
        <v>7.6260212856396087E-2</v>
      </c>
      <c r="AD247" s="24">
        <f t="shared" si="178"/>
        <v>8.0307061579689573E-2</v>
      </c>
      <c r="AE247" s="24">
        <f t="shared" si="179"/>
        <v>8.4458798992176023E-2</v>
      </c>
      <c r="AF247" s="24">
        <f t="shared" si="180"/>
        <v>8.8675208752558854E-2</v>
      </c>
      <c r="AG247" s="24">
        <f t="shared" si="181"/>
        <v>9.2924345321772531E-2</v>
      </c>
      <c r="AH247" s="24">
        <f t="shared" si="182"/>
        <v>9.7179863651880277E-2</v>
      </c>
      <c r="AL247" s="23">
        <f t="shared" si="166"/>
        <v>0</v>
      </c>
      <c r="AM247" s="23">
        <f t="shared" si="167"/>
        <v>0</v>
      </c>
      <c r="AN247" s="23">
        <f t="shared" si="168"/>
        <v>0</v>
      </c>
      <c r="AO247" s="23">
        <f t="shared" si="169"/>
        <v>0</v>
      </c>
      <c r="AP247" s="23">
        <f t="shared" si="170"/>
        <v>4126.8621476602402</v>
      </c>
      <c r="AQ247" s="23">
        <f t="shared" si="171"/>
        <v>6066.5614543208731</v>
      </c>
      <c r="AR247" s="23">
        <f t="shared" si="172"/>
        <v>7731.6931996091062</v>
      </c>
      <c r="AS247" s="23">
        <f t="shared" si="173"/>
        <v>9238.6236906347913</v>
      </c>
      <c r="AT247" s="23">
        <f t="shared" si="174"/>
        <v>10561.529762331462</v>
      </c>
      <c r="AU247" s="23">
        <f t="shared" si="175"/>
        <v>11683.400439129493</v>
      </c>
      <c r="AW247" s="25"/>
      <c r="AX247" s="25"/>
      <c r="AY247" s="25"/>
      <c r="AZ247" s="25"/>
      <c r="BA247" s="25">
        <f t="shared" si="184"/>
        <v>49408.67069368597</v>
      </c>
      <c r="BB247" s="25">
        <f t="shared" si="185"/>
        <v>45281.808546025728</v>
      </c>
      <c r="BC247" s="25">
        <f t="shared" si="186"/>
        <v>39215.247091704856</v>
      </c>
      <c r="BD247" s="25">
        <f t="shared" si="187"/>
        <v>31483.553892095748</v>
      </c>
      <c r="BE247" s="25">
        <f t="shared" si="188"/>
        <v>22244.930201460957</v>
      </c>
      <c r="BF247" s="25">
        <f t="shared" si="189"/>
        <v>11683.400439129493</v>
      </c>
      <c r="BG247" s="25">
        <f t="shared" si="190"/>
        <v>0</v>
      </c>
      <c r="BI247" s="25"/>
      <c r="BJ247" s="25"/>
      <c r="BK247" s="25"/>
      <c r="BL247" s="25"/>
      <c r="BM247" s="25">
        <f t="shared" si="198"/>
        <v>49408.67069368597</v>
      </c>
      <c r="BN247" s="25">
        <f t="shared" si="199"/>
        <v>45281.808546025728</v>
      </c>
      <c r="BO247" s="25">
        <f t="shared" si="200"/>
        <v>39215.247091704856</v>
      </c>
      <c r="BP247" s="25">
        <f t="shared" si="201"/>
        <v>31483.553892095748</v>
      </c>
      <c r="BQ247" s="25">
        <f t="shared" si="202"/>
        <v>22244.930201460957</v>
      </c>
      <c r="BR247" s="25">
        <f t="shared" si="203"/>
        <v>11683.400439129493</v>
      </c>
      <c r="BS247" s="25">
        <f t="shared" si="204"/>
        <v>0</v>
      </c>
    </row>
    <row r="248" spans="1:71" x14ac:dyDescent="0.2">
      <c r="A248" s="29">
        <f t="shared" si="191"/>
        <v>2.3999999999999928</v>
      </c>
      <c r="B248" s="30">
        <v>5.8465821129312701E-2</v>
      </c>
      <c r="C248" s="30">
        <v>6.1880057932121174E-2</v>
      </c>
      <c r="D248" s="30">
        <v>6.5283499144008564E-2</v>
      </c>
      <c r="E248" s="30">
        <v>6.8842887670705954E-2</v>
      </c>
      <c r="F248" s="30">
        <v>7.262260050324526E-2</v>
      </c>
      <c r="G248" s="30">
        <v>7.6598847512543922E-2</v>
      </c>
      <c r="H248" s="30">
        <v>8.072049503217181E-2</v>
      </c>
      <c r="I248" s="30">
        <v>8.4938576117546308E-2</v>
      </c>
      <c r="J248" s="30">
        <v>8.9213352220216161E-2</v>
      </c>
      <c r="K248" s="30">
        <v>9.3513301389195752E-2</v>
      </c>
      <c r="L248" s="30">
        <v>9.7812459563717924E-2</v>
      </c>
      <c r="N248" s="1"/>
      <c r="O248" s="1"/>
      <c r="P248" s="1"/>
      <c r="Q248" s="1"/>
      <c r="R248" s="1">
        <f t="shared" si="192"/>
        <v>0.96434004745279345</v>
      </c>
      <c r="S248" s="1">
        <f t="shared" si="193"/>
        <v>0.96242472491773423</v>
      </c>
      <c r="T248" s="63">
        <f t="shared" si="194"/>
        <v>0.92245148518830433</v>
      </c>
      <c r="U248" s="65">
        <f t="shared" si="195"/>
        <v>0.88037452612969413</v>
      </c>
      <c r="V248" s="62">
        <f t="shared" si="196"/>
        <v>0.83658537262329169</v>
      </c>
      <c r="W248" s="68">
        <f t="shared" si="197"/>
        <v>0.79153335941084701</v>
      </c>
      <c r="Y248" s="24"/>
      <c r="Z248" s="24"/>
      <c r="AA248" s="24"/>
      <c r="AB248" s="24"/>
      <c r="AC248" s="24">
        <f t="shared" si="177"/>
        <v>7.6598847512543922E-2</v>
      </c>
      <c r="AD248" s="24">
        <f t="shared" si="178"/>
        <v>8.072049503217181E-2</v>
      </c>
      <c r="AE248" s="24">
        <f t="shared" si="179"/>
        <v>8.4938576117546308E-2</v>
      </c>
      <c r="AF248" s="24">
        <f t="shared" si="180"/>
        <v>8.9213352220216161E-2</v>
      </c>
      <c r="AG248" s="24">
        <f t="shared" si="181"/>
        <v>9.3513301389195752E-2</v>
      </c>
      <c r="AH248" s="24">
        <f t="shared" si="182"/>
        <v>9.7812459563717924E-2</v>
      </c>
      <c r="AL248" s="23">
        <f t="shared" si="166"/>
        <v>0</v>
      </c>
      <c r="AM248" s="23">
        <f t="shared" si="167"/>
        <v>0</v>
      </c>
      <c r="AN248" s="23">
        <f t="shared" si="168"/>
        <v>0</v>
      </c>
      <c r="AO248" s="23">
        <f t="shared" si="169"/>
        <v>0</v>
      </c>
      <c r="AP248" s="23">
        <f t="shared" si="170"/>
        <v>4289.6157293748456</v>
      </c>
      <c r="AQ248" s="23">
        <f t="shared" si="171"/>
        <v>6264.4836556876025</v>
      </c>
      <c r="AR248" s="23">
        <f t="shared" si="172"/>
        <v>7949.7828806120115</v>
      </c>
      <c r="AS248" s="23">
        <f t="shared" si="173"/>
        <v>9468.861262178265</v>
      </c>
      <c r="AT248" s="23">
        <f t="shared" si="174"/>
        <v>10796.524656403366</v>
      </c>
      <c r="AU248" s="23">
        <f t="shared" si="175"/>
        <v>11916.570957010999</v>
      </c>
      <c r="AW248" s="25"/>
      <c r="AX248" s="25"/>
      <c r="AY248" s="25"/>
      <c r="AZ248" s="25"/>
      <c r="BA248" s="25">
        <f t="shared" si="184"/>
        <v>50685.83914126709</v>
      </c>
      <c r="BB248" s="25">
        <f t="shared" si="185"/>
        <v>46396.223411892242</v>
      </c>
      <c r="BC248" s="25">
        <f t="shared" si="186"/>
        <v>40131.739756204639</v>
      </c>
      <c r="BD248" s="25">
        <f t="shared" si="187"/>
        <v>32181.95687559263</v>
      </c>
      <c r="BE248" s="25">
        <f t="shared" si="188"/>
        <v>22713.095613414363</v>
      </c>
      <c r="BF248" s="25">
        <f t="shared" si="189"/>
        <v>11916.570957010999</v>
      </c>
      <c r="BG248" s="25">
        <f t="shared" si="190"/>
        <v>0</v>
      </c>
      <c r="BI248" s="25"/>
      <c r="BJ248" s="25"/>
      <c r="BK248" s="25"/>
      <c r="BL248" s="25"/>
      <c r="BM248" s="25">
        <f t="shared" si="198"/>
        <v>50685.83914126709</v>
      </c>
      <c r="BN248" s="25">
        <f t="shared" si="199"/>
        <v>46396.223411892242</v>
      </c>
      <c r="BO248" s="25">
        <f t="shared" si="200"/>
        <v>40131.739756204639</v>
      </c>
      <c r="BP248" s="25">
        <f t="shared" si="201"/>
        <v>32181.95687559263</v>
      </c>
      <c r="BQ248" s="25">
        <f t="shared" si="202"/>
        <v>22713.095613414363</v>
      </c>
      <c r="BR248" s="25">
        <f t="shared" si="203"/>
        <v>11916.570957010999</v>
      </c>
      <c r="BS248" s="25">
        <f t="shared" si="204"/>
        <v>0</v>
      </c>
    </row>
    <row r="249" spans="1:71" x14ac:dyDescent="0.2">
      <c r="A249" s="29">
        <f t="shared" si="191"/>
        <v>2.4099999999999926</v>
      </c>
      <c r="B249" s="30">
        <v>5.7743524030794011E-2</v>
      </c>
      <c r="C249" s="30">
        <v>6.1306607899735306E-2</v>
      </c>
      <c r="D249" s="30">
        <v>6.4849289616624672E-2</v>
      </c>
      <c r="E249" s="30">
        <v>6.8536734956163761E-2</v>
      </c>
      <c r="F249" s="30">
        <v>7.2432024926184155E-2</v>
      </c>
      <c r="G249" s="30">
        <v>7.6511287559869343E-2</v>
      </c>
      <c r="H249" s="30">
        <v>8.0723895683704125E-2</v>
      </c>
      <c r="I249" s="30">
        <v>8.5021528608641025E-2</v>
      </c>
      <c r="J249" s="30">
        <v>8.9365072692844244E-2</v>
      </c>
      <c r="K249" s="30">
        <v>9.3723576919255369E-2</v>
      </c>
      <c r="L249" s="30">
        <v>9.8071605914371265E-2</v>
      </c>
      <c r="N249" s="1"/>
      <c r="O249" s="1"/>
      <c r="P249" s="1"/>
      <c r="Q249" s="1"/>
      <c r="R249" s="1">
        <f t="shared" si="192"/>
        <v>0.96443194166143509</v>
      </c>
      <c r="S249" s="1">
        <f t="shared" si="193"/>
        <v>0.96246686077176424</v>
      </c>
      <c r="T249" s="63">
        <f t="shared" si="194"/>
        <v>0.9224483482575816</v>
      </c>
      <c r="U249" s="65">
        <f t="shared" si="195"/>
        <v>0.88026498905455719</v>
      </c>
      <c r="V249" s="62">
        <f t="shared" si="196"/>
        <v>0.83633155687802774</v>
      </c>
      <c r="W249" s="68">
        <f t="shared" si="197"/>
        <v>0.7911173685195334</v>
      </c>
      <c r="Y249" s="24"/>
      <c r="Z249" s="24"/>
      <c r="AA249" s="24"/>
      <c r="AB249" s="24"/>
      <c r="AC249" s="24">
        <f t="shared" si="177"/>
        <v>7.6511287559869343E-2</v>
      </c>
      <c r="AD249" s="24">
        <f t="shared" si="178"/>
        <v>8.0723895683704125E-2</v>
      </c>
      <c r="AE249" s="24">
        <f t="shared" si="179"/>
        <v>8.5021528608641025E-2</v>
      </c>
      <c r="AF249" s="24">
        <f t="shared" si="180"/>
        <v>8.9365072692844244E-2</v>
      </c>
      <c r="AG249" s="24">
        <f t="shared" si="181"/>
        <v>9.3723576919255369E-2</v>
      </c>
      <c r="AH249" s="24">
        <f t="shared" si="182"/>
        <v>9.8071605914371265E-2</v>
      </c>
      <c r="AL249" s="23">
        <f t="shared" si="166"/>
        <v>0</v>
      </c>
      <c r="AM249" s="23">
        <f t="shared" si="167"/>
        <v>0</v>
      </c>
      <c r="AN249" s="23">
        <f t="shared" si="168"/>
        <v>0</v>
      </c>
      <c r="AO249" s="23">
        <f t="shared" si="169"/>
        <v>0</v>
      </c>
      <c r="AP249" s="23">
        <f t="shared" si="170"/>
        <v>4247.8016892614442</v>
      </c>
      <c r="AQ249" s="23">
        <f t="shared" si="171"/>
        <v>6266.3944278398703</v>
      </c>
      <c r="AR249" s="23">
        <f t="shared" si="172"/>
        <v>7988.0155404137322</v>
      </c>
      <c r="AS249" s="23">
        <f t="shared" si="173"/>
        <v>9534.4602471204616</v>
      </c>
      <c r="AT249" s="23">
        <f t="shared" si="174"/>
        <v>10881.17907647253</v>
      </c>
      <c r="AU249" s="23">
        <f t="shared" si="175"/>
        <v>12012.81578459616</v>
      </c>
      <c r="AW249" s="25"/>
      <c r="AX249" s="25"/>
      <c r="AY249" s="25"/>
      <c r="AZ249" s="25"/>
      <c r="BA249" s="25">
        <f t="shared" si="184"/>
        <v>50930.666765704198</v>
      </c>
      <c r="BB249" s="25">
        <f t="shared" si="185"/>
        <v>46682.865076442758</v>
      </c>
      <c r="BC249" s="25">
        <f t="shared" si="186"/>
        <v>40416.470648602881</v>
      </c>
      <c r="BD249" s="25">
        <f t="shared" si="187"/>
        <v>32428.455108189155</v>
      </c>
      <c r="BE249" s="25">
        <f t="shared" si="188"/>
        <v>22893.994861068692</v>
      </c>
      <c r="BF249" s="25">
        <f t="shared" si="189"/>
        <v>12012.81578459616</v>
      </c>
      <c r="BG249" s="25">
        <f t="shared" si="190"/>
        <v>0</v>
      </c>
      <c r="BI249" s="25"/>
      <c r="BJ249" s="25"/>
      <c r="BK249" s="25"/>
      <c r="BL249" s="25"/>
      <c r="BM249" s="25">
        <f t="shared" si="198"/>
        <v>50930.666765704198</v>
      </c>
      <c r="BN249" s="25">
        <f t="shared" si="199"/>
        <v>46682.865076442758</v>
      </c>
      <c r="BO249" s="25">
        <f t="shared" si="200"/>
        <v>40416.470648602881</v>
      </c>
      <c r="BP249" s="25">
        <f t="shared" si="201"/>
        <v>32428.455108189155</v>
      </c>
      <c r="BQ249" s="25">
        <f t="shared" si="202"/>
        <v>22893.994861068692</v>
      </c>
      <c r="BR249" s="25">
        <f t="shared" si="203"/>
        <v>12012.81578459616</v>
      </c>
      <c r="BS249" s="25">
        <f t="shared" si="204"/>
        <v>0</v>
      </c>
    </row>
    <row r="250" spans="1:71" x14ac:dyDescent="0.2">
      <c r="A250" s="29">
        <f t="shared" si="191"/>
        <v>2.4199999999999924</v>
      </c>
      <c r="B250" s="30">
        <v>6.0012351339881954E-2</v>
      </c>
      <c r="C250" s="30">
        <v>6.3617547805678645E-2</v>
      </c>
      <c r="D250" s="30">
        <v>6.7194768350647929E-2</v>
      </c>
      <c r="E250" s="30">
        <v>7.0907677239237771E-2</v>
      </c>
      <c r="F250" s="30">
        <v>7.481815377680788E-2</v>
      </c>
      <c r="G250" s="30">
        <v>7.8902325923239827E-2</v>
      </c>
      <c r="H250" s="30">
        <v>8.311014579100498E-2</v>
      </c>
      <c r="I250" s="30">
        <v>8.7394008517431648E-2</v>
      </c>
      <c r="J250" s="30">
        <v>9.1715494285664917E-2</v>
      </c>
      <c r="K250" s="30">
        <v>9.6044292165459372E-2</v>
      </c>
      <c r="L250" s="30">
        <v>0.10035556497580973</v>
      </c>
      <c r="N250" s="1"/>
      <c r="O250" s="1"/>
      <c r="P250" s="1"/>
      <c r="Q250" s="1"/>
      <c r="R250" s="1">
        <f t="shared" si="192"/>
        <v>0.9632819983358436</v>
      </c>
      <c r="S250" s="1">
        <f t="shared" si="193"/>
        <v>0.96131690071459508</v>
      </c>
      <c r="T250" s="63">
        <f t="shared" si="194"/>
        <v>0.92024977999770075</v>
      </c>
      <c r="U250" s="65">
        <f t="shared" si="195"/>
        <v>0.87713793999914025</v>
      </c>
      <c r="V250" s="62">
        <f t="shared" si="196"/>
        <v>0.83240931951211139</v>
      </c>
      <c r="W250" s="68">
        <f t="shared" si="197"/>
        <v>0.78654076226044256</v>
      </c>
      <c r="Y250" s="24"/>
      <c r="Z250" s="24"/>
      <c r="AA250" s="24"/>
      <c r="AB250" s="24"/>
      <c r="AC250" s="24">
        <f t="shared" si="177"/>
        <v>7.8902325923239827E-2</v>
      </c>
      <c r="AD250" s="24">
        <f t="shared" si="178"/>
        <v>8.311014579100498E-2</v>
      </c>
      <c r="AE250" s="24">
        <f t="shared" si="179"/>
        <v>8.7394008517431648E-2</v>
      </c>
      <c r="AF250" s="24">
        <f t="shared" si="180"/>
        <v>9.1715494285664917E-2</v>
      </c>
      <c r="AG250" s="24">
        <f t="shared" si="181"/>
        <v>9.6044292165459372E-2</v>
      </c>
      <c r="AH250" s="24">
        <f t="shared" si="182"/>
        <v>0.10035556497580973</v>
      </c>
      <c r="AL250" s="23">
        <f t="shared" si="166"/>
        <v>0</v>
      </c>
      <c r="AM250" s="23">
        <f t="shared" si="167"/>
        <v>0</v>
      </c>
      <c r="AN250" s="23">
        <f t="shared" si="168"/>
        <v>0</v>
      </c>
      <c r="AO250" s="23">
        <f t="shared" si="169"/>
        <v>0</v>
      </c>
      <c r="AP250" s="23">
        <f t="shared" si="170"/>
        <v>5394.358916527126</v>
      </c>
      <c r="AQ250" s="23">
        <f t="shared" si="171"/>
        <v>7405.8785882301054</v>
      </c>
      <c r="AR250" s="23">
        <f t="shared" si="172"/>
        <v>9060.613919088386</v>
      </c>
      <c r="AS250" s="23">
        <f t="shared" si="173"/>
        <v>10531.412054051621</v>
      </c>
      <c r="AT250" s="23">
        <f t="shared" si="174"/>
        <v>11796.040896978486</v>
      </c>
      <c r="AU250" s="23">
        <f t="shared" si="175"/>
        <v>12841.535213051771</v>
      </c>
      <c r="AW250" s="25"/>
      <c r="AX250" s="25"/>
      <c r="AY250" s="25"/>
      <c r="AZ250" s="25"/>
      <c r="BA250" s="25">
        <f t="shared" si="184"/>
        <v>57029.839587927498</v>
      </c>
      <c r="BB250" s="25">
        <f t="shared" si="185"/>
        <v>51635.480671400372</v>
      </c>
      <c r="BC250" s="25">
        <f t="shared" si="186"/>
        <v>44229.602083170263</v>
      </c>
      <c r="BD250" s="25">
        <f t="shared" si="187"/>
        <v>35168.988164081878</v>
      </c>
      <c r="BE250" s="25">
        <f t="shared" si="188"/>
        <v>24637.576110030255</v>
      </c>
      <c r="BF250" s="25">
        <f t="shared" si="189"/>
        <v>12841.535213051771</v>
      </c>
      <c r="BG250" s="25">
        <f t="shared" si="190"/>
        <v>0</v>
      </c>
      <c r="BI250" s="25"/>
      <c r="BJ250" s="25"/>
      <c r="BK250" s="25"/>
      <c r="BL250" s="25"/>
      <c r="BM250" s="25">
        <f t="shared" si="198"/>
        <v>57029.839587927498</v>
      </c>
      <c r="BN250" s="25">
        <f t="shared" si="199"/>
        <v>51635.480671400372</v>
      </c>
      <c r="BO250" s="25">
        <f t="shared" si="200"/>
        <v>44229.602083170263</v>
      </c>
      <c r="BP250" s="25">
        <f t="shared" si="201"/>
        <v>35168.988164081878</v>
      </c>
      <c r="BQ250" s="25">
        <f t="shared" si="202"/>
        <v>24637.576110030255</v>
      </c>
      <c r="BR250" s="25">
        <f t="shared" si="203"/>
        <v>12841.535213051771</v>
      </c>
      <c r="BS250" s="25">
        <f t="shared" si="204"/>
        <v>0</v>
      </c>
    </row>
    <row r="251" spans="1:71" x14ac:dyDescent="0.2">
      <c r="A251" s="29">
        <f t="shared" si="191"/>
        <v>2.4299999999999922</v>
      </c>
      <c r="B251" s="30">
        <v>6.1379335753848088E-2</v>
      </c>
      <c r="C251" s="30">
        <v>6.5034346160100412E-2</v>
      </c>
      <c r="D251" s="30">
        <v>6.8656401546533352E-2</v>
      </c>
      <c r="E251" s="30">
        <v>7.2407511004002889E-2</v>
      </c>
      <c r="F251" s="30">
        <v>7.6348216508486333E-2</v>
      </c>
      <c r="G251" s="30">
        <v>8.0454497874255224E-2</v>
      </c>
      <c r="H251" s="30">
        <v>8.4676729571081286E-2</v>
      </c>
      <c r="I251" s="30">
        <v>8.8967862463146877E-2</v>
      </c>
      <c r="J251" s="30">
        <v>9.3290009824320577E-2</v>
      </c>
      <c r="K251" s="30">
        <v>9.7613340313789862E-2</v>
      </c>
      <c r="L251" s="30">
        <v>0.10191345479611556</v>
      </c>
      <c r="N251" s="1"/>
      <c r="O251" s="1"/>
      <c r="P251" s="1"/>
      <c r="Q251" s="1"/>
      <c r="R251" s="1">
        <f t="shared" si="192"/>
        <v>0.96254533921256491</v>
      </c>
      <c r="S251" s="1">
        <f t="shared" si="193"/>
        <v>0.96057112558017554</v>
      </c>
      <c r="T251" s="63">
        <f t="shared" si="194"/>
        <v>0.91880926026077336</v>
      </c>
      <c r="U251" s="65">
        <f t="shared" si="195"/>
        <v>0.875069651835646</v>
      </c>
      <c r="V251" s="62">
        <f t="shared" si="196"/>
        <v>0.8297921596175778</v>
      </c>
      <c r="W251" s="68">
        <f t="shared" si="197"/>
        <v>0.78346150477135557</v>
      </c>
      <c r="Y251" s="24"/>
      <c r="Z251" s="24"/>
      <c r="AA251" s="24"/>
      <c r="AB251" s="24"/>
      <c r="AC251" s="24">
        <f t="shared" si="177"/>
        <v>8.0454497874255224E-2</v>
      </c>
      <c r="AD251" s="24">
        <f t="shared" si="178"/>
        <v>8.4676729571081286E-2</v>
      </c>
      <c r="AE251" s="24">
        <f t="shared" si="179"/>
        <v>8.8967862463146877E-2</v>
      </c>
      <c r="AF251" s="24">
        <f t="shared" si="180"/>
        <v>9.3290009824320577E-2</v>
      </c>
      <c r="AG251" s="24">
        <f t="shared" si="181"/>
        <v>9.7613340313789862E-2</v>
      </c>
      <c r="AH251" s="24">
        <f t="shared" si="182"/>
        <v>0.10191345479611555</v>
      </c>
      <c r="AL251" s="23">
        <f t="shared" si="166"/>
        <v>0</v>
      </c>
      <c r="AM251" s="23">
        <f t="shared" si="167"/>
        <v>0</v>
      </c>
      <c r="AN251" s="23">
        <f t="shared" si="168"/>
        <v>0</v>
      </c>
      <c r="AO251" s="23">
        <f t="shared" si="169"/>
        <v>0</v>
      </c>
      <c r="AP251" s="23">
        <f t="shared" si="170"/>
        <v>6137.2515794943702</v>
      </c>
      <c r="AQ251" s="23">
        <f t="shared" si="171"/>
        <v>8152.5407919316749</v>
      </c>
      <c r="AR251" s="23">
        <f t="shared" si="172"/>
        <v>9769.4666105023734</v>
      </c>
      <c r="AS251" s="23">
        <f t="shared" si="173"/>
        <v>11195.484403747405</v>
      </c>
      <c r="AT251" s="23">
        <f t="shared" si="174"/>
        <v>12409.945149144613</v>
      </c>
      <c r="AU251" s="23">
        <f t="shared" si="175"/>
        <v>13401.534763855365</v>
      </c>
      <c r="AW251" s="25"/>
      <c r="AX251" s="25"/>
      <c r="AY251" s="25"/>
      <c r="AZ251" s="25"/>
      <c r="BA251" s="25">
        <f t="shared" si="184"/>
        <v>61066.223298675803</v>
      </c>
      <c r="BB251" s="25">
        <f t="shared" si="185"/>
        <v>54928.971719181427</v>
      </c>
      <c r="BC251" s="25">
        <f t="shared" si="186"/>
        <v>46776.430927249756</v>
      </c>
      <c r="BD251" s="25">
        <f t="shared" si="187"/>
        <v>37006.964316747384</v>
      </c>
      <c r="BE251" s="25">
        <f t="shared" si="188"/>
        <v>25811.479912999977</v>
      </c>
      <c r="BF251" s="25">
        <f t="shared" si="189"/>
        <v>13401.534763855365</v>
      </c>
      <c r="BG251" s="25">
        <f t="shared" si="190"/>
        <v>0</v>
      </c>
      <c r="BI251" s="25"/>
      <c r="BJ251" s="25"/>
      <c r="BK251" s="25"/>
      <c r="BL251" s="25"/>
      <c r="BM251" s="25">
        <f t="shared" si="198"/>
        <v>61066.223298675803</v>
      </c>
      <c r="BN251" s="25">
        <f t="shared" si="199"/>
        <v>54928.971719181427</v>
      </c>
      <c r="BO251" s="25">
        <f t="shared" si="200"/>
        <v>46776.430927249756</v>
      </c>
      <c r="BP251" s="25">
        <f t="shared" si="201"/>
        <v>37006.964316747384</v>
      </c>
      <c r="BQ251" s="25">
        <f t="shared" si="202"/>
        <v>25811.479912999977</v>
      </c>
      <c r="BR251" s="25">
        <f t="shared" si="203"/>
        <v>13401.534763855365</v>
      </c>
      <c r="BS251" s="25">
        <f t="shared" si="204"/>
        <v>0</v>
      </c>
    </row>
    <row r="252" spans="1:71" x14ac:dyDescent="0.2">
      <c r="A252" s="29">
        <f t="shared" si="191"/>
        <v>2.439999999999992</v>
      </c>
      <c r="B252" s="30">
        <v>6.1041601952729264E-2</v>
      </c>
      <c r="C252" s="30">
        <v>6.4686636157590405E-2</v>
      </c>
      <c r="D252" s="30">
        <v>6.8303921467470344E-2</v>
      </c>
      <c r="E252" s="30">
        <v>7.2053353188353833E-2</v>
      </c>
      <c r="F252" s="30">
        <v>7.5993694782347784E-2</v>
      </c>
      <c r="G252" s="30">
        <v>8.0100324360008454E-2</v>
      </c>
      <c r="H252" s="30">
        <v>8.4323576447635593E-2</v>
      </c>
      <c r="I252" s="30">
        <v>8.8616492215379539E-2</v>
      </c>
      <c r="J252" s="30">
        <v>9.2941251989643162E-2</v>
      </c>
      <c r="K252" s="30">
        <v>9.7268038220006001E-2</v>
      </c>
      <c r="L252" s="30">
        <v>0.10157242436610367</v>
      </c>
      <c r="N252" s="1"/>
      <c r="O252" s="1"/>
      <c r="P252" s="1"/>
      <c r="Q252" s="1"/>
      <c r="R252" s="1">
        <f t="shared" si="192"/>
        <v>0.96271597595329816</v>
      </c>
      <c r="S252" s="1">
        <f t="shared" si="193"/>
        <v>0.96074124506830061</v>
      </c>
      <c r="T252" s="63">
        <f t="shared" si="194"/>
        <v>0.91913379792325689</v>
      </c>
      <c r="U252" s="65">
        <f t="shared" si="195"/>
        <v>0.87553098355921699</v>
      </c>
      <c r="V252" s="62">
        <f t="shared" si="196"/>
        <v>0.83037115455676536</v>
      </c>
      <c r="W252" s="68">
        <f t="shared" si="197"/>
        <v>0.78413812402188343</v>
      </c>
      <c r="Y252" s="24"/>
      <c r="Z252" s="24"/>
      <c r="AA252" s="24"/>
      <c r="AB252" s="24"/>
      <c r="AC252" s="24">
        <f t="shared" si="177"/>
        <v>8.0100324360008454E-2</v>
      </c>
      <c r="AD252" s="24">
        <f t="shared" si="178"/>
        <v>8.4323576447635593E-2</v>
      </c>
      <c r="AE252" s="24">
        <f t="shared" si="179"/>
        <v>8.8616492215379525E-2</v>
      </c>
      <c r="AF252" s="24">
        <f t="shared" si="180"/>
        <v>9.2941251989643162E-2</v>
      </c>
      <c r="AG252" s="24">
        <f t="shared" si="181"/>
        <v>9.7268038220006001E-2</v>
      </c>
      <c r="AH252" s="24">
        <f t="shared" si="182"/>
        <v>0.10157242436610367</v>
      </c>
      <c r="AL252" s="23">
        <f t="shared" si="166"/>
        <v>0</v>
      </c>
      <c r="AM252" s="23">
        <f t="shared" si="167"/>
        <v>0</v>
      </c>
      <c r="AN252" s="23">
        <f t="shared" si="168"/>
        <v>0</v>
      </c>
      <c r="AO252" s="23">
        <f t="shared" si="169"/>
        <v>0</v>
      </c>
      <c r="AP252" s="23">
        <f t="shared" si="170"/>
        <v>5967.8553202200383</v>
      </c>
      <c r="AQ252" s="23">
        <f t="shared" si="171"/>
        <v>7984.3402410215904</v>
      </c>
      <c r="AR252" s="23">
        <f t="shared" si="172"/>
        <v>9611.439202278083</v>
      </c>
      <c r="AS252" s="23">
        <f t="shared" si="173"/>
        <v>11048.712454186363</v>
      </c>
      <c r="AT252" s="23">
        <f t="shared" si="174"/>
        <v>12275.239850794491</v>
      </c>
      <c r="AU252" s="23">
        <f t="shared" si="175"/>
        <v>13279.401222991482</v>
      </c>
      <c r="AW252" s="25"/>
      <c r="AX252" s="25"/>
      <c r="AY252" s="25"/>
      <c r="AZ252" s="25"/>
      <c r="BA252" s="25">
        <f t="shared" si="184"/>
        <v>60166.988291492045</v>
      </c>
      <c r="BB252" s="25">
        <f t="shared" si="185"/>
        <v>54199.132971272011</v>
      </c>
      <c r="BC252" s="25">
        <f t="shared" si="186"/>
        <v>46214.792730250418</v>
      </c>
      <c r="BD252" s="25">
        <f t="shared" si="187"/>
        <v>36603.353527972336</v>
      </c>
      <c r="BE252" s="25">
        <f t="shared" si="188"/>
        <v>25554.641073785973</v>
      </c>
      <c r="BF252" s="25">
        <f t="shared" si="189"/>
        <v>13279.401222991482</v>
      </c>
      <c r="BG252" s="25">
        <f t="shared" si="190"/>
        <v>0</v>
      </c>
      <c r="BI252" s="25"/>
      <c r="BJ252" s="25"/>
      <c r="BK252" s="25"/>
      <c r="BL252" s="25"/>
      <c r="BM252" s="25">
        <f t="shared" si="198"/>
        <v>60166.988291492045</v>
      </c>
      <c r="BN252" s="25">
        <f t="shared" si="199"/>
        <v>54199.132971272011</v>
      </c>
      <c r="BO252" s="25">
        <f t="shared" si="200"/>
        <v>46214.792730250418</v>
      </c>
      <c r="BP252" s="25">
        <f t="shared" si="201"/>
        <v>36603.353527972336</v>
      </c>
      <c r="BQ252" s="25">
        <f t="shared" si="202"/>
        <v>25554.641073785973</v>
      </c>
      <c r="BR252" s="25">
        <f t="shared" si="203"/>
        <v>13279.401222991482</v>
      </c>
      <c r="BS252" s="25">
        <f t="shared" si="204"/>
        <v>0</v>
      </c>
    </row>
    <row r="253" spans="1:71" x14ac:dyDescent="0.2">
      <c r="A253" s="29">
        <f t="shared" si="191"/>
        <v>2.4499999999999917</v>
      </c>
      <c r="B253" s="30">
        <v>6.0593114308552791E-2</v>
      </c>
      <c r="C253" s="30">
        <v>6.4318405425527761E-2</v>
      </c>
      <c r="D253" s="30">
        <v>6.8014204745849294E-2</v>
      </c>
      <c r="E253" s="30">
        <v>7.1838528401096932E-2</v>
      </c>
      <c r="F253" s="30">
        <v>7.584861278075633E-2</v>
      </c>
      <c r="G253" s="30">
        <v>8.0019473431919397E-2</v>
      </c>
      <c r="H253" s="30">
        <v>8.4301635447448675E-2</v>
      </c>
      <c r="I253" s="30">
        <v>8.8648457743439851E-2</v>
      </c>
      <c r="J253" s="30">
        <v>9.3022414538633247E-2</v>
      </c>
      <c r="K253" s="30">
        <v>9.7393929154140163E-2</v>
      </c>
      <c r="L253" s="30">
        <v>0.10173877507246117</v>
      </c>
      <c r="N253" s="1"/>
      <c r="O253" s="1"/>
      <c r="P253" s="1"/>
      <c r="Q253" s="1"/>
      <c r="R253" s="1">
        <f t="shared" si="192"/>
        <v>0.96278581486673753</v>
      </c>
      <c r="S253" s="1">
        <f t="shared" si="193"/>
        <v>0.96078008426400008</v>
      </c>
      <c r="T253" s="63">
        <f t="shared" si="194"/>
        <v>0.91915396485932954</v>
      </c>
      <c r="U253" s="65">
        <f t="shared" si="195"/>
        <v>0.87548900435030674</v>
      </c>
      <c r="V253" s="62">
        <f t="shared" si="196"/>
        <v>0.83023637541705653</v>
      </c>
      <c r="W253" s="68">
        <f t="shared" si="197"/>
        <v>0.78389137315123392</v>
      </c>
      <c r="Y253" s="24"/>
      <c r="Z253" s="24"/>
      <c r="AA253" s="24"/>
      <c r="AB253" s="24"/>
      <c r="AC253" s="24">
        <f t="shared" si="177"/>
        <v>8.0019473431919397E-2</v>
      </c>
      <c r="AD253" s="24">
        <f t="shared" si="178"/>
        <v>8.4301635447448675E-2</v>
      </c>
      <c r="AE253" s="24">
        <f t="shared" si="179"/>
        <v>8.8648457743439851E-2</v>
      </c>
      <c r="AF253" s="24">
        <f t="shared" si="180"/>
        <v>9.3022414538633247E-2</v>
      </c>
      <c r="AG253" s="24">
        <f t="shared" si="181"/>
        <v>9.7393929154140163E-2</v>
      </c>
      <c r="AH253" s="24">
        <f t="shared" si="182"/>
        <v>0.10173877507246117</v>
      </c>
      <c r="AL253" s="23">
        <f t="shared" si="166"/>
        <v>0</v>
      </c>
      <c r="AM253" s="23">
        <f t="shared" si="167"/>
        <v>0</v>
      </c>
      <c r="AN253" s="23">
        <f t="shared" si="168"/>
        <v>0</v>
      </c>
      <c r="AO253" s="23">
        <f t="shared" si="169"/>
        <v>0</v>
      </c>
      <c r="AP253" s="23">
        <f t="shared" si="170"/>
        <v>5929.3671867784869</v>
      </c>
      <c r="AQ253" s="23">
        <f t="shared" si="171"/>
        <v>7974.1227802008743</v>
      </c>
      <c r="AR253" s="23">
        <f t="shared" si="172"/>
        <v>9626.3407101086796</v>
      </c>
      <c r="AS253" s="23">
        <f t="shared" si="173"/>
        <v>11083.711159597824</v>
      </c>
      <c r="AT253" s="23">
        <f t="shared" si="174"/>
        <v>12325.507049423772</v>
      </c>
      <c r="AU253" s="23">
        <f t="shared" si="175"/>
        <v>13340.422931860583</v>
      </c>
      <c r="AW253" s="25"/>
      <c r="AX253" s="25"/>
      <c r="AY253" s="25"/>
      <c r="AZ253" s="25"/>
      <c r="BA253" s="25">
        <f t="shared" si="184"/>
        <v>60279.471817970218</v>
      </c>
      <c r="BB253" s="25">
        <f t="shared" si="185"/>
        <v>54350.104631191731</v>
      </c>
      <c r="BC253" s="25">
        <f t="shared" si="186"/>
        <v>46375.981850990865</v>
      </c>
      <c r="BD253" s="25">
        <f t="shared" si="187"/>
        <v>36749.641140882173</v>
      </c>
      <c r="BE253" s="25">
        <f t="shared" si="188"/>
        <v>25665.929981284353</v>
      </c>
      <c r="BF253" s="25">
        <f t="shared" si="189"/>
        <v>13340.422931860583</v>
      </c>
      <c r="BG253" s="25">
        <f t="shared" si="190"/>
        <v>0</v>
      </c>
      <c r="BI253" s="25"/>
      <c r="BJ253" s="25"/>
      <c r="BK253" s="25"/>
      <c r="BL253" s="25"/>
      <c r="BM253" s="25">
        <f t="shared" si="198"/>
        <v>60279.471817970218</v>
      </c>
      <c r="BN253" s="25">
        <f t="shared" si="199"/>
        <v>54350.104631191731</v>
      </c>
      <c r="BO253" s="25">
        <f t="shared" si="200"/>
        <v>46375.981850990865</v>
      </c>
      <c r="BP253" s="25">
        <f t="shared" si="201"/>
        <v>36749.641140882173</v>
      </c>
      <c r="BQ253" s="25">
        <f t="shared" si="202"/>
        <v>25665.929981284353</v>
      </c>
      <c r="BR253" s="25">
        <f t="shared" si="203"/>
        <v>13340.422931860583</v>
      </c>
      <c r="BS253" s="25">
        <f t="shared" si="204"/>
        <v>0</v>
      </c>
    </row>
    <row r="254" spans="1:71" x14ac:dyDescent="0.2">
      <c r="A254" s="29">
        <f t="shared" si="191"/>
        <v>2.4599999999999915</v>
      </c>
      <c r="B254" s="30">
        <v>6.0867687962737768E-2</v>
      </c>
      <c r="C254" s="30">
        <v>6.4538354702351169E-2</v>
      </c>
      <c r="D254" s="30">
        <v>6.8186559930266635E-2</v>
      </c>
      <c r="E254" s="30">
        <v>7.196819138995364E-2</v>
      </c>
      <c r="F254" s="30">
        <v>7.5938725432719123E-2</v>
      </c>
      <c r="G254" s="30">
        <v>8.0072569849050618E-2</v>
      </c>
      <c r="H254" s="30">
        <v>8.432018658622055E-2</v>
      </c>
      <c r="I254" s="30">
        <v>8.8634995573457234E-2</v>
      </c>
      <c r="J254" s="30">
        <v>9.297950760568173E-2</v>
      </c>
      <c r="K254" s="30">
        <v>9.732412980282322E-2</v>
      </c>
      <c r="L254" s="30">
        <v>0.10164457894228535</v>
      </c>
      <c r="N254" s="1"/>
      <c r="O254" s="1"/>
      <c r="P254" s="1"/>
      <c r="Q254" s="1"/>
      <c r="R254" s="1">
        <f t="shared" si="192"/>
        <v>0.96274243625246048</v>
      </c>
      <c r="S254" s="1">
        <f t="shared" si="193"/>
        <v>0.96075457761251681</v>
      </c>
      <c r="T254" s="63">
        <f t="shared" si="194"/>
        <v>0.91913691366473471</v>
      </c>
      <c r="U254" s="65">
        <f t="shared" si="195"/>
        <v>0.87550668350149763</v>
      </c>
      <c r="V254" s="62">
        <f t="shared" si="196"/>
        <v>0.83030762426707028</v>
      </c>
      <c r="W254" s="68">
        <f t="shared" si="197"/>
        <v>0.78402817285992266</v>
      </c>
      <c r="Y254" s="24"/>
      <c r="Z254" s="24"/>
      <c r="AA254" s="24"/>
      <c r="AB254" s="24"/>
      <c r="AC254" s="24">
        <f t="shared" si="177"/>
        <v>8.0072569849050618E-2</v>
      </c>
      <c r="AD254" s="24">
        <f t="shared" si="178"/>
        <v>8.432018658622055E-2</v>
      </c>
      <c r="AE254" s="24">
        <f t="shared" si="179"/>
        <v>8.8634995573457234E-2</v>
      </c>
      <c r="AF254" s="24">
        <f t="shared" si="180"/>
        <v>9.297950760568173E-2</v>
      </c>
      <c r="AG254" s="24">
        <f t="shared" si="181"/>
        <v>9.732412980282322E-2</v>
      </c>
      <c r="AH254" s="24">
        <f t="shared" si="182"/>
        <v>0.10164457894228533</v>
      </c>
      <c r="AL254" s="23">
        <f t="shared" si="166"/>
        <v>0</v>
      </c>
      <c r="AM254" s="23">
        <f t="shared" si="167"/>
        <v>0</v>
      </c>
      <c r="AN254" s="23">
        <f t="shared" si="168"/>
        <v>0</v>
      </c>
      <c r="AO254" s="23">
        <f t="shared" si="169"/>
        <v>0</v>
      </c>
      <c r="AP254" s="23">
        <f t="shared" si="170"/>
        <v>5954.6591242886825</v>
      </c>
      <c r="AQ254" s="23">
        <f t="shared" si="171"/>
        <v>7982.8226300837659</v>
      </c>
      <c r="AR254" s="23">
        <f t="shared" si="172"/>
        <v>9619.9753434981903</v>
      </c>
      <c r="AS254" s="23">
        <f t="shared" si="173"/>
        <v>11065.152324779328</v>
      </c>
      <c r="AT254" s="23">
        <f t="shared" si="174"/>
        <v>12297.587327433157</v>
      </c>
      <c r="AU254" s="23">
        <f t="shared" si="175"/>
        <v>13305.824807229457</v>
      </c>
      <c r="AW254" s="25"/>
      <c r="AX254" s="25"/>
      <c r="AY254" s="25"/>
      <c r="AZ254" s="25"/>
      <c r="BA254" s="25">
        <f t="shared" si="184"/>
        <v>60226.021557312582</v>
      </c>
      <c r="BB254" s="25">
        <f t="shared" si="185"/>
        <v>54271.362433023904</v>
      </c>
      <c r="BC254" s="25">
        <f t="shared" si="186"/>
        <v>46288.539802940133</v>
      </c>
      <c r="BD254" s="25">
        <f t="shared" si="187"/>
        <v>36668.564459441943</v>
      </c>
      <c r="BE254" s="25">
        <f t="shared" si="188"/>
        <v>25603.412134662613</v>
      </c>
      <c r="BF254" s="25">
        <f t="shared" si="189"/>
        <v>13305.824807229457</v>
      </c>
      <c r="BG254" s="25">
        <f t="shared" si="190"/>
        <v>0</v>
      </c>
      <c r="BI254" s="25"/>
      <c r="BJ254" s="25"/>
      <c r="BK254" s="25"/>
      <c r="BL254" s="25"/>
      <c r="BM254" s="25">
        <f t="shared" si="198"/>
        <v>60226.021557312582</v>
      </c>
      <c r="BN254" s="25">
        <f t="shared" si="199"/>
        <v>54271.362433023904</v>
      </c>
      <c r="BO254" s="25">
        <f t="shared" si="200"/>
        <v>46288.539802940133</v>
      </c>
      <c r="BP254" s="25">
        <f t="shared" si="201"/>
        <v>36668.564459441943</v>
      </c>
      <c r="BQ254" s="25">
        <f t="shared" si="202"/>
        <v>25603.412134662613</v>
      </c>
      <c r="BR254" s="25">
        <f t="shared" si="203"/>
        <v>13305.824807229457</v>
      </c>
      <c r="BS254" s="25">
        <f t="shared" si="204"/>
        <v>0</v>
      </c>
    </row>
    <row r="255" spans="1:71" x14ac:dyDescent="0.2">
      <c r="A255" s="29">
        <f t="shared" si="191"/>
        <v>2.4699999999999913</v>
      </c>
      <c r="B255" s="30">
        <v>6.0510214031038623E-2</v>
      </c>
      <c r="C255" s="30">
        <v>6.4331547012292573E-2</v>
      </c>
      <c r="D255" s="30">
        <v>6.8115761030397681E-2</v>
      </c>
      <c r="E255" s="30">
        <v>7.2017471172170361E-2</v>
      </c>
      <c r="F255" s="30">
        <v>7.60912651608288E-2</v>
      </c>
      <c r="G255" s="30">
        <v>8.0311802286934825E-2</v>
      </c>
      <c r="H255" s="30">
        <v>8.4630332199803607E-2</v>
      </c>
      <c r="I255" s="30">
        <v>8.9001183717515461E-2</v>
      </c>
      <c r="J255" s="30">
        <v>9.338775152008337E-2</v>
      </c>
      <c r="K255" s="30">
        <v>9.7761274080634508E-2</v>
      </c>
      <c r="L255" s="30">
        <v>0.10209825936870985</v>
      </c>
      <c r="N255" s="1"/>
      <c r="O255" s="1"/>
      <c r="P255" s="1"/>
      <c r="Q255" s="1"/>
      <c r="R255" s="1">
        <f t="shared" si="192"/>
        <v>0.96266901081783729</v>
      </c>
      <c r="S255" s="1">
        <f t="shared" si="193"/>
        <v>0.96063966265559486</v>
      </c>
      <c r="T255" s="63">
        <f t="shared" si="194"/>
        <v>0.91885189158413805</v>
      </c>
      <c r="U255" s="65">
        <f t="shared" si="195"/>
        <v>0.87502591530098373</v>
      </c>
      <c r="V255" s="62">
        <f t="shared" si="196"/>
        <v>0.8296299648856591</v>
      </c>
      <c r="W255" s="68">
        <f t="shared" si="197"/>
        <v>0.78317180731575597</v>
      </c>
      <c r="Y255" s="24"/>
      <c r="Z255" s="24"/>
      <c r="AA255" s="24"/>
      <c r="AB255" s="24"/>
      <c r="AC255" s="24">
        <f t="shared" si="177"/>
        <v>8.0311802286934825E-2</v>
      </c>
      <c r="AD255" s="24">
        <f t="shared" si="178"/>
        <v>8.4630332199803607E-2</v>
      </c>
      <c r="AE255" s="24">
        <f t="shared" si="179"/>
        <v>8.9001183717515461E-2</v>
      </c>
      <c r="AF255" s="24">
        <f t="shared" si="180"/>
        <v>9.338775152008337E-2</v>
      </c>
      <c r="AG255" s="24">
        <f t="shared" si="181"/>
        <v>9.7761274080634508E-2</v>
      </c>
      <c r="AH255" s="24">
        <f t="shared" si="182"/>
        <v>0.10209825936870984</v>
      </c>
      <c r="AL255" s="23">
        <f t="shared" si="166"/>
        <v>0</v>
      </c>
      <c r="AM255" s="23">
        <f t="shared" si="167"/>
        <v>0</v>
      </c>
      <c r="AN255" s="23">
        <f t="shared" si="168"/>
        <v>0</v>
      </c>
      <c r="AO255" s="23">
        <f t="shared" si="169"/>
        <v>0</v>
      </c>
      <c r="AP255" s="23">
        <f t="shared" si="170"/>
        <v>6069.3558077325051</v>
      </c>
      <c r="AQ255" s="23">
        <f t="shared" si="171"/>
        <v>8130.8369009345352</v>
      </c>
      <c r="AR255" s="23">
        <f t="shared" si="172"/>
        <v>9785.2285473907577</v>
      </c>
      <c r="AS255" s="23">
        <f t="shared" si="173"/>
        <v>11237.688104754947</v>
      </c>
      <c r="AT255" s="23">
        <f t="shared" si="174"/>
        <v>12468.884590974436</v>
      </c>
      <c r="AU255" s="23">
        <f t="shared" si="175"/>
        <v>13468.946197018226</v>
      </c>
      <c r="AW255" s="25"/>
      <c r="AX255" s="25"/>
      <c r="AY255" s="25"/>
      <c r="AZ255" s="25"/>
      <c r="BA255" s="25">
        <f t="shared" si="184"/>
        <v>61160.940148805399</v>
      </c>
      <c r="BB255" s="25">
        <f t="shared" si="185"/>
        <v>55091.584341072899</v>
      </c>
      <c r="BC255" s="25">
        <f t="shared" si="186"/>
        <v>46960.747440138366</v>
      </c>
      <c r="BD255" s="25">
        <f t="shared" si="187"/>
        <v>37175.518892747605</v>
      </c>
      <c r="BE255" s="25">
        <f t="shared" si="188"/>
        <v>25937.830787992661</v>
      </c>
      <c r="BF255" s="25">
        <f t="shared" si="189"/>
        <v>13468.946197018226</v>
      </c>
      <c r="BG255" s="25">
        <f t="shared" si="190"/>
        <v>0</v>
      </c>
      <c r="BI255" s="25"/>
      <c r="BJ255" s="25"/>
      <c r="BK255" s="25"/>
      <c r="BL255" s="25"/>
      <c r="BM255" s="25">
        <f t="shared" si="198"/>
        <v>61160.940148805399</v>
      </c>
      <c r="BN255" s="25">
        <f t="shared" si="199"/>
        <v>55091.584341072899</v>
      </c>
      <c r="BO255" s="25">
        <f t="shared" si="200"/>
        <v>46960.747440138366</v>
      </c>
      <c r="BP255" s="25">
        <f t="shared" si="201"/>
        <v>37175.518892747605</v>
      </c>
      <c r="BQ255" s="25">
        <f t="shared" si="202"/>
        <v>25937.830787992661</v>
      </c>
      <c r="BR255" s="25">
        <f t="shared" si="203"/>
        <v>13468.946197018226</v>
      </c>
      <c r="BS255" s="25">
        <f t="shared" si="204"/>
        <v>0</v>
      </c>
    </row>
    <row r="256" spans="1:71" x14ac:dyDescent="0.2">
      <c r="A256" s="29">
        <f t="shared" si="191"/>
        <v>2.4799999999999911</v>
      </c>
      <c r="B256" s="30">
        <v>5.9843119244021144E-2</v>
      </c>
      <c r="C256" s="30">
        <v>6.364375711071267E-2</v>
      </c>
      <c r="D256" s="30">
        <v>6.7415751087528702E-2</v>
      </c>
      <c r="E256" s="30">
        <v>7.1311459617116629E-2</v>
      </c>
      <c r="F256" s="30">
        <v>7.5383612929081772E-2</v>
      </c>
      <c r="G256" s="30">
        <v>7.9606140870012318E-2</v>
      </c>
      <c r="H256" s="30">
        <v>8.3930091546915067E-2</v>
      </c>
      <c r="I256" s="30">
        <v>8.8309710498559818E-2</v>
      </c>
      <c r="J256" s="30">
        <v>9.2708283571326294E-2</v>
      </c>
      <c r="K256" s="30">
        <v>9.7096888120231109E-2</v>
      </c>
      <c r="L256" s="30">
        <v>0.1014518311766012</v>
      </c>
      <c r="N256" s="1"/>
      <c r="O256" s="1"/>
      <c r="P256" s="1"/>
      <c r="Q256" s="1"/>
      <c r="R256" s="1">
        <f t="shared" si="192"/>
        <v>0.96300968852158686</v>
      </c>
      <c r="S256" s="1">
        <f t="shared" si="193"/>
        <v>0.96097866563015855</v>
      </c>
      <c r="T256" s="63">
        <f t="shared" si="194"/>
        <v>0.919495534358727</v>
      </c>
      <c r="U256" s="65">
        <f t="shared" si="195"/>
        <v>0.87593397162153053</v>
      </c>
      <c r="V256" s="62">
        <f t="shared" si="196"/>
        <v>0.83075814521535185</v>
      </c>
      <c r="W256" s="68">
        <f t="shared" si="197"/>
        <v>0.78447370910644854</v>
      </c>
      <c r="Y256" s="24"/>
      <c r="Z256" s="24"/>
      <c r="AA256" s="24"/>
      <c r="AB256" s="24"/>
      <c r="AC256" s="24">
        <f t="shared" si="177"/>
        <v>7.9606140870012318E-2</v>
      </c>
      <c r="AD256" s="24">
        <f t="shared" si="178"/>
        <v>8.3930091546915067E-2</v>
      </c>
      <c r="AE256" s="24">
        <f t="shared" si="179"/>
        <v>8.8309710498559818E-2</v>
      </c>
      <c r="AF256" s="24">
        <f t="shared" si="180"/>
        <v>9.2708283571326294E-2</v>
      </c>
      <c r="AG256" s="24">
        <f t="shared" si="181"/>
        <v>9.7096888120231109E-2</v>
      </c>
      <c r="AH256" s="24">
        <f t="shared" si="182"/>
        <v>0.1014518311766012</v>
      </c>
      <c r="AL256" s="23">
        <f t="shared" si="166"/>
        <v>0</v>
      </c>
      <c r="AM256" s="23">
        <f t="shared" si="167"/>
        <v>0</v>
      </c>
      <c r="AN256" s="23">
        <f t="shared" si="168"/>
        <v>0</v>
      </c>
      <c r="AO256" s="23">
        <f t="shared" si="169"/>
        <v>0</v>
      </c>
      <c r="AP256" s="23">
        <f t="shared" si="170"/>
        <v>5731.7242936326884</v>
      </c>
      <c r="AQ256" s="23">
        <f t="shared" si="171"/>
        <v>7797.2480519237388</v>
      </c>
      <c r="AR256" s="23">
        <f t="shared" si="172"/>
        <v>9474.1796933279948</v>
      </c>
      <c r="AS256" s="23">
        <f t="shared" si="173"/>
        <v>10951.76546270054</v>
      </c>
      <c r="AT256" s="23">
        <f t="shared" si="174"/>
        <v>12209.868500164963</v>
      </c>
      <c r="AU256" s="23">
        <f t="shared" si="175"/>
        <v>13237.783272522538</v>
      </c>
      <c r="AW256" s="25"/>
      <c r="AX256" s="25"/>
      <c r="AY256" s="25"/>
      <c r="AZ256" s="25"/>
      <c r="BA256" s="25">
        <f t="shared" si="184"/>
        <v>59402.569274272464</v>
      </c>
      <c r="BB256" s="25">
        <f t="shared" si="185"/>
        <v>53670.844980639777</v>
      </c>
      <c r="BC256" s="25">
        <f t="shared" si="186"/>
        <v>45873.596928716033</v>
      </c>
      <c r="BD256" s="25">
        <f t="shared" si="187"/>
        <v>36399.417235388042</v>
      </c>
      <c r="BE256" s="25">
        <f t="shared" si="188"/>
        <v>25447.651772687503</v>
      </c>
      <c r="BF256" s="25">
        <f t="shared" si="189"/>
        <v>13237.783272522538</v>
      </c>
      <c r="BG256" s="25">
        <f t="shared" si="190"/>
        <v>0</v>
      </c>
      <c r="BI256" s="25"/>
      <c r="BJ256" s="25"/>
      <c r="BK256" s="25"/>
      <c r="BL256" s="25"/>
      <c r="BM256" s="25">
        <f t="shared" si="198"/>
        <v>59402.569274272464</v>
      </c>
      <c r="BN256" s="25">
        <f t="shared" si="199"/>
        <v>53670.844980639777</v>
      </c>
      <c r="BO256" s="25">
        <f t="shared" si="200"/>
        <v>45873.596928716033</v>
      </c>
      <c r="BP256" s="25">
        <f t="shared" si="201"/>
        <v>36399.417235388042</v>
      </c>
      <c r="BQ256" s="25">
        <f t="shared" si="202"/>
        <v>25447.651772687503</v>
      </c>
      <c r="BR256" s="25">
        <f t="shared" si="203"/>
        <v>13237.783272522538</v>
      </c>
      <c r="BS256" s="25">
        <f t="shared" si="204"/>
        <v>0</v>
      </c>
    </row>
    <row r="257" spans="1:71" x14ac:dyDescent="0.2">
      <c r="A257" s="29">
        <f t="shared" si="191"/>
        <v>2.4899999999999909</v>
      </c>
      <c r="B257" s="30">
        <v>6.0541907600239253E-2</v>
      </c>
      <c r="C257" s="30">
        <v>6.4457032284773202E-2</v>
      </c>
      <c r="D257" s="30">
        <v>6.8333034043534052E-2</v>
      </c>
      <c r="E257" s="30">
        <v>7.2320840475634848E-2</v>
      </c>
      <c r="F257" s="30">
        <v>7.6472164695684477E-2</v>
      </c>
      <c r="G257" s="30">
        <v>8.0761035481954402E-2</v>
      </c>
      <c r="H257" s="30">
        <v>8.5139119582026648E-2</v>
      </c>
      <c r="I257" s="30">
        <v>8.9561396561897627E-2</v>
      </c>
      <c r="J257" s="30">
        <v>9.3991860206247918E-2</v>
      </c>
      <c r="K257" s="30">
        <v>9.8402243773205084E-2</v>
      </c>
      <c r="L257" s="30">
        <v>0.10276947071616453</v>
      </c>
      <c r="N257" s="1"/>
      <c r="O257" s="1"/>
      <c r="P257" s="1"/>
      <c r="Q257" s="1"/>
      <c r="R257" s="1">
        <f t="shared" si="192"/>
        <v>0.96248568818604741</v>
      </c>
      <c r="S257" s="1">
        <f t="shared" si="193"/>
        <v>0.96042391127471383</v>
      </c>
      <c r="T257" s="63">
        <f t="shared" si="194"/>
        <v>0.91838451024451484</v>
      </c>
      <c r="U257" s="65">
        <f t="shared" si="195"/>
        <v>0.87429092302294187</v>
      </c>
      <c r="V257" s="62">
        <f t="shared" si="196"/>
        <v>0.82862819684811662</v>
      </c>
      <c r="W257" s="68">
        <f t="shared" si="197"/>
        <v>0.78191783879743726</v>
      </c>
      <c r="Y257" s="24"/>
      <c r="Z257" s="24"/>
      <c r="AA257" s="24"/>
      <c r="AB257" s="24"/>
      <c r="AC257" s="24">
        <f t="shared" si="177"/>
        <v>8.0761035481954402E-2</v>
      </c>
      <c r="AD257" s="24">
        <f t="shared" si="178"/>
        <v>8.5139119582026648E-2</v>
      </c>
      <c r="AE257" s="24">
        <f t="shared" si="179"/>
        <v>8.9561396561897627E-2</v>
      </c>
      <c r="AF257" s="24">
        <f t="shared" si="180"/>
        <v>9.3991860206247918E-2</v>
      </c>
      <c r="AG257" s="24">
        <f t="shared" si="181"/>
        <v>9.8402243773205084E-2</v>
      </c>
      <c r="AH257" s="24">
        <f t="shared" si="182"/>
        <v>0.10276947071616453</v>
      </c>
      <c r="AL257" s="23">
        <f t="shared" si="166"/>
        <v>0</v>
      </c>
      <c r="AM257" s="23">
        <f t="shared" si="167"/>
        <v>0</v>
      </c>
      <c r="AN257" s="23">
        <f t="shared" si="168"/>
        <v>0</v>
      </c>
      <c r="AO257" s="23">
        <f t="shared" si="169"/>
        <v>0</v>
      </c>
      <c r="AP257" s="23">
        <f t="shared" si="170"/>
        <v>6284.3902708268633</v>
      </c>
      <c r="AQ257" s="23">
        <f t="shared" si="171"/>
        <v>8373.3365689315178</v>
      </c>
      <c r="AR257" s="23">
        <f t="shared" si="172"/>
        <v>10037.496612243847</v>
      </c>
      <c r="AS257" s="23">
        <f t="shared" si="173"/>
        <v>11492.332195904835</v>
      </c>
      <c r="AT257" s="23">
        <f t="shared" si="174"/>
        <v>12719.391345600014</v>
      </c>
      <c r="AU257" s="23">
        <f t="shared" si="175"/>
        <v>13709.796577650088</v>
      </c>
      <c r="AW257" s="25"/>
      <c r="AX257" s="25"/>
      <c r="AY257" s="25"/>
      <c r="AZ257" s="25"/>
      <c r="BA257" s="25">
        <f t="shared" si="184"/>
        <v>62616.743571157167</v>
      </c>
      <c r="BB257" s="25">
        <f t="shared" si="185"/>
        <v>56332.353300330302</v>
      </c>
      <c r="BC257" s="25">
        <f t="shared" si="186"/>
        <v>47959.016731398784</v>
      </c>
      <c r="BD257" s="25">
        <f t="shared" si="187"/>
        <v>37921.520119154935</v>
      </c>
      <c r="BE257" s="25">
        <f t="shared" si="188"/>
        <v>26429.187923250101</v>
      </c>
      <c r="BF257" s="25">
        <f t="shared" si="189"/>
        <v>13709.796577650088</v>
      </c>
      <c r="BG257" s="25">
        <f t="shared" si="190"/>
        <v>0</v>
      </c>
      <c r="BI257" s="25"/>
      <c r="BJ257" s="25"/>
      <c r="BK257" s="25"/>
      <c r="BL257" s="25"/>
      <c r="BM257" s="25">
        <f t="shared" si="198"/>
        <v>62616.743571157167</v>
      </c>
      <c r="BN257" s="25">
        <f t="shared" si="199"/>
        <v>56332.353300330302</v>
      </c>
      <c r="BO257" s="25">
        <f t="shared" si="200"/>
        <v>47959.016731398784</v>
      </c>
      <c r="BP257" s="25">
        <f t="shared" si="201"/>
        <v>37921.520119154935</v>
      </c>
      <c r="BQ257" s="25">
        <f t="shared" si="202"/>
        <v>26429.187923250101</v>
      </c>
      <c r="BR257" s="25">
        <f t="shared" si="203"/>
        <v>13709.796577650088</v>
      </c>
      <c r="BS257" s="25">
        <f t="shared" si="204"/>
        <v>0</v>
      </c>
    </row>
    <row r="258" spans="1:71" x14ac:dyDescent="0.2">
      <c r="A258" s="29">
        <f t="shared" si="191"/>
        <v>2.4999999999999907</v>
      </c>
      <c r="B258" s="30">
        <v>5.9268362842139558E-2</v>
      </c>
      <c r="C258" s="30">
        <v>6.3178672242856088E-2</v>
      </c>
      <c r="D258" s="30">
        <v>6.706116170199658E-2</v>
      </c>
      <c r="E258" s="30">
        <v>7.1064329366221396E-2</v>
      </c>
      <c r="F258" s="30">
        <v>7.5237886672587448E-2</v>
      </c>
      <c r="G258" s="30">
        <v>7.9554964841738213E-2</v>
      </c>
      <c r="H258" s="30">
        <v>8.3966844686074835E-2</v>
      </c>
      <c r="I258" s="30">
        <v>8.8428232393552728E-2</v>
      </c>
      <c r="J258" s="30">
        <v>9.2902821762960372E-2</v>
      </c>
      <c r="K258" s="30">
        <v>9.7361994282426326E-2</v>
      </c>
      <c r="L258" s="30">
        <v>0.10178228249147041</v>
      </c>
      <c r="N258" s="1"/>
      <c r="O258" s="1"/>
      <c r="P258" s="1"/>
      <c r="Q258" s="1"/>
      <c r="R258" s="1">
        <f t="shared" si="192"/>
        <v>0.96307985897641324</v>
      </c>
      <c r="S258" s="1">
        <f t="shared" si="193"/>
        <v>0.96100325548044152</v>
      </c>
      <c r="T258" s="63">
        <f t="shared" si="194"/>
        <v>0.91946174063241248</v>
      </c>
      <c r="U258" s="65">
        <f>EXP(-I258*($U$7-$Q$7))</f>
        <v>0.83790004405325624</v>
      </c>
      <c r="V258" s="62">
        <f t="shared" si="196"/>
        <v>0.83043497971295011</v>
      </c>
      <c r="W258" s="68">
        <f t="shared" si="197"/>
        <v>0.78395395932565037</v>
      </c>
      <c r="Y258" s="24"/>
      <c r="Z258" s="24"/>
      <c r="AA258" s="24"/>
      <c r="AB258" s="24"/>
      <c r="AC258" s="24">
        <f t="shared" si="177"/>
        <v>7.9554964841738213E-2</v>
      </c>
      <c r="AD258" s="24">
        <f t="shared" si="178"/>
        <v>8.3966844686074835E-2</v>
      </c>
      <c r="AE258" s="24">
        <f t="shared" si="179"/>
        <v>8.8428232393552728E-2</v>
      </c>
      <c r="AF258" s="24">
        <f t="shared" si="180"/>
        <v>9.2902821762960372E-2</v>
      </c>
      <c r="AG258" s="24">
        <f t="shared" si="181"/>
        <v>9.7361994282426326E-2</v>
      </c>
      <c r="AH258" s="24">
        <f t="shared" si="182"/>
        <v>0.10178228249147041</v>
      </c>
      <c r="AL258" s="23">
        <f t="shared" si="166"/>
        <v>0</v>
      </c>
      <c r="AM258" s="23">
        <f t="shared" si="167"/>
        <v>0</v>
      </c>
      <c r="AN258" s="23">
        <f t="shared" si="168"/>
        <v>0</v>
      </c>
      <c r="AO258" s="23">
        <f t="shared" si="169"/>
        <v>0</v>
      </c>
      <c r="AP258" s="23">
        <f t="shared" si="170"/>
        <v>5707.4986391637067</v>
      </c>
      <c r="AQ258" s="23">
        <f t="shared" si="171"/>
        <v>7815.1075137605858</v>
      </c>
      <c r="AR258" s="23">
        <f t="shared" si="172"/>
        <v>9528.3196678186687</v>
      </c>
      <c r="AS258" s="23">
        <f t="shared" si="173"/>
        <v>10557.730651887719</v>
      </c>
      <c r="AT258" s="23">
        <f t="shared" si="174"/>
        <v>12315.19556794866</v>
      </c>
      <c r="AU258" s="23">
        <f t="shared" si="175"/>
        <v>13358.541942810987</v>
      </c>
      <c r="AW258" s="25"/>
      <c r="AX258" s="25"/>
      <c r="AY258" s="25"/>
      <c r="AZ258" s="25"/>
      <c r="BA258" s="25">
        <f t="shared" si="184"/>
        <v>59282.393983390328</v>
      </c>
      <c r="BB258" s="25">
        <f t="shared" si="185"/>
        <v>53574.895344226621</v>
      </c>
      <c r="BC258" s="25">
        <f t="shared" si="186"/>
        <v>45759.787830466033</v>
      </c>
      <c r="BD258" s="25">
        <f t="shared" si="187"/>
        <v>36231.468162647368</v>
      </c>
      <c r="BE258" s="25">
        <f t="shared" si="188"/>
        <v>25673.737510759645</v>
      </c>
      <c r="BF258" s="25">
        <f t="shared" si="189"/>
        <v>13358.541942810987</v>
      </c>
      <c r="BG258" s="25">
        <f t="shared" si="190"/>
        <v>0</v>
      </c>
      <c r="BI258" s="25"/>
      <c r="BJ258" s="25"/>
      <c r="BK258" s="25"/>
      <c r="BL258" s="25"/>
      <c r="BM258" s="25">
        <f t="shared" si="198"/>
        <v>59282.393983390328</v>
      </c>
      <c r="BN258" s="25">
        <f t="shared" si="199"/>
        <v>53574.895344226621</v>
      </c>
      <c r="BO258" s="25">
        <f t="shared" si="200"/>
        <v>45759.787830466033</v>
      </c>
      <c r="BP258" s="25">
        <f t="shared" si="201"/>
        <v>36231.468162647368</v>
      </c>
      <c r="BQ258" s="25">
        <f t="shared" si="202"/>
        <v>25673.737510759645</v>
      </c>
      <c r="BR258" s="25">
        <f t="shared" si="203"/>
        <v>13358.541942810987</v>
      </c>
      <c r="BS258" s="25">
        <f t="shared" si="204"/>
        <v>0</v>
      </c>
    </row>
    <row r="259" spans="1:71" x14ac:dyDescent="0.2">
      <c r="A259" s="29">
        <f t="shared" si="191"/>
        <v>2.5099999999999905</v>
      </c>
      <c r="B259" s="30">
        <v>5.9864269404257944E-2</v>
      </c>
      <c r="C259" s="30">
        <v>6.3668889141718282E-2</v>
      </c>
      <c r="D259" s="30">
        <v>6.7464759212917516E-2</v>
      </c>
      <c r="E259" s="30">
        <v>7.139769741567184E-2</v>
      </c>
      <c r="F259" s="30">
        <v>7.5515176139995102E-2</v>
      </c>
      <c r="G259" s="30">
        <v>7.9789179829462153E-2</v>
      </c>
      <c r="H259" s="30">
        <v>8.4170346160546555E-2</v>
      </c>
      <c r="I259" s="30">
        <v>8.8612847959116087E-2</v>
      </c>
      <c r="J259" s="30">
        <v>9.3079818550495477E-2</v>
      </c>
      <c r="K259" s="30">
        <v>9.7542027418047211E-2</v>
      </c>
      <c r="L259" s="30">
        <v>0.10197535628792044</v>
      </c>
      <c r="N259" s="1"/>
      <c r="O259" s="1"/>
      <c r="P259" s="1"/>
      <c r="Q259" s="1"/>
      <c r="R259" s="1"/>
      <c r="S259" s="1">
        <f t="shared" si="193"/>
        <v>0.96089072138702047</v>
      </c>
      <c r="T259" s="64">
        <f>EXP(-H259*($T$7-$S$7))</f>
        <v>0.95878811415763165</v>
      </c>
      <c r="U259" s="66">
        <f>EXP(-I259*($U$7-$S$7))</f>
        <v>0.91519982647579701</v>
      </c>
      <c r="V259" s="1">
        <f>EXP(-J259*($V$7-$S$7))</f>
        <v>0.86968889101076863</v>
      </c>
      <c r="W259" s="68">
        <f>EXP(-K259*($W$7-$S$7))</f>
        <v>0.82276549773037333</v>
      </c>
      <c r="Y259" s="24"/>
      <c r="Z259" s="24"/>
      <c r="AA259" s="24"/>
      <c r="AB259" s="24"/>
      <c r="AC259" s="24"/>
      <c r="AD259" s="24">
        <f t="shared" si="178"/>
        <v>8.4170346160546569E-2</v>
      </c>
      <c r="AE259" s="24">
        <f t="shared" si="179"/>
        <v>8.8612847959116087E-2</v>
      </c>
      <c r="AF259" s="24">
        <f t="shared" si="180"/>
        <v>9.3079818550495477E-2</v>
      </c>
      <c r="AG259" s="24">
        <f t="shared" si="181"/>
        <v>9.7542027418047211E-2</v>
      </c>
      <c r="AH259" s="24">
        <f t="shared" si="182"/>
        <v>0.10197535628792045</v>
      </c>
      <c r="AL259" s="23">
        <f t="shared" si="166"/>
        <v>0</v>
      </c>
      <c r="AM259" s="23">
        <f t="shared" si="167"/>
        <v>0</v>
      </c>
      <c r="AN259" s="23">
        <f t="shared" si="168"/>
        <v>0</v>
      </c>
      <c r="AO259" s="23">
        <f t="shared" si="169"/>
        <v>0</v>
      </c>
      <c r="AP259" s="23">
        <f t="shared" si="170"/>
        <v>0</v>
      </c>
      <c r="AQ259" s="23">
        <f t="shared" si="171"/>
        <v>7911.9636989963665</v>
      </c>
      <c r="AR259" s="23">
        <f t="shared" si="172"/>
        <v>10024.359814843685</v>
      </c>
      <c r="AS259" s="23">
        <f t="shared" si="173"/>
        <v>11612.719162257341</v>
      </c>
      <c r="AT259" s="23">
        <f t="shared" si="174"/>
        <v>12975.610146252096</v>
      </c>
      <c r="AU259" s="23">
        <f t="shared" si="175"/>
        <v>14099.316126653302</v>
      </c>
      <c r="AW259" s="25"/>
      <c r="AX259" s="25"/>
      <c r="AY259" s="25"/>
      <c r="AZ259" s="25"/>
      <c r="BA259" s="25"/>
      <c r="BB259" s="25">
        <f t="shared" si="185"/>
        <v>56623.968949002796</v>
      </c>
      <c r="BC259" s="25">
        <f t="shared" si="186"/>
        <v>48712.005250006419</v>
      </c>
      <c r="BD259" s="25">
        <f t="shared" si="187"/>
        <v>38687.64543516274</v>
      </c>
      <c r="BE259" s="25">
        <f t="shared" si="188"/>
        <v>27074.926272905399</v>
      </c>
      <c r="BF259" s="25">
        <f t="shared" si="189"/>
        <v>14099.316126653302</v>
      </c>
      <c r="BG259" s="25">
        <f t="shared" si="190"/>
        <v>0</v>
      </c>
      <c r="BI259" s="25"/>
      <c r="BJ259" s="25"/>
      <c r="BK259" s="25"/>
      <c r="BL259" s="25"/>
      <c r="BM259" s="25"/>
      <c r="BN259" s="25">
        <f t="shared" si="199"/>
        <v>56623.968949002796</v>
      </c>
      <c r="BO259" s="25">
        <f t="shared" si="200"/>
        <v>48712.005250006419</v>
      </c>
      <c r="BP259" s="25">
        <f t="shared" si="201"/>
        <v>38687.64543516274</v>
      </c>
      <c r="BQ259" s="25">
        <f t="shared" si="202"/>
        <v>27074.926272905399</v>
      </c>
      <c r="BR259" s="25">
        <f t="shared" si="203"/>
        <v>14099.316126653302</v>
      </c>
      <c r="BS259" s="25">
        <f t="shared" si="204"/>
        <v>0</v>
      </c>
    </row>
    <row r="260" spans="1:71" x14ac:dyDescent="0.2">
      <c r="A260" s="29">
        <f t="shared" si="191"/>
        <v>2.5199999999999902</v>
      </c>
      <c r="B260" s="30">
        <v>6.0646530781327521E-2</v>
      </c>
      <c r="C260" s="30">
        <v>6.4457201148381243E-2</v>
      </c>
      <c r="D260" s="30">
        <v>6.8257733575793789E-2</v>
      </c>
      <c r="E260" s="30">
        <v>7.2192216429279574E-2</v>
      </c>
      <c r="F260" s="30">
        <v>7.6306846987915358E-2</v>
      </c>
      <c r="G260" s="30">
        <v>8.0573415081736613E-2</v>
      </c>
      <c r="H260" s="30">
        <v>8.4942859537472548E-2</v>
      </c>
      <c r="I260" s="30">
        <v>8.9369761367382256E-2</v>
      </c>
      <c r="J260" s="30">
        <v>9.3817634483407075E-2</v>
      </c>
      <c r="K260" s="30">
        <v>9.8257577678677779E-2</v>
      </c>
      <c r="L260" s="30">
        <v>0.10266576351388679</v>
      </c>
      <c r="N260" s="1"/>
      <c r="O260" s="1"/>
      <c r="P260" s="1"/>
      <c r="Q260" s="1"/>
      <c r="R260" s="1"/>
      <c r="S260" s="1">
        <f t="shared" si="193"/>
        <v>0.96051401306018713</v>
      </c>
      <c r="T260" s="64">
        <f t="shared" ref="T260:T323" si="205">EXP(-H260*($T$7-$S$7))</f>
        <v>0.95841784734933855</v>
      </c>
      <c r="U260" s="66">
        <f t="shared" ref="U260:U323" si="206">EXP(-I260*($U$7-$S$7))</f>
        <v>0.91450736155694601</v>
      </c>
      <c r="V260" s="1">
        <f t="shared" ref="V260:V308" si="207">EXP(-J260*($V$7-$S$7))</f>
        <v>0.86872691794755086</v>
      </c>
      <c r="W260" s="68">
        <f t="shared" ref="W260:W308" si="208">EXP(-K260*($W$7-$S$7))</f>
        <v>0.82158887972782835</v>
      </c>
      <c r="Y260" s="24"/>
      <c r="Z260" s="24"/>
      <c r="AA260" s="24"/>
      <c r="AB260" s="24"/>
      <c r="AC260" s="24"/>
      <c r="AD260" s="24">
        <f t="shared" si="178"/>
        <v>8.4942859537472548E-2</v>
      </c>
      <c r="AE260" s="24">
        <f t="shared" si="179"/>
        <v>8.9369761367382256E-2</v>
      </c>
      <c r="AF260" s="24">
        <f t="shared" si="180"/>
        <v>9.3817634483407075E-2</v>
      </c>
      <c r="AG260" s="24">
        <f t="shared" si="181"/>
        <v>9.8257577678677779E-2</v>
      </c>
      <c r="AH260" s="24">
        <f t="shared" si="182"/>
        <v>0.10266576351388679</v>
      </c>
      <c r="AL260" s="23">
        <f t="shared" si="166"/>
        <v>0</v>
      </c>
      <c r="AM260" s="23">
        <f t="shared" si="167"/>
        <v>0</v>
      </c>
      <c r="AN260" s="23">
        <f t="shared" si="168"/>
        <v>0</v>
      </c>
      <c r="AO260" s="23">
        <f t="shared" si="169"/>
        <v>0</v>
      </c>
      <c r="AP260" s="23">
        <f t="shared" si="170"/>
        <v>0</v>
      </c>
      <c r="AQ260" s="23">
        <f t="shared" si="171"/>
        <v>8279.8668486569277</v>
      </c>
      <c r="AR260" s="23">
        <f t="shared" si="172"/>
        <v>10383.208246199845</v>
      </c>
      <c r="AS260" s="23">
        <f t="shared" si="173"/>
        <v>11941.301716206062</v>
      </c>
      <c r="AT260" s="23">
        <f t="shared" si="174"/>
        <v>13272.066558249549</v>
      </c>
      <c r="AU260" s="23">
        <f t="shared" si="175"/>
        <v>14362.76846882194</v>
      </c>
      <c r="AW260" s="25"/>
      <c r="AX260" s="25"/>
      <c r="AY260" s="25"/>
      <c r="AZ260" s="25"/>
      <c r="BA260" s="25"/>
      <c r="BB260" s="25">
        <f t="shared" si="185"/>
        <v>58239.211838134324</v>
      </c>
      <c r="BC260" s="25">
        <f t="shared" si="186"/>
        <v>49959.344989477395</v>
      </c>
      <c r="BD260" s="25">
        <f t="shared" si="187"/>
        <v>39576.136743277551</v>
      </c>
      <c r="BE260" s="25">
        <f t="shared" si="188"/>
        <v>27634.835027071487</v>
      </c>
      <c r="BF260" s="25">
        <f t="shared" si="189"/>
        <v>14362.76846882194</v>
      </c>
      <c r="BG260" s="25">
        <f t="shared" si="190"/>
        <v>0</v>
      </c>
      <c r="BI260" s="25"/>
      <c r="BJ260" s="25"/>
      <c r="BK260" s="25"/>
      <c r="BL260" s="25"/>
      <c r="BM260" s="25"/>
      <c r="BN260" s="25">
        <f t="shared" si="199"/>
        <v>58239.211838134324</v>
      </c>
      <c r="BO260" s="25">
        <f t="shared" si="200"/>
        <v>49959.344989477395</v>
      </c>
      <c r="BP260" s="25">
        <f t="shared" si="201"/>
        <v>39576.136743277551</v>
      </c>
      <c r="BQ260" s="25">
        <f t="shared" si="202"/>
        <v>27634.835027071487</v>
      </c>
      <c r="BR260" s="25">
        <f t="shared" si="203"/>
        <v>14362.76846882194</v>
      </c>
      <c r="BS260" s="25">
        <f t="shared" si="204"/>
        <v>0</v>
      </c>
    </row>
    <row r="261" spans="1:71" x14ac:dyDescent="0.2">
      <c r="A261" s="29">
        <f t="shared" si="191"/>
        <v>2.52999999999999</v>
      </c>
      <c r="B261" s="30">
        <v>6.2943304842427286E-2</v>
      </c>
      <c r="C261" s="30">
        <v>6.6636378690400261E-2</v>
      </c>
      <c r="D261" s="30">
        <v>7.0328579901939914E-2</v>
      </c>
      <c r="E261" s="30">
        <v>7.41618963064333E-2</v>
      </c>
      <c r="F261" s="30">
        <v>7.8180891491319099E-2</v>
      </c>
      <c r="G261" s="30">
        <v>8.2356790397720425E-2</v>
      </c>
      <c r="H261" s="30">
        <v>8.6640454952695942E-2</v>
      </c>
      <c r="I261" s="30">
        <v>9.0986493612251654E-2</v>
      </c>
      <c r="J261" s="30">
        <v>9.5358419658759644E-2</v>
      </c>
      <c r="K261" s="30">
        <v>9.9727280234965562E-2</v>
      </c>
      <c r="L261" s="30">
        <v>0.10406915810744038</v>
      </c>
      <c r="N261" s="1"/>
      <c r="O261" s="1"/>
      <c r="P261" s="1"/>
      <c r="Q261" s="1"/>
      <c r="R261" s="1"/>
      <c r="S261" s="1">
        <f t="shared" si="193"/>
        <v>0.95965791631158948</v>
      </c>
      <c r="T261" s="64">
        <f t="shared" si="205"/>
        <v>0.95760468962959899</v>
      </c>
      <c r="U261" s="66">
        <f t="shared" si="206"/>
        <v>0.91303004255376818</v>
      </c>
      <c r="V261" s="1">
        <f t="shared" si="207"/>
        <v>0.86672145399717848</v>
      </c>
      <c r="W261" s="68">
        <f t="shared" si="208"/>
        <v>0.81917744300529127</v>
      </c>
      <c r="Y261" s="24"/>
      <c r="Z261" s="24"/>
      <c r="AA261" s="24"/>
      <c r="AB261" s="24"/>
      <c r="AC261" s="24"/>
      <c r="AD261" s="24">
        <f t="shared" si="178"/>
        <v>8.6640454952695942E-2</v>
      </c>
      <c r="AE261" s="24">
        <f t="shared" si="179"/>
        <v>9.0986493612251654E-2</v>
      </c>
      <c r="AF261" s="24">
        <f t="shared" si="180"/>
        <v>9.5358419658759644E-2</v>
      </c>
      <c r="AG261" s="24">
        <f t="shared" si="181"/>
        <v>9.9727280234965562E-2</v>
      </c>
      <c r="AH261" s="24">
        <f t="shared" si="182"/>
        <v>0.1040691581074404</v>
      </c>
      <c r="AL261" s="23">
        <f t="shared" si="166"/>
        <v>0</v>
      </c>
      <c r="AM261" s="23">
        <f t="shared" si="167"/>
        <v>0</v>
      </c>
      <c r="AN261" s="23">
        <f t="shared" si="168"/>
        <v>0</v>
      </c>
      <c r="AO261" s="23">
        <f t="shared" si="169"/>
        <v>0</v>
      </c>
      <c r="AP261" s="23">
        <f t="shared" si="170"/>
        <v>0</v>
      </c>
      <c r="AQ261" s="23">
        <f t="shared" si="171"/>
        <v>9087.0425237462368</v>
      </c>
      <c r="AR261" s="23">
        <f t="shared" si="172"/>
        <v>11148.493931896321</v>
      </c>
      <c r="AS261" s="23">
        <f t="shared" si="173"/>
        <v>12625.403003603422</v>
      </c>
      <c r="AT261" s="23">
        <f t="shared" si="174"/>
        <v>13878.339240777977</v>
      </c>
      <c r="AU261" s="23">
        <f t="shared" si="175"/>
        <v>14895.427058236579</v>
      </c>
      <c r="AW261" s="25"/>
      <c r="AX261" s="25"/>
      <c r="AY261" s="25"/>
      <c r="AZ261" s="25"/>
      <c r="BA261" s="25"/>
      <c r="BB261" s="25">
        <f t="shared" si="185"/>
        <v>61634.705758260534</v>
      </c>
      <c r="BC261" s="25">
        <f t="shared" si="186"/>
        <v>52547.663234514301</v>
      </c>
      <c r="BD261" s="25">
        <f t="shared" si="187"/>
        <v>41399.169302617978</v>
      </c>
      <c r="BE261" s="25">
        <f t="shared" si="188"/>
        <v>28773.766299014555</v>
      </c>
      <c r="BF261" s="25">
        <f t="shared" si="189"/>
        <v>14895.427058236579</v>
      </c>
      <c r="BG261" s="25">
        <f t="shared" si="190"/>
        <v>0</v>
      </c>
      <c r="BI261" s="25"/>
      <c r="BJ261" s="25"/>
      <c r="BK261" s="25"/>
      <c r="BL261" s="25"/>
      <c r="BM261" s="25"/>
      <c r="BN261" s="25">
        <f t="shared" si="199"/>
        <v>61634.705758260534</v>
      </c>
      <c r="BO261" s="25">
        <f t="shared" si="200"/>
        <v>52547.663234514301</v>
      </c>
      <c r="BP261" s="25">
        <f t="shared" si="201"/>
        <v>41399.169302617978</v>
      </c>
      <c r="BQ261" s="25">
        <f t="shared" si="202"/>
        <v>28773.766299014555</v>
      </c>
      <c r="BR261" s="25">
        <f t="shared" si="203"/>
        <v>14895.427058236579</v>
      </c>
      <c r="BS261" s="25">
        <f t="shared" si="204"/>
        <v>0</v>
      </c>
    </row>
    <row r="262" spans="1:71" x14ac:dyDescent="0.2">
      <c r="A262" s="29">
        <f t="shared" si="191"/>
        <v>2.5399999999999898</v>
      </c>
      <c r="B262" s="30">
        <v>6.4062820403325643E-2</v>
      </c>
      <c r="C262" s="30">
        <v>6.7930795823364712E-2</v>
      </c>
      <c r="D262" s="30">
        <v>7.177828892010292E-2</v>
      </c>
      <c r="E262" s="30">
        <v>7.5746293377261589E-2</v>
      </c>
      <c r="F262" s="30">
        <v>7.9878857520463711E-2</v>
      </c>
      <c r="G262" s="30">
        <v>8.4147748215472745E-2</v>
      </c>
      <c r="H262" s="30">
        <v>8.8504849630312979E-2</v>
      </c>
      <c r="I262" s="30">
        <v>9.2905894157038899E-2</v>
      </c>
      <c r="J262" s="30">
        <v>9.7315490481804864E-2</v>
      </c>
      <c r="K262" s="30">
        <v>0.10170573038786454</v>
      </c>
      <c r="L262" s="30">
        <v>0.10605370346815998</v>
      </c>
      <c r="N262" s="1"/>
      <c r="O262" s="1"/>
      <c r="P262" s="1"/>
      <c r="Q262" s="1"/>
      <c r="R262" s="1"/>
      <c r="S262" s="1">
        <f t="shared" si="193"/>
        <v>0.9587989475394052</v>
      </c>
      <c r="T262" s="64">
        <f t="shared" si="205"/>
        <v>0.95671242903238674</v>
      </c>
      <c r="U262" s="66">
        <f t="shared" si="206"/>
        <v>0.91127925296343681</v>
      </c>
      <c r="V262" s="1">
        <f t="shared" si="207"/>
        <v>0.86418083205054774</v>
      </c>
      <c r="W262" s="68">
        <f t="shared" si="208"/>
        <v>0.81594244403564697</v>
      </c>
      <c r="Y262" s="24"/>
      <c r="Z262" s="24"/>
      <c r="AA262" s="24"/>
      <c r="AB262" s="24"/>
      <c r="AC262" s="24"/>
      <c r="AD262" s="24">
        <f t="shared" si="178"/>
        <v>8.8504849630312979E-2</v>
      </c>
      <c r="AE262" s="24">
        <f t="shared" si="179"/>
        <v>9.2905894157038899E-2</v>
      </c>
      <c r="AF262" s="24">
        <f t="shared" si="180"/>
        <v>9.7315490481804864E-2</v>
      </c>
      <c r="AG262" s="24">
        <f t="shared" si="181"/>
        <v>0.10170573038786454</v>
      </c>
      <c r="AH262" s="24">
        <f t="shared" si="182"/>
        <v>0.10605370346815998</v>
      </c>
      <c r="AL262" s="23">
        <f t="shared" si="166"/>
        <v>0</v>
      </c>
      <c r="AM262" s="23">
        <f t="shared" si="167"/>
        <v>0</v>
      </c>
      <c r="AN262" s="23">
        <f t="shared" si="168"/>
        <v>0</v>
      </c>
      <c r="AO262" s="23">
        <f t="shared" si="169"/>
        <v>0</v>
      </c>
      <c r="AP262" s="23">
        <f t="shared" si="170"/>
        <v>0</v>
      </c>
      <c r="AQ262" s="23">
        <f t="shared" si="171"/>
        <v>9972.698738453606</v>
      </c>
      <c r="AR262" s="23">
        <f t="shared" si="172"/>
        <v>12056.263356736541</v>
      </c>
      <c r="AS262" s="23">
        <f t="shared" si="173"/>
        <v>13492.912058752119</v>
      </c>
      <c r="AT262" s="23">
        <f t="shared" si="174"/>
        <v>14692.526993019612</v>
      </c>
      <c r="AU262" s="23">
        <f t="shared" si="175"/>
        <v>15646.241189963475</v>
      </c>
      <c r="AW262" s="25"/>
      <c r="AX262" s="25"/>
      <c r="AY262" s="25"/>
      <c r="AZ262" s="25"/>
      <c r="BA262" s="25"/>
      <c r="BB262" s="25">
        <f t="shared" si="185"/>
        <v>65860.642336925346</v>
      </c>
      <c r="BC262" s="25">
        <f t="shared" si="186"/>
        <v>55887.943598471742</v>
      </c>
      <c r="BD262" s="25">
        <f t="shared" si="187"/>
        <v>43831.680241735208</v>
      </c>
      <c r="BE262" s="25">
        <f t="shared" si="188"/>
        <v>30338.768182983087</v>
      </c>
      <c r="BF262" s="25">
        <f t="shared" si="189"/>
        <v>15646.241189963475</v>
      </c>
      <c r="BG262" s="25">
        <f t="shared" si="190"/>
        <v>0</v>
      </c>
      <c r="BI262" s="25"/>
      <c r="BJ262" s="25"/>
      <c r="BK262" s="25"/>
      <c r="BL262" s="25"/>
      <c r="BM262" s="25"/>
      <c r="BN262" s="25">
        <f t="shared" si="199"/>
        <v>65860.642336925346</v>
      </c>
      <c r="BO262" s="25">
        <f t="shared" si="200"/>
        <v>55887.943598471742</v>
      </c>
      <c r="BP262" s="25">
        <f t="shared" si="201"/>
        <v>43831.680241735208</v>
      </c>
      <c r="BQ262" s="25">
        <f t="shared" si="202"/>
        <v>30338.768182983087</v>
      </c>
      <c r="BR262" s="25">
        <f t="shared" si="203"/>
        <v>15646.241189963475</v>
      </c>
      <c r="BS262" s="25">
        <f t="shared" si="204"/>
        <v>0</v>
      </c>
    </row>
    <row r="263" spans="1:71" x14ac:dyDescent="0.2">
      <c r="A263" s="29">
        <f t="shared" si="191"/>
        <v>2.5499999999999896</v>
      </c>
      <c r="B263" s="30">
        <v>6.5605778742815563E-2</v>
      </c>
      <c r="C263" s="30">
        <v>6.9466419137320046E-2</v>
      </c>
      <c r="D263" s="30">
        <v>7.3309832970484948E-2</v>
      </c>
      <c r="E263" s="30">
        <v>7.7275071556658678E-2</v>
      </c>
      <c r="F263" s="30">
        <v>8.1404731301993438E-2</v>
      </c>
      <c r="G263" s="30">
        <v>8.5670172801835309E-2</v>
      </c>
      <c r="H263" s="30">
        <v>9.0023346697691672E-2</v>
      </c>
      <c r="I263" s="30">
        <v>9.4420150945635967E-2</v>
      </c>
      <c r="J263" s="30">
        <v>9.8825330818955087E-2</v>
      </c>
      <c r="K263" s="30">
        <v>0.10321106418374379</v>
      </c>
      <c r="L263" s="30">
        <v>0.10755448922936017</v>
      </c>
      <c r="N263" s="1"/>
      <c r="O263" s="1"/>
      <c r="P263" s="1"/>
      <c r="Q263" s="1"/>
      <c r="R263" s="1"/>
      <c r="S263" s="1">
        <f t="shared" si="193"/>
        <v>0.95806937570860096</v>
      </c>
      <c r="T263" s="64">
        <f t="shared" si="205"/>
        <v>0.955986322206134</v>
      </c>
      <c r="U263" s="66">
        <f t="shared" si="206"/>
        <v>0.9099003864108236</v>
      </c>
      <c r="V263" s="1">
        <f t="shared" si="207"/>
        <v>0.86222588401246858</v>
      </c>
      <c r="W263" s="68">
        <f t="shared" si="208"/>
        <v>0.81348960675423798</v>
      </c>
      <c r="Y263" s="24"/>
      <c r="Z263" s="24"/>
      <c r="AA263" s="24"/>
      <c r="AB263" s="24"/>
      <c r="AC263" s="24"/>
      <c r="AD263" s="24">
        <f t="shared" si="178"/>
        <v>9.0023346697691672E-2</v>
      </c>
      <c r="AE263" s="24">
        <f t="shared" si="179"/>
        <v>9.4420150945635967E-2</v>
      </c>
      <c r="AF263" s="24">
        <f t="shared" si="180"/>
        <v>9.8825330818955087E-2</v>
      </c>
      <c r="AG263" s="24">
        <f t="shared" si="181"/>
        <v>0.10321106418374379</v>
      </c>
      <c r="AH263" s="24">
        <f t="shared" si="182"/>
        <v>0.10755448922936017</v>
      </c>
      <c r="AL263" s="23">
        <f t="shared" si="166"/>
        <v>0</v>
      </c>
      <c r="AM263" s="23">
        <f t="shared" si="167"/>
        <v>0</v>
      </c>
      <c r="AN263" s="23">
        <f t="shared" si="168"/>
        <v>0</v>
      </c>
      <c r="AO263" s="23">
        <f t="shared" si="169"/>
        <v>0</v>
      </c>
      <c r="AP263" s="23">
        <f t="shared" si="170"/>
        <v>0</v>
      </c>
      <c r="AQ263" s="23">
        <f t="shared" si="171"/>
        <v>10692.523054835137</v>
      </c>
      <c r="AR263" s="23">
        <f t="shared" si="172"/>
        <v>12770.917519651926</v>
      </c>
      <c r="AS263" s="23">
        <f t="shared" si="173"/>
        <v>14159.397939805462</v>
      </c>
      <c r="AT263" s="23">
        <f t="shared" si="174"/>
        <v>15308.258471185167</v>
      </c>
      <c r="AU263" s="23">
        <f t="shared" si="175"/>
        <v>16209.643206620998</v>
      </c>
      <c r="AW263" s="25"/>
      <c r="AX263" s="25"/>
      <c r="AY263" s="25"/>
      <c r="AZ263" s="25"/>
      <c r="BA263" s="25"/>
      <c r="BB263" s="25">
        <f t="shared" si="185"/>
        <v>69140.740192098689</v>
      </c>
      <c r="BC263" s="25">
        <f t="shared" si="186"/>
        <v>58448.217137263549</v>
      </c>
      <c r="BD263" s="25">
        <f t="shared" si="187"/>
        <v>45677.299617611628</v>
      </c>
      <c r="BE263" s="25">
        <f t="shared" si="188"/>
        <v>31517.901677806163</v>
      </c>
      <c r="BF263" s="25">
        <f t="shared" si="189"/>
        <v>16209.643206620998</v>
      </c>
      <c r="BG263" s="25">
        <f t="shared" si="190"/>
        <v>0</v>
      </c>
      <c r="BI263" s="25"/>
      <c r="BJ263" s="25"/>
      <c r="BK263" s="25"/>
      <c r="BL263" s="25"/>
      <c r="BM263" s="25"/>
      <c r="BN263" s="25">
        <f t="shared" si="199"/>
        <v>69140.740192098689</v>
      </c>
      <c r="BO263" s="25">
        <f t="shared" si="200"/>
        <v>58448.217137263549</v>
      </c>
      <c r="BP263" s="25">
        <f t="shared" si="201"/>
        <v>45677.299617611628</v>
      </c>
      <c r="BQ263" s="25">
        <f t="shared" si="202"/>
        <v>31517.901677806163</v>
      </c>
      <c r="BR263" s="25">
        <f t="shared" si="203"/>
        <v>16209.643206620998</v>
      </c>
      <c r="BS263" s="25">
        <f t="shared" si="204"/>
        <v>0</v>
      </c>
    </row>
    <row r="264" spans="1:71" x14ac:dyDescent="0.2">
      <c r="A264" s="29">
        <f t="shared" si="191"/>
        <v>2.5599999999999894</v>
      </c>
      <c r="B264" s="30">
        <v>6.6609888419579072E-2</v>
      </c>
      <c r="C264" s="30">
        <v>7.0560497955199794E-2</v>
      </c>
      <c r="D264" s="30">
        <v>7.4482863639016586E-2</v>
      </c>
      <c r="E264" s="30">
        <v>7.8514727483039295E-2</v>
      </c>
      <c r="F264" s="30">
        <v>8.2697878144966847E-2</v>
      </c>
      <c r="G264" s="30">
        <v>8.7003902662642282E-2</v>
      </c>
      <c r="H264" s="30">
        <v>9.1385443390903182E-2</v>
      </c>
      <c r="I264" s="30">
        <v>9.5799186528340546E-2</v>
      </c>
      <c r="J264" s="30">
        <v>0.10021063618332439</v>
      </c>
      <c r="K264" s="30">
        <v>0.10459267881309842</v>
      </c>
      <c r="L264" s="30">
        <v>0.10892312403757101</v>
      </c>
      <c r="N264" s="1"/>
      <c r="O264" s="1"/>
      <c r="P264" s="1"/>
      <c r="Q264" s="1"/>
      <c r="R264" s="1"/>
      <c r="S264" s="1">
        <f t="shared" si="193"/>
        <v>0.95743068582465907</v>
      </c>
      <c r="T264" s="64">
        <f t="shared" si="205"/>
        <v>0.95533547095775795</v>
      </c>
      <c r="U264" s="66">
        <f t="shared" si="206"/>
        <v>0.90864646620025968</v>
      </c>
      <c r="V264" s="1">
        <f t="shared" si="207"/>
        <v>0.86043607501685937</v>
      </c>
      <c r="W264" s="68">
        <f t="shared" si="208"/>
        <v>0.81124485128649937</v>
      </c>
      <c r="Y264" s="24"/>
      <c r="Z264" s="24"/>
      <c r="AA264" s="24"/>
      <c r="AB264" s="24"/>
      <c r="AC264" s="24"/>
      <c r="AD264" s="24">
        <f t="shared" si="178"/>
        <v>9.1385443390903195E-2</v>
      </c>
      <c r="AE264" s="24">
        <f t="shared" si="179"/>
        <v>9.5799186528340546E-2</v>
      </c>
      <c r="AF264" s="24">
        <f t="shared" si="180"/>
        <v>0.10021063618332439</v>
      </c>
      <c r="AG264" s="24">
        <f t="shared" si="181"/>
        <v>0.10459267881309842</v>
      </c>
      <c r="AH264" s="24">
        <f t="shared" si="182"/>
        <v>0.10892312403757101</v>
      </c>
      <c r="AL264" s="23">
        <f t="shared" ref="AL264:AL327" si="209">N*(Y264-fix)*N264*time</f>
        <v>0</v>
      </c>
      <c r="AM264" s="23">
        <f t="shared" ref="AM264:AM327" si="210">N*(Z264-fix)*O264*time</f>
        <v>0</v>
      </c>
      <c r="AN264" s="23">
        <f t="shared" ref="AN264:AN327" si="211">N*(AA264-fix)*P264*time</f>
        <v>0</v>
      </c>
      <c r="AO264" s="23">
        <f t="shared" ref="AO264:AO327" si="212">N*(AB264-fix)*Q264*time</f>
        <v>0</v>
      </c>
      <c r="AP264" s="23">
        <f t="shared" ref="AP264:AP327" si="213">N*(AC264-fix)*R264*time</f>
        <v>0</v>
      </c>
      <c r="AQ264" s="23">
        <f t="shared" ref="AQ264:AQ327" si="214">N*(AD264-fix)*S264*time</f>
        <v>11337.451548764169</v>
      </c>
      <c r="AR264" s="23">
        <f t="shared" ref="AR264:AR327" si="215">N*(AE264-fix)*T264*time</f>
        <v>13420.943672400799</v>
      </c>
      <c r="AS264" s="23">
        <f t="shared" ref="AS264:AS327" si="216">N*(AF264-fix)*U264*time</f>
        <v>14769.26149574177</v>
      </c>
      <c r="AT264" s="23">
        <f t="shared" ref="AT264:AT327" si="217">N*(AG264-fix)*V264*time</f>
        <v>15870.87711370839</v>
      </c>
      <c r="AU264" s="23">
        <f t="shared" ref="AU264:AU327" si="218">N*(AH264-fix)*W264*time</f>
        <v>16720.063043851216</v>
      </c>
      <c r="AW264" s="25"/>
      <c r="AX264" s="25"/>
      <c r="AY264" s="25"/>
      <c r="AZ264" s="25"/>
      <c r="BA264" s="25"/>
      <c r="BB264" s="25">
        <f t="shared" si="185"/>
        <v>72118.596874466341</v>
      </c>
      <c r="BC264" s="25">
        <f t="shared" si="186"/>
        <v>60781.145325702179</v>
      </c>
      <c r="BD264" s="25">
        <f t="shared" si="187"/>
        <v>47360.201653301374</v>
      </c>
      <c r="BE264" s="25">
        <f t="shared" si="188"/>
        <v>32590.940157559606</v>
      </c>
      <c r="BF264" s="25">
        <f t="shared" si="189"/>
        <v>16720.063043851216</v>
      </c>
      <c r="BG264" s="25">
        <f t="shared" si="190"/>
        <v>0</v>
      </c>
      <c r="BI264" s="25"/>
      <c r="BJ264" s="25"/>
      <c r="BK264" s="25"/>
      <c r="BL264" s="25"/>
      <c r="BM264" s="25"/>
      <c r="BN264" s="25">
        <f t="shared" si="199"/>
        <v>72118.596874466341</v>
      </c>
      <c r="BO264" s="25">
        <f t="shared" si="200"/>
        <v>60781.145325702179</v>
      </c>
      <c r="BP264" s="25">
        <f t="shared" si="201"/>
        <v>47360.201653301374</v>
      </c>
      <c r="BQ264" s="25">
        <f t="shared" si="202"/>
        <v>32590.940157559606</v>
      </c>
      <c r="BR264" s="25">
        <f t="shared" si="203"/>
        <v>16720.063043851216</v>
      </c>
      <c r="BS264" s="25">
        <f t="shared" si="204"/>
        <v>0</v>
      </c>
    </row>
    <row r="265" spans="1:71" x14ac:dyDescent="0.2">
      <c r="A265" s="29">
        <f t="shared" si="191"/>
        <v>2.5699999999999892</v>
      </c>
      <c r="B265" s="30">
        <v>6.658318297020524E-2</v>
      </c>
      <c r="C265" s="30">
        <v>7.0308964636710825E-2</v>
      </c>
      <c r="D265" s="30">
        <v>7.4037014407398322E-2</v>
      </c>
      <c r="E265" s="30">
        <v>7.790200873853409E-2</v>
      </c>
      <c r="F265" s="30">
        <v>8.1943182938700079E-2</v>
      </c>
      <c r="G265" s="30">
        <v>8.6130593509170378E-2</v>
      </c>
      <c r="H265" s="30">
        <v>9.0415810164213808E-2</v>
      </c>
      <c r="I265" s="30">
        <v>9.4754540472307622E-2</v>
      </c>
      <c r="J265" s="30">
        <v>9.9111280087543607E-2</v>
      </c>
      <c r="K265" s="30">
        <v>0.10345785703061978</v>
      </c>
      <c r="L265" s="30">
        <v>0.10777098564824311</v>
      </c>
      <c r="N265" s="1"/>
      <c r="O265" s="1"/>
      <c r="P265" s="1"/>
      <c r="Q265" s="1"/>
      <c r="R265" s="1"/>
      <c r="S265" s="1">
        <f t="shared" si="193"/>
        <v>0.9578488436041418</v>
      </c>
      <c r="T265" s="64">
        <f t="shared" si="205"/>
        <v>0.95579874575798129</v>
      </c>
      <c r="U265" s="66">
        <f t="shared" si="206"/>
        <v>0.90959617611649612</v>
      </c>
      <c r="V265" s="1">
        <f t="shared" si="207"/>
        <v>0.86185613402410421</v>
      </c>
      <c r="W265" s="68">
        <f t="shared" si="208"/>
        <v>0.81308817899997643</v>
      </c>
      <c r="Y265" s="24"/>
      <c r="Z265" s="24"/>
      <c r="AA265" s="24"/>
      <c r="AB265" s="24"/>
      <c r="AC265" s="24"/>
      <c r="AD265" s="24">
        <f t="shared" ref="AD265:AD308" si="219">(H265*$AD$7-G265*$X$7)/($AD$7-$X$7)</f>
        <v>9.0415810164213808E-2</v>
      </c>
      <c r="AE265" s="24">
        <f t="shared" ref="AE265:AE328" si="220">(I265*$AE$7-H265*$X$7)/($AE$7-$X$7)</f>
        <v>9.4754540472307622E-2</v>
      </c>
      <c r="AF265" s="24">
        <f t="shared" ref="AF265:AF328" si="221">(J265*$AF$7-I265*$X$7)/($AF$7-$X$7)</f>
        <v>9.9111280087543607E-2</v>
      </c>
      <c r="AG265" s="24">
        <f t="shared" ref="AG265:AG328" si="222">(K265*$AG$7-J265*$X$7)/($AG$7-$X$7)</f>
        <v>0.10345785703061978</v>
      </c>
      <c r="AH265" s="24">
        <f t="shared" ref="AH265:AH328" si="223">(L265*$AH$7-K265*$X$7)/($AH$7-$X$7)</f>
        <v>0.10777098564824313</v>
      </c>
      <c r="AL265" s="23">
        <f t="shared" si="209"/>
        <v>0</v>
      </c>
      <c r="AM265" s="23">
        <f t="shared" si="210"/>
        <v>0</v>
      </c>
      <c r="AN265" s="23">
        <f t="shared" si="211"/>
        <v>0</v>
      </c>
      <c r="AO265" s="23">
        <f t="shared" si="212"/>
        <v>0</v>
      </c>
      <c r="AP265" s="23">
        <f t="shared" si="213"/>
        <v>0</v>
      </c>
      <c r="AQ265" s="23">
        <f t="shared" si="214"/>
        <v>10878.022147416683</v>
      </c>
      <c r="AR265" s="23">
        <f t="shared" si="215"/>
        <v>12928.216251333495</v>
      </c>
      <c r="AS265" s="23">
        <f t="shared" si="216"/>
        <v>14284.713157604034</v>
      </c>
      <c r="AT265" s="23">
        <f t="shared" si="217"/>
        <v>15408.043765644623</v>
      </c>
      <c r="AU265" s="23">
        <f t="shared" si="218"/>
        <v>16289.659672355385</v>
      </c>
      <c r="AW265" s="25"/>
      <c r="AX265" s="25"/>
      <c r="AY265" s="25"/>
      <c r="AZ265" s="25"/>
      <c r="BA265" s="25"/>
      <c r="BB265" s="25">
        <f t="shared" ref="BB265:BB308" si="224">SUM(AQ265:AU265)</f>
        <v>69788.65499435422</v>
      </c>
      <c r="BC265" s="25">
        <f t="shared" ref="BC265:BC328" si="225">SUM(AR265:AU265)</f>
        <v>58910.632846937529</v>
      </c>
      <c r="BD265" s="25">
        <f t="shared" ref="BD265:BD328" si="226">SUM(AS265:AU265)</f>
        <v>45982.416595604038</v>
      </c>
      <c r="BE265" s="25">
        <f t="shared" ref="BE265:BE328" si="227">SUM(AT265:AU265)</f>
        <v>31697.703438000008</v>
      </c>
      <c r="BF265" s="25">
        <f t="shared" ref="BF265:BF328" si="228">SUM(AU265)</f>
        <v>16289.659672355385</v>
      </c>
      <c r="BG265" s="25">
        <f t="shared" ref="BG265:BG328" si="229">SUM(AV265)</f>
        <v>0</v>
      </c>
      <c r="BI265" s="25"/>
      <c r="BJ265" s="25"/>
      <c r="BK265" s="25"/>
      <c r="BL265" s="25"/>
      <c r="BM265" s="25"/>
      <c r="BN265" s="25">
        <f t="shared" si="199"/>
        <v>69788.65499435422</v>
      </c>
      <c r="BO265" s="25">
        <f t="shared" si="200"/>
        <v>58910.632846937529</v>
      </c>
      <c r="BP265" s="25">
        <f t="shared" si="201"/>
        <v>45982.416595604038</v>
      </c>
      <c r="BQ265" s="25">
        <f t="shared" si="202"/>
        <v>31697.703438000008</v>
      </c>
      <c r="BR265" s="25">
        <f t="shared" si="203"/>
        <v>16289.659672355385</v>
      </c>
      <c r="BS265" s="25">
        <f t="shared" si="204"/>
        <v>0</v>
      </c>
    </row>
    <row r="266" spans="1:71" x14ac:dyDescent="0.2">
      <c r="A266" s="29">
        <f t="shared" ref="A266:A329" si="230">A265+0.01</f>
        <v>2.579999999999989</v>
      </c>
      <c r="B266" s="30">
        <v>6.6067999352943135E-2</v>
      </c>
      <c r="C266" s="30">
        <v>6.981823982097439E-2</v>
      </c>
      <c r="D266" s="30">
        <v>7.3577122840577686E-2</v>
      </c>
      <c r="E266" s="30">
        <v>7.7477177660089019E-2</v>
      </c>
      <c r="F266" s="30">
        <v>8.1556014798904855E-2</v>
      </c>
      <c r="G266" s="30">
        <v>8.5783077483330861E-2</v>
      </c>
      <c r="H266" s="30">
        <v>9.0109772770956803E-2</v>
      </c>
      <c r="I266" s="30">
        <v>9.4491737107343418E-2</v>
      </c>
      <c r="J266" s="30">
        <v>9.8893364796339492E-2</v>
      </c>
      <c r="K266" s="30">
        <v>0.1032863327890448</v>
      </c>
      <c r="L266" s="30">
        <v>0.10764716784797393</v>
      </c>
      <c r="N266" s="1"/>
      <c r="O266" s="1"/>
      <c r="P266" s="1"/>
      <c r="Q266" s="1"/>
      <c r="R266" s="1"/>
      <c r="S266" s="1">
        <f t="shared" si="193"/>
        <v>0.95801529197633439</v>
      </c>
      <c r="T266" s="64">
        <f t="shared" si="205"/>
        <v>0.95594501202674786</v>
      </c>
      <c r="U266" s="66">
        <f t="shared" si="206"/>
        <v>0.90983525246599672</v>
      </c>
      <c r="V266" s="1">
        <f t="shared" si="207"/>
        <v>0.86213789751765868</v>
      </c>
      <c r="W266" s="68">
        <f t="shared" si="208"/>
        <v>0.81336715551494876</v>
      </c>
      <c r="Y266" s="24"/>
      <c r="Z266" s="24"/>
      <c r="AA266" s="24"/>
      <c r="AB266" s="24"/>
      <c r="AC266" s="24"/>
      <c r="AD266" s="24">
        <f t="shared" si="219"/>
        <v>9.0109772770956817E-2</v>
      </c>
      <c r="AE266" s="24">
        <f t="shared" si="220"/>
        <v>9.4491737107343418E-2</v>
      </c>
      <c r="AF266" s="24">
        <f t="shared" si="221"/>
        <v>9.8893364796339492E-2</v>
      </c>
      <c r="AG266" s="24">
        <f t="shared" si="222"/>
        <v>0.1032863327890448</v>
      </c>
      <c r="AH266" s="24">
        <f t="shared" si="223"/>
        <v>0.10764716784797393</v>
      </c>
      <c r="AL266" s="23">
        <f t="shared" si="209"/>
        <v>0</v>
      </c>
      <c r="AM266" s="23">
        <f t="shared" si="210"/>
        <v>0</v>
      </c>
      <c r="AN266" s="23">
        <f t="shared" si="211"/>
        <v>0</v>
      </c>
      <c r="AO266" s="23">
        <f t="shared" si="212"/>
        <v>0</v>
      </c>
      <c r="AP266" s="23">
        <f t="shared" si="213"/>
        <v>0</v>
      </c>
      <c r="AQ266" s="23">
        <f t="shared" si="214"/>
        <v>10733.318203824432</v>
      </c>
      <c r="AR266" s="23">
        <f t="shared" si="215"/>
        <v>12804.581878556328</v>
      </c>
      <c r="AS266" s="23">
        <f t="shared" si="216"/>
        <v>14189.334214629374</v>
      </c>
      <c r="AT266" s="23">
        <f t="shared" si="217"/>
        <v>15339.142286891332</v>
      </c>
      <c r="AU266" s="23">
        <f t="shared" si="218"/>
        <v>16244.89410800509</v>
      </c>
      <c r="AW266" s="25"/>
      <c r="AX266" s="25"/>
      <c r="AY266" s="25"/>
      <c r="AZ266" s="25"/>
      <c r="BA266" s="25"/>
      <c r="BB266" s="25">
        <f t="shared" si="224"/>
        <v>69311.270691906553</v>
      </c>
      <c r="BC266" s="25">
        <f t="shared" si="225"/>
        <v>58577.952488082126</v>
      </c>
      <c r="BD266" s="25">
        <f t="shared" si="226"/>
        <v>45773.370609525795</v>
      </c>
      <c r="BE266" s="25">
        <f t="shared" si="227"/>
        <v>31584.036394896422</v>
      </c>
      <c r="BF266" s="25">
        <f t="shared" si="228"/>
        <v>16244.89410800509</v>
      </c>
      <c r="BG266" s="25">
        <f t="shared" si="229"/>
        <v>0</v>
      </c>
      <c r="BI266" s="25"/>
      <c r="BJ266" s="25"/>
      <c r="BK266" s="25"/>
      <c r="BL266" s="25"/>
      <c r="BM266" s="25"/>
      <c r="BN266" s="25">
        <f t="shared" si="199"/>
        <v>69311.270691906553</v>
      </c>
      <c r="BO266" s="25">
        <f t="shared" si="200"/>
        <v>58577.952488082126</v>
      </c>
      <c r="BP266" s="25">
        <f t="shared" si="201"/>
        <v>45773.370609525795</v>
      </c>
      <c r="BQ266" s="25">
        <f t="shared" si="202"/>
        <v>31584.036394896422</v>
      </c>
      <c r="BR266" s="25">
        <f t="shared" si="203"/>
        <v>16244.89410800509</v>
      </c>
      <c r="BS266" s="25">
        <f t="shared" si="204"/>
        <v>0</v>
      </c>
    </row>
    <row r="267" spans="1:71" x14ac:dyDescent="0.2">
      <c r="A267" s="29">
        <f t="shared" si="230"/>
        <v>2.5899999999999888</v>
      </c>
      <c r="B267" s="30">
        <v>6.647147757464214E-2</v>
      </c>
      <c r="C267" s="30">
        <v>7.0331601043543732E-2</v>
      </c>
      <c r="D267" s="30">
        <v>7.4194005141930391E-2</v>
      </c>
      <c r="E267" s="30">
        <v>7.8189640610174638E-2</v>
      </c>
      <c r="F267" s="30">
        <v>8.2355071660363807E-2</v>
      </c>
      <c r="G267" s="30">
        <v>8.6659695507792942E-2</v>
      </c>
      <c r="H267" s="30">
        <v>9.105531663564001E-2</v>
      </c>
      <c r="I267" s="30">
        <v>9.5498058013594705E-2</v>
      </c>
      <c r="J267" s="30">
        <v>9.9952769852467704E-2</v>
      </c>
      <c r="K267" s="30">
        <v>0.10439153555506067</v>
      </c>
      <c r="L267" s="30">
        <v>0.10879125214117856</v>
      </c>
      <c r="N267" s="1"/>
      <c r="O267" s="1"/>
      <c r="P267" s="1"/>
      <c r="Q267" s="1"/>
      <c r="R267" s="1"/>
      <c r="S267" s="1">
        <f t="shared" si="193"/>
        <v>0.9575954772510159</v>
      </c>
      <c r="T267" s="64">
        <f t="shared" si="205"/>
        <v>0.95549317487257779</v>
      </c>
      <c r="U267" s="66">
        <f t="shared" si="206"/>
        <v>0.90892012676248701</v>
      </c>
      <c r="V267" s="1">
        <f t="shared" si="207"/>
        <v>0.86076895563213818</v>
      </c>
      <c r="W267" s="68">
        <f t="shared" si="208"/>
        <v>0.81157126980388961</v>
      </c>
      <c r="Y267" s="24"/>
      <c r="Z267" s="24"/>
      <c r="AA267" s="24"/>
      <c r="AB267" s="24"/>
      <c r="AC267" s="24"/>
      <c r="AD267" s="24">
        <f t="shared" si="219"/>
        <v>9.1055316635639996E-2</v>
      </c>
      <c r="AE267" s="24">
        <f t="shared" si="220"/>
        <v>9.5498058013594705E-2</v>
      </c>
      <c r="AF267" s="24">
        <f t="shared" si="221"/>
        <v>9.9952769852467704E-2</v>
      </c>
      <c r="AG267" s="24">
        <f t="shared" si="222"/>
        <v>0.10439153555506067</v>
      </c>
      <c r="AH267" s="24">
        <f t="shared" si="223"/>
        <v>0.10879125214117855</v>
      </c>
      <c r="AL267" s="23">
        <f t="shared" si="209"/>
        <v>0</v>
      </c>
      <c r="AM267" s="23">
        <f t="shared" si="210"/>
        <v>0</v>
      </c>
      <c r="AN267" s="23">
        <f t="shared" si="211"/>
        <v>0</v>
      </c>
      <c r="AO267" s="23">
        <f t="shared" si="212"/>
        <v>0</v>
      </c>
      <c r="AP267" s="23">
        <f t="shared" si="213"/>
        <v>0</v>
      </c>
      <c r="AQ267" s="23">
        <f t="shared" si="214"/>
        <v>11181.338988770052</v>
      </c>
      <c r="AR267" s="23">
        <f t="shared" si="215"/>
        <v>13279.296041237814</v>
      </c>
      <c r="AS267" s="23">
        <f t="shared" si="216"/>
        <v>14656.51966214845</v>
      </c>
      <c r="AT267" s="23">
        <f t="shared" si="217"/>
        <v>15790.448212309382</v>
      </c>
      <c r="AU267" s="23">
        <f t="shared" si="218"/>
        <v>16673.278931680819</v>
      </c>
      <c r="AW267" s="25"/>
      <c r="AX267" s="25"/>
      <c r="AY267" s="25"/>
      <c r="AZ267" s="25"/>
      <c r="BA267" s="25"/>
      <c r="BB267" s="25">
        <f t="shared" si="224"/>
        <v>71580.881836146524</v>
      </c>
      <c r="BC267" s="25">
        <f t="shared" si="225"/>
        <v>60399.54284737647</v>
      </c>
      <c r="BD267" s="25">
        <f t="shared" si="226"/>
        <v>47120.246806138653</v>
      </c>
      <c r="BE267" s="25">
        <f t="shared" si="227"/>
        <v>32463.727143990203</v>
      </c>
      <c r="BF267" s="25">
        <f t="shared" si="228"/>
        <v>16673.278931680819</v>
      </c>
      <c r="BG267" s="25">
        <f t="shared" si="229"/>
        <v>0</v>
      </c>
      <c r="BI267" s="25"/>
      <c r="BJ267" s="25"/>
      <c r="BK267" s="25"/>
      <c r="BL267" s="25"/>
      <c r="BM267" s="25"/>
      <c r="BN267" s="25">
        <f t="shared" si="199"/>
        <v>71580.881836146524</v>
      </c>
      <c r="BO267" s="25">
        <f t="shared" si="200"/>
        <v>60399.54284737647</v>
      </c>
      <c r="BP267" s="25">
        <f t="shared" si="201"/>
        <v>47120.246806138653</v>
      </c>
      <c r="BQ267" s="25">
        <f t="shared" si="202"/>
        <v>32463.727143990203</v>
      </c>
      <c r="BR267" s="25">
        <f t="shared" si="203"/>
        <v>16673.278931680819</v>
      </c>
      <c r="BS267" s="25">
        <f t="shared" si="204"/>
        <v>0</v>
      </c>
    </row>
    <row r="268" spans="1:71" x14ac:dyDescent="0.2">
      <c r="A268" s="29">
        <f t="shared" si="230"/>
        <v>2.5999999999999885</v>
      </c>
      <c r="B268" s="30">
        <v>6.5211287178139093E-2</v>
      </c>
      <c r="C268" s="30">
        <v>6.9153105371891094E-2</v>
      </c>
      <c r="D268" s="30">
        <v>7.3096584552306651E-2</v>
      </c>
      <c r="E268" s="30">
        <v>7.7170835033830765E-2</v>
      </c>
      <c r="F268" s="30">
        <v>8.14111221651906E-2</v>
      </c>
      <c r="G268" s="30">
        <v>8.5786533457425443E-2</v>
      </c>
      <c r="H268" s="30">
        <v>9.0249000039295188E-2</v>
      </c>
      <c r="I268" s="30">
        <v>9.4754858230298111E-2</v>
      </c>
      <c r="J268" s="30">
        <v>9.9269140597124508E-2</v>
      </c>
      <c r="K268" s="30">
        <v>0.10376406370841258</v>
      </c>
      <c r="L268" s="30">
        <v>0.10821662187369849</v>
      </c>
      <c r="N268" s="1"/>
      <c r="O268" s="1"/>
      <c r="P268" s="1"/>
      <c r="Q268" s="1"/>
      <c r="R268" s="1"/>
      <c r="S268" s="1">
        <f t="shared" si="193"/>
        <v>0.95801363653974903</v>
      </c>
      <c r="T268" s="64">
        <f t="shared" si="205"/>
        <v>0.95587846753662353</v>
      </c>
      <c r="U268" s="66">
        <f t="shared" si="206"/>
        <v>0.90959588708508898</v>
      </c>
      <c r="V268" s="1">
        <f t="shared" si="207"/>
        <v>0.86165207861152249</v>
      </c>
      <c r="W268" s="68">
        <f t="shared" si="208"/>
        <v>0.81259038538317574</v>
      </c>
      <c r="Y268" s="24"/>
      <c r="Z268" s="24"/>
      <c r="AA268" s="24"/>
      <c r="AB268" s="24"/>
      <c r="AC268" s="24"/>
      <c r="AD268" s="24">
        <f t="shared" si="219"/>
        <v>9.0249000039295188E-2</v>
      </c>
      <c r="AE268" s="24">
        <f t="shared" si="220"/>
        <v>9.4754858230298097E-2</v>
      </c>
      <c r="AF268" s="24">
        <f t="shared" si="221"/>
        <v>9.9269140597124508E-2</v>
      </c>
      <c r="AG268" s="24">
        <f t="shared" si="222"/>
        <v>0.10376406370841258</v>
      </c>
      <c r="AH268" s="24">
        <f t="shared" si="223"/>
        <v>0.10821662187369849</v>
      </c>
      <c r="AL268" s="23">
        <f t="shared" si="209"/>
        <v>0</v>
      </c>
      <c r="AM268" s="23">
        <f t="shared" si="210"/>
        <v>0</v>
      </c>
      <c r="AN268" s="23">
        <f t="shared" si="211"/>
        <v>0</v>
      </c>
      <c r="AO268" s="23">
        <f t="shared" si="212"/>
        <v>0</v>
      </c>
      <c r="AP268" s="23">
        <f t="shared" si="213"/>
        <v>0</v>
      </c>
      <c r="AQ268" s="23">
        <f t="shared" si="214"/>
        <v>10799.990467628795</v>
      </c>
      <c r="AR268" s="23">
        <f t="shared" si="215"/>
        <v>12929.446443996118</v>
      </c>
      <c r="AS268" s="23">
        <f t="shared" si="216"/>
        <v>14356.503253646981</v>
      </c>
      <c r="AT268" s="23">
        <f t="shared" si="217"/>
        <v>15536.317525315717</v>
      </c>
      <c r="AU268" s="23">
        <f t="shared" si="218"/>
        <v>16460.746577401733</v>
      </c>
      <c r="AW268" s="25"/>
      <c r="AX268" s="25"/>
      <c r="AY268" s="25"/>
      <c r="AZ268" s="25"/>
      <c r="BA268" s="25"/>
      <c r="BB268" s="25">
        <f t="shared" si="224"/>
        <v>70083.004267989338</v>
      </c>
      <c r="BC268" s="25">
        <f t="shared" si="225"/>
        <v>59283.013800360546</v>
      </c>
      <c r="BD268" s="25">
        <f t="shared" si="226"/>
        <v>46353.56735636443</v>
      </c>
      <c r="BE268" s="25">
        <f t="shared" si="227"/>
        <v>31997.06410271745</v>
      </c>
      <c r="BF268" s="25">
        <f t="shared" si="228"/>
        <v>16460.746577401733</v>
      </c>
      <c r="BG268" s="25">
        <f t="shared" si="229"/>
        <v>0</v>
      </c>
      <c r="BI268" s="25"/>
      <c r="BJ268" s="25"/>
      <c r="BK268" s="25"/>
      <c r="BL268" s="25"/>
      <c r="BM268" s="25"/>
      <c r="BN268" s="25">
        <f t="shared" si="199"/>
        <v>70083.004267989338</v>
      </c>
      <c r="BO268" s="25">
        <f t="shared" si="200"/>
        <v>59283.013800360546</v>
      </c>
      <c r="BP268" s="25">
        <f t="shared" si="201"/>
        <v>46353.56735636443</v>
      </c>
      <c r="BQ268" s="25">
        <f t="shared" si="202"/>
        <v>31997.06410271745</v>
      </c>
      <c r="BR268" s="25">
        <f t="shared" si="203"/>
        <v>16460.746577401733</v>
      </c>
      <c r="BS268" s="25">
        <f t="shared" si="204"/>
        <v>0</v>
      </c>
    </row>
    <row r="269" spans="1:71" x14ac:dyDescent="0.2">
      <c r="A269" s="29">
        <f t="shared" si="230"/>
        <v>2.6099999999999883</v>
      </c>
      <c r="B269" s="30">
        <v>6.493067068069075E-2</v>
      </c>
      <c r="C269" s="30">
        <v>6.9017698296792204E-2</v>
      </c>
      <c r="D269" s="30">
        <v>7.3097215737852106E-2</v>
      </c>
      <c r="E269" s="30">
        <v>7.7296867248459994E-2</v>
      </c>
      <c r="F269" s="30">
        <v>8.1651002621985533E-2</v>
      </c>
      <c r="G269" s="30">
        <v>8.6128771917029751E-2</v>
      </c>
      <c r="H269" s="30">
        <v>9.0682598166839615E-2</v>
      </c>
      <c r="I269" s="30">
        <v>9.5269393945664069E-2</v>
      </c>
      <c r="J269" s="30">
        <v>9.9854736717092815E-2</v>
      </c>
      <c r="K269" s="30">
        <v>0.1044113390228992</v>
      </c>
      <c r="L269" s="30">
        <v>0.10891665558608113</v>
      </c>
      <c r="N269" s="1"/>
      <c r="O269" s="1"/>
      <c r="P269" s="1"/>
      <c r="Q269" s="1"/>
      <c r="R269" s="1"/>
      <c r="S269" s="1">
        <f t="shared" si="193"/>
        <v>0.95784971600950186</v>
      </c>
      <c r="T269" s="64">
        <f t="shared" si="205"/>
        <v>0.95567125644217876</v>
      </c>
      <c r="U269" s="66">
        <f t="shared" si="206"/>
        <v>0.90912798790037752</v>
      </c>
      <c r="V269" s="1">
        <f t="shared" si="207"/>
        <v>0.8608955407583937</v>
      </c>
      <c r="W269" s="68">
        <f t="shared" si="208"/>
        <v>0.81153912658936045</v>
      </c>
      <c r="Y269" s="24"/>
      <c r="Z269" s="24"/>
      <c r="AA269" s="24"/>
      <c r="AB269" s="24"/>
      <c r="AC269" s="24"/>
      <c r="AD269" s="24">
        <f t="shared" si="219"/>
        <v>9.0682598166839615E-2</v>
      </c>
      <c r="AE269" s="24">
        <f t="shared" si="220"/>
        <v>9.5269393945664069E-2</v>
      </c>
      <c r="AF269" s="24">
        <f t="shared" si="221"/>
        <v>9.9854736717092815E-2</v>
      </c>
      <c r="AG269" s="24">
        <f t="shared" si="222"/>
        <v>0.1044113390228992</v>
      </c>
      <c r="AH269" s="24">
        <f t="shared" si="223"/>
        <v>0.10891665558608113</v>
      </c>
      <c r="AL269" s="23">
        <f t="shared" si="209"/>
        <v>0</v>
      </c>
      <c r="AM269" s="23">
        <f t="shared" si="210"/>
        <v>0</v>
      </c>
      <c r="AN269" s="23">
        <f t="shared" si="211"/>
        <v>0</v>
      </c>
      <c r="AO269" s="23">
        <f t="shared" si="212"/>
        <v>0</v>
      </c>
      <c r="AP269" s="23">
        <f t="shared" si="213"/>
        <v>0</v>
      </c>
      <c r="AQ269" s="23">
        <f t="shared" si="214"/>
        <v>11005.803461355956</v>
      </c>
      <c r="AR269" s="23">
        <f t="shared" si="215"/>
        <v>13172.50715273794</v>
      </c>
      <c r="AS269" s="23">
        <f t="shared" si="216"/>
        <v>14615.309131204438</v>
      </c>
      <c r="AT269" s="23">
        <f t="shared" si="217"/>
        <v>15801.294722338753</v>
      </c>
      <c r="AU269" s="23">
        <f t="shared" si="218"/>
        <v>16723.503468346011</v>
      </c>
      <c r="AW269" s="25"/>
      <c r="AX269" s="25"/>
      <c r="AY269" s="25"/>
      <c r="AZ269" s="25"/>
      <c r="BA269" s="25"/>
      <c r="BB269" s="25">
        <f t="shared" si="224"/>
        <v>71318.417935983103</v>
      </c>
      <c r="BC269" s="25">
        <f t="shared" si="225"/>
        <v>60312.614474627146</v>
      </c>
      <c r="BD269" s="25">
        <f t="shared" si="226"/>
        <v>47140.107321889198</v>
      </c>
      <c r="BE269" s="25">
        <f t="shared" si="227"/>
        <v>32524.798190684764</v>
      </c>
      <c r="BF269" s="25">
        <f t="shared" si="228"/>
        <v>16723.503468346011</v>
      </c>
      <c r="BG269" s="25">
        <f t="shared" si="229"/>
        <v>0</v>
      </c>
      <c r="BI269" s="25"/>
      <c r="BJ269" s="25"/>
      <c r="BK269" s="25"/>
      <c r="BL269" s="25"/>
      <c r="BM269" s="25"/>
      <c r="BN269" s="25">
        <f t="shared" si="199"/>
        <v>71318.417935983103</v>
      </c>
      <c r="BO269" s="25">
        <f t="shared" si="200"/>
        <v>60312.614474627146</v>
      </c>
      <c r="BP269" s="25">
        <f t="shared" si="201"/>
        <v>47140.107321889198</v>
      </c>
      <c r="BQ269" s="25">
        <f t="shared" si="202"/>
        <v>32524.798190684764</v>
      </c>
      <c r="BR269" s="25">
        <f t="shared" si="203"/>
        <v>16723.503468346011</v>
      </c>
      <c r="BS269" s="25">
        <f t="shared" si="204"/>
        <v>0</v>
      </c>
    </row>
    <row r="270" spans="1:71" x14ac:dyDescent="0.2">
      <c r="A270" s="29">
        <f t="shared" si="230"/>
        <v>2.6199999999999881</v>
      </c>
      <c r="B270" s="30">
        <v>6.5118395259281744E-2</v>
      </c>
      <c r="C270" s="30">
        <v>6.9190063033808119E-2</v>
      </c>
      <c r="D270" s="30">
        <v>7.3258628300393799E-2</v>
      </c>
      <c r="E270" s="30">
        <v>7.7449801380608085E-2</v>
      </c>
      <c r="F270" s="30">
        <v>8.1796557211066753E-2</v>
      </c>
      <c r="G270" s="30">
        <v>8.6267638121616266E-2</v>
      </c>
      <c r="H270" s="30">
        <v>9.0815481873541201E-2</v>
      </c>
      <c r="I270" s="30">
        <v>9.5397097805229356E-2</v>
      </c>
      <c r="J270" s="30">
        <v>9.9978128435239788E-2</v>
      </c>
      <c r="K270" s="30">
        <v>0.10453130270383271</v>
      </c>
      <c r="L270" s="30">
        <v>0.10903405648738035</v>
      </c>
      <c r="N270" s="1"/>
      <c r="O270" s="1"/>
      <c r="P270" s="1"/>
      <c r="Q270" s="1"/>
      <c r="R270" s="1"/>
      <c r="S270" s="1">
        <f t="shared" si="193"/>
        <v>0.95778321184101067</v>
      </c>
      <c r="T270" s="64">
        <f t="shared" si="205"/>
        <v>0.95560776198207487</v>
      </c>
      <c r="U270" s="66">
        <f t="shared" si="206"/>
        <v>0.90901189616032319</v>
      </c>
      <c r="V270" s="1">
        <f t="shared" si="207"/>
        <v>0.86073621443363135</v>
      </c>
      <c r="W270" s="68">
        <f t="shared" si="208"/>
        <v>0.81134443950397928</v>
      </c>
      <c r="Y270" s="24"/>
      <c r="Z270" s="24"/>
      <c r="AA270" s="24"/>
      <c r="AB270" s="24"/>
      <c r="AC270" s="24"/>
      <c r="AD270" s="24">
        <f t="shared" si="219"/>
        <v>9.0815481873541201E-2</v>
      </c>
      <c r="AE270" s="24">
        <f t="shared" si="220"/>
        <v>9.5397097805229356E-2</v>
      </c>
      <c r="AF270" s="24">
        <f t="shared" si="221"/>
        <v>9.9978128435239788E-2</v>
      </c>
      <c r="AG270" s="24">
        <f t="shared" si="222"/>
        <v>0.10453130270383271</v>
      </c>
      <c r="AH270" s="24">
        <f t="shared" si="223"/>
        <v>0.10903405648738036</v>
      </c>
      <c r="AL270" s="23">
        <f t="shared" si="209"/>
        <v>0</v>
      </c>
      <c r="AM270" s="23">
        <f t="shared" si="210"/>
        <v>0</v>
      </c>
      <c r="AN270" s="23">
        <f t="shared" si="211"/>
        <v>0</v>
      </c>
      <c r="AO270" s="23">
        <f t="shared" si="212"/>
        <v>0</v>
      </c>
      <c r="AP270" s="23">
        <f t="shared" si="213"/>
        <v>0</v>
      </c>
      <c r="AQ270" s="23">
        <f t="shared" si="214"/>
        <v>11068.676212510029</v>
      </c>
      <c r="AR270" s="23">
        <f t="shared" si="215"/>
        <v>13232.64937574177</v>
      </c>
      <c r="AS270" s="23">
        <f t="shared" si="216"/>
        <v>14669.525088831444</v>
      </c>
      <c r="AT270" s="23">
        <f t="shared" si="217"/>
        <v>15849.99891191879</v>
      </c>
      <c r="AU270" s="23">
        <f t="shared" si="218"/>
        <v>16767.117807815524</v>
      </c>
      <c r="AW270" s="25"/>
      <c r="AX270" s="25"/>
      <c r="AY270" s="25"/>
      <c r="AZ270" s="25"/>
      <c r="BA270" s="25"/>
      <c r="BB270" s="25">
        <f t="shared" si="224"/>
        <v>71587.967396817563</v>
      </c>
      <c r="BC270" s="25">
        <f t="shared" si="225"/>
        <v>60519.291184307527</v>
      </c>
      <c r="BD270" s="25">
        <f t="shared" si="226"/>
        <v>47286.641808565764</v>
      </c>
      <c r="BE270" s="25">
        <f t="shared" si="227"/>
        <v>32617.116719734317</v>
      </c>
      <c r="BF270" s="25">
        <f t="shared" si="228"/>
        <v>16767.117807815524</v>
      </c>
      <c r="BG270" s="25">
        <f t="shared" si="229"/>
        <v>0</v>
      </c>
      <c r="BI270" s="25"/>
      <c r="BJ270" s="25"/>
      <c r="BK270" s="25"/>
      <c r="BL270" s="25"/>
      <c r="BM270" s="25"/>
      <c r="BN270" s="25">
        <f t="shared" si="199"/>
        <v>71587.967396817563</v>
      </c>
      <c r="BO270" s="25">
        <f t="shared" si="200"/>
        <v>60519.291184307527</v>
      </c>
      <c r="BP270" s="25">
        <f t="shared" si="201"/>
        <v>47286.641808565764</v>
      </c>
      <c r="BQ270" s="25">
        <f t="shared" si="202"/>
        <v>32617.116719734317</v>
      </c>
      <c r="BR270" s="25">
        <f t="shared" si="203"/>
        <v>16767.117807815524</v>
      </c>
      <c r="BS270" s="25">
        <f t="shared" si="204"/>
        <v>0</v>
      </c>
    </row>
    <row r="271" spans="1:71" x14ac:dyDescent="0.2">
      <c r="A271" s="29">
        <f t="shared" si="230"/>
        <v>2.6299999999999879</v>
      </c>
      <c r="B271" s="30">
        <v>6.4957188152533152E-2</v>
      </c>
      <c r="C271" s="30">
        <v>6.9109480755090907E-2</v>
      </c>
      <c r="D271" s="30">
        <v>7.3251743874014577E-2</v>
      </c>
      <c r="E271" s="30">
        <v>7.750822719700419E-2</v>
      </c>
      <c r="F271" s="30">
        <v>8.1911012254307261E-2</v>
      </c>
      <c r="G271" s="30">
        <v>8.6428904203977183E-2</v>
      </c>
      <c r="H271" s="30">
        <v>9.1014819283883802E-2</v>
      </c>
      <c r="I271" s="30">
        <v>9.5626325070196028E-2</v>
      </c>
      <c r="J271" s="30">
        <v>0.10022959027113827</v>
      </c>
      <c r="K271" s="30">
        <v>0.104797821628381</v>
      </c>
      <c r="L271" s="30">
        <v>0.10930889788728637</v>
      </c>
      <c r="N271" s="1"/>
      <c r="O271" s="1"/>
      <c r="P271" s="1"/>
      <c r="Q271" s="1"/>
      <c r="R271" s="1"/>
      <c r="S271" s="1">
        <f t="shared" si="193"/>
        <v>0.95770598598136814</v>
      </c>
      <c r="T271" s="64">
        <f t="shared" si="205"/>
        <v>0.95551252254006125</v>
      </c>
      <c r="U271" s="66">
        <f t="shared" si="206"/>
        <v>0.90880354972979771</v>
      </c>
      <c r="V271" s="1">
        <f t="shared" si="207"/>
        <v>0.8604116121932277</v>
      </c>
      <c r="W271" s="68">
        <f t="shared" si="208"/>
        <v>0.81091207745197602</v>
      </c>
      <c r="Y271" s="24"/>
      <c r="Z271" s="24"/>
      <c r="AA271" s="24"/>
      <c r="AB271" s="24"/>
      <c r="AC271" s="24"/>
      <c r="AD271" s="24">
        <f t="shared" si="219"/>
        <v>9.1014819283883816E-2</v>
      </c>
      <c r="AE271" s="24">
        <f t="shared" si="220"/>
        <v>9.5626325070196014E-2</v>
      </c>
      <c r="AF271" s="24">
        <f t="shared" si="221"/>
        <v>0.10022959027113827</v>
      </c>
      <c r="AG271" s="24">
        <f t="shared" si="222"/>
        <v>0.104797821628381</v>
      </c>
      <c r="AH271" s="24">
        <f t="shared" si="223"/>
        <v>0.10930889788728637</v>
      </c>
      <c r="AL271" s="23">
        <f t="shared" si="209"/>
        <v>0</v>
      </c>
      <c r="AM271" s="23">
        <f t="shared" si="210"/>
        <v>0</v>
      </c>
      <c r="AN271" s="23">
        <f t="shared" si="211"/>
        <v>0</v>
      </c>
      <c r="AO271" s="23">
        <f t="shared" si="212"/>
        <v>0</v>
      </c>
      <c r="AP271" s="23">
        <f t="shared" si="213"/>
        <v>0</v>
      </c>
      <c r="AQ271" s="23">
        <f t="shared" si="214"/>
        <v>11163.237063024313</v>
      </c>
      <c r="AR271" s="23">
        <f t="shared" si="215"/>
        <v>13340.845321527528</v>
      </c>
      <c r="AS271" s="23">
        <f t="shared" si="216"/>
        <v>14780.427523636699</v>
      </c>
      <c r="AT271" s="23">
        <f t="shared" si="217"/>
        <v>15958.679523338602</v>
      </c>
      <c r="AU271" s="23">
        <f t="shared" si="218"/>
        <v>16869.61878627945</v>
      </c>
      <c r="AW271" s="25"/>
      <c r="AX271" s="25"/>
      <c r="AY271" s="25"/>
      <c r="AZ271" s="25"/>
      <c r="BA271" s="25"/>
      <c r="BB271" s="25">
        <f t="shared" si="224"/>
        <v>72112.808217806596</v>
      </c>
      <c r="BC271" s="25">
        <f t="shared" si="225"/>
        <v>60949.571154782272</v>
      </c>
      <c r="BD271" s="25">
        <f t="shared" si="226"/>
        <v>47608.72583325475</v>
      </c>
      <c r="BE271" s="25">
        <f t="shared" si="227"/>
        <v>32828.298309618054</v>
      </c>
      <c r="BF271" s="25">
        <f t="shared" si="228"/>
        <v>16869.61878627945</v>
      </c>
      <c r="BG271" s="25">
        <f t="shared" si="229"/>
        <v>0</v>
      </c>
      <c r="BI271" s="25"/>
      <c r="BJ271" s="25"/>
      <c r="BK271" s="25"/>
      <c r="BL271" s="25"/>
      <c r="BM271" s="25"/>
      <c r="BN271" s="25">
        <f t="shared" si="199"/>
        <v>72112.808217806596</v>
      </c>
      <c r="BO271" s="25">
        <f t="shared" si="200"/>
        <v>60949.571154782272</v>
      </c>
      <c r="BP271" s="25">
        <f t="shared" si="201"/>
        <v>47608.72583325475</v>
      </c>
      <c r="BQ271" s="25">
        <f t="shared" si="202"/>
        <v>32828.298309618054</v>
      </c>
      <c r="BR271" s="25">
        <f t="shared" si="203"/>
        <v>16869.61878627945</v>
      </c>
      <c r="BS271" s="25">
        <f t="shared" si="204"/>
        <v>0</v>
      </c>
    </row>
    <row r="272" spans="1:71" x14ac:dyDescent="0.2">
      <c r="A272" s="29">
        <f t="shared" si="230"/>
        <v>2.6399999999999877</v>
      </c>
      <c r="B272" s="30">
        <v>6.5074620558193644E-2</v>
      </c>
      <c r="C272" s="30">
        <v>6.9282832856191426E-2</v>
      </c>
      <c r="D272" s="30">
        <v>7.3476897556150306E-2</v>
      </c>
      <c r="E272" s="30">
        <v>7.7779499773887734E-2</v>
      </c>
      <c r="F272" s="30">
        <v>8.2221731475411175E-2</v>
      </c>
      <c r="G272" s="30">
        <v>8.6772353677385144E-2</v>
      </c>
      <c r="H272" s="30">
        <v>9.1384647406925409E-2</v>
      </c>
      <c r="I272" s="30">
        <v>9.601662255445631E-2</v>
      </c>
      <c r="J272" s="30">
        <v>0.10063485776753922</v>
      </c>
      <c r="K272" s="30">
        <v>0.1052129216080431</v>
      </c>
      <c r="L272" s="30">
        <v>0.10972902001993487</v>
      </c>
      <c r="N272" s="1"/>
      <c r="O272" s="1"/>
      <c r="P272" s="1"/>
      <c r="Q272" s="1"/>
      <c r="R272" s="1"/>
      <c r="S272" s="1">
        <f t="shared" si="193"/>
        <v>0.95754153829335775</v>
      </c>
      <c r="T272" s="64">
        <f t="shared" si="205"/>
        <v>0.95533585117369768</v>
      </c>
      <c r="U272" s="66">
        <f t="shared" si="206"/>
        <v>0.90844891520163529</v>
      </c>
      <c r="V272" s="1">
        <f t="shared" si="207"/>
        <v>0.85988872585103748</v>
      </c>
      <c r="W272" s="68">
        <f t="shared" si="208"/>
        <v>0.81023913765420719</v>
      </c>
      <c r="Y272" s="24"/>
      <c r="Z272" s="24"/>
      <c r="AA272" s="24"/>
      <c r="AB272" s="24"/>
      <c r="AC272" s="24"/>
      <c r="AD272" s="24">
        <f t="shared" si="219"/>
        <v>9.1384647406925409E-2</v>
      </c>
      <c r="AE272" s="24">
        <f t="shared" si="220"/>
        <v>9.601662255445631E-2</v>
      </c>
      <c r="AF272" s="24">
        <f t="shared" si="221"/>
        <v>0.10063485776753922</v>
      </c>
      <c r="AG272" s="24">
        <f t="shared" si="222"/>
        <v>0.1052129216080431</v>
      </c>
      <c r="AH272" s="24">
        <f t="shared" si="223"/>
        <v>0.10972902001993487</v>
      </c>
      <c r="AL272" s="23">
        <f t="shared" si="209"/>
        <v>0</v>
      </c>
      <c r="AM272" s="23">
        <f t="shared" si="210"/>
        <v>0</v>
      </c>
      <c r="AN272" s="23">
        <f t="shared" si="211"/>
        <v>0</v>
      </c>
      <c r="AO272" s="23">
        <f t="shared" si="212"/>
        <v>0</v>
      </c>
      <c r="AP272" s="23">
        <f t="shared" si="213"/>
        <v>0</v>
      </c>
      <c r="AQ272" s="23">
        <f t="shared" si="214"/>
        <v>11338.383118588674</v>
      </c>
      <c r="AR272" s="23">
        <f t="shared" si="215"/>
        <v>13524.81122937249</v>
      </c>
      <c r="AS272" s="23">
        <f t="shared" si="216"/>
        <v>14958.742294314425</v>
      </c>
      <c r="AT272" s="23">
        <f t="shared" si="217"/>
        <v>16127.451066619489</v>
      </c>
      <c r="AU272" s="23">
        <f t="shared" si="218"/>
        <v>17025.819138614395</v>
      </c>
      <c r="AW272" s="25"/>
      <c r="AX272" s="25"/>
      <c r="AY272" s="25"/>
      <c r="AZ272" s="25"/>
      <c r="BA272" s="25"/>
      <c r="BB272" s="25">
        <f t="shared" si="224"/>
        <v>72975.206847509486</v>
      </c>
      <c r="BC272" s="25">
        <f t="shared" si="225"/>
        <v>61636.823728920797</v>
      </c>
      <c r="BD272" s="25">
        <f t="shared" si="226"/>
        <v>48112.012499548306</v>
      </c>
      <c r="BE272" s="25">
        <f t="shared" si="227"/>
        <v>33153.270205233886</v>
      </c>
      <c r="BF272" s="25">
        <f t="shared" si="228"/>
        <v>17025.819138614395</v>
      </c>
      <c r="BG272" s="25">
        <f t="shared" si="229"/>
        <v>0</v>
      </c>
      <c r="BI272" s="25"/>
      <c r="BJ272" s="25"/>
      <c r="BK272" s="25"/>
      <c r="BL272" s="25"/>
      <c r="BM272" s="25"/>
      <c r="BN272" s="25">
        <f t="shared" si="199"/>
        <v>72975.206847509486</v>
      </c>
      <c r="BO272" s="25">
        <f t="shared" si="200"/>
        <v>61636.823728920797</v>
      </c>
      <c r="BP272" s="25">
        <f t="shared" si="201"/>
        <v>48112.012499548306</v>
      </c>
      <c r="BQ272" s="25">
        <f t="shared" si="202"/>
        <v>33153.270205233886</v>
      </c>
      <c r="BR272" s="25">
        <f t="shared" si="203"/>
        <v>17025.819138614395</v>
      </c>
      <c r="BS272" s="25">
        <f t="shared" si="204"/>
        <v>0</v>
      </c>
    </row>
    <row r="273" spans="1:71" x14ac:dyDescent="0.2">
      <c r="A273" s="29">
        <f t="shared" si="230"/>
        <v>2.6499999999999875</v>
      </c>
      <c r="B273" s="30">
        <v>6.5656360278204567E-2</v>
      </c>
      <c r="C273" s="30">
        <v>6.9830148503361708E-2</v>
      </c>
      <c r="D273" s="30">
        <v>7.3992483094121639E-2</v>
      </c>
      <c r="E273" s="30">
        <v>7.8264271945717875E-2</v>
      </c>
      <c r="F273" s="30">
        <v>8.2675412219520628E-2</v>
      </c>
      <c r="G273" s="30">
        <v>8.7194404820564078E-2</v>
      </c>
      <c r="H273" s="30">
        <v>9.1774672966855833E-2</v>
      </c>
      <c r="I273" s="30">
        <v>9.6374444066723131E-2</v>
      </c>
      <c r="J273" s="30">
        <v>0.10096048159582729</v>
      </c>
      <c r="K273" s="30">
        <v>0.10550649109494976</v>
      </c>
      <c r="L273" s="30">
        <v>0.10999078117433994</v>
      </c>
      <c r="N273" s="1"/>
      <c r="O273" s="1"/>
      <c r="P273" s="1"/>
      <c r="Q273" s="1"/>
      <c r="R273" s="1"/>
      <c r="S273" s="1">
        <f t="shared" si="193"/>
        <v>0.95733949386193939</v>
      </c>
      <c r="T273" s="64">
        <f t="shared" si="205"/>
        <v>0.95514956663808281</v>
      </c>
      <c r="U273" s="66">
        <f t="shared" si="206"/>
        <v>0.90812391078723387</v>
      </c>
      <c r="V273" s="1">
        <f t="shared" si="207"/>
        <v>0.85946882801772029</v>
      </c>
      <c r="W273" s="68">
        <f t="shared" si="208"/>
        <v>0.80976355430880254</v>
      </c>
      <c r="Y273" s="24"/>
      <c r="Z273" s="24"/>
      <c r="AA273" s="24"/>
      <c r="AB273" s="24"/>
      <c r="AC273" s="24"/>
      <c r="AD273" s="24">
        <f t="shared" si="219"/>
        <v>9.1774672966855833E-2</v>
      </c>
      <c r="AE273" s="24">
        <f t="shared" si="220"/>
        <v>9.6374444066723131E-2</v>
      </c>
      <c r="AF273" s="24">
        <f t="shared" si="221"/>
        <v>0.10096048159582729</v>
      </c>
      <c r="AG273" s="24">
        <f t="shared" si="222"/>
        <v>0.10550649109494976</v>
      </c>
      <c r="AH273" s="24">
        <f t="shared" si="223"/>
        <v>0.10999078117433994</v>
      </c>
      <c r="AL273" s="23">
        <f t="shared" si="209"/>
        <v>0</v>
      </c>
      <c r="AM273" s="23">
        <f t="shared" si="210"/>
        <v>0</v>
      </c>
      <c r="AN273" s="23">
        <f t="shared" si="211"/>
        <v>0</v>
      </c>
      <c r="AO273" s="23">
        <f t="shared" si="212"/>
        <v>0</v>
      </c>
      <c r="AP273" s="23">
        <f t="shared" si="213"/>
        <v>0</v>
      </c>
      <c r="AQ273" s="23">
        <f t="shared" si="214"/>
        <v>11522.684118320181</v>
      </c>
      <c r="AR273" s="23">
        <f t="shared" si="215"/>
        <v>13693.060506681326</v>
      </c>
      <c r="AS273" s="23">
        <f t="shared" si="216"/>
        <v>15101.24408423661</v>
      </c>
      <c r="AT273" s="23">
        <f t="shared" si="217"/>
        <v>16245.732677956536</v>
      </c>
      <c r="AU273" s="23">
        <f t="shared" si="218"/>
        <v>17121.807872122088</v>
      </c>
      <c r="AW273" s="25"/>
      <c r="AX273" s="25"/>
      <c r="AY273" s="25"/>
      <c r="AZ273" s="25"/>
      <c r="BA273" s="25"/>
      <c r="BB273" s="25">
        <f t="shared" si="224"/>
        <v>73684.52925931674</v>
      </c>
      <c r="BC273" s="25">
        <f t="shared" si="225"/>
        <v>62161.845140996556</v>
      </c>
      <c r="BD273" s="25">
        <f t="shared" si="226"/>
        <v>48468.784634315234</v>
      </c>
      <c r="BE273" s="25">
        <f t="shared" si="227"/>
        <v>33367.540550078622</v>
      </c>
      <c r="BF273" s="25">
        <f t="shared" si="228"/>
        <v>17121.807872122088</v>
      </c>
      <c r="BG273" s="25">
        <f t="shared" si="229"/>
        <v>0</v>
      </c>
      <c r="BI273" s="25"/>
      <c r="BJ273" s="25"/>
      <c r="BK273" s="25"/>
      <c r="BL273" s="25"/>
      <c r="BM273" s="25"/>
      <c r="BN273" s="25">
        <f t="shared" si="199"/>
        <v>73684.52925931674</v>
      </c>
      <c r="BO273" s="25">
        <f t="shared" si="200"/>
        <v>62161.845140996556</v>
      </c>
      <c r="BP273" s="25">
        <f t="shared" si="201"/>
        <v>48468.784634315234</v>
      </c>
      <c r="BQ273" s="25">
        <f t="shared" si="202"/>
        <v>33367.540550078622</v>
      </c>
      <c r="BR273" s="25">
        <f t="shared" si="203"/>
        <v>17121.807872122088</v>
      </c>
      <c r="BS273" s="25">
        <f t="shared" si="204"/>
        <v>0</v>
      </c>
    </row>
    <row r="274" spans="1:71" x14ac:dyDescent="0.2">
      <c r="A274" s="29">
        <f t="shared" si="230"/>
        <v>2.6599999999999873</v>
      </c>
      <c r="B274" s="30">
        <v>6.5707425240522976E-2</v>
      </c>
      <c r="C274" s="30">
        <v>6.9935321403408052E-2</v>
      </c>
      <c r="D274" s="30">
        <v>7.4149461697962604E-2</v>
      </c>
      <c r="E274" s="30">
        <v>7.8469110938379022E-2</v>
      </c>
      <c r="F274" s="30">
        <v>8.2923112666474272E-2</v>
      </c>
      <c r="G274" s="30">
        <v>8.7479838212926486E-2</v>
      </c>
      <c r="H274" s="30">
        <v>9.209297698439925E-2</v>
      </c>
      <c r="I274" s="30">
        <v>9.6721095744550484E-2</v>
      </c>
      <c r="J274" s="30">
        <v>0.10133126433138161</v>
      </c>
      <c r="K274" s="30">
        <v>0.10589744706955777</v>
      </c>
      <c r="L274" s="30">
        <v>0.1103981773476865</v>
      </c>
      <c r="N274" s="1"/>
      <c r="O274" s="1"/>
      <c r="P274" s="1"/>
      <c r="Q274" s="1"/>
      <c r="R274" s="1"/>
      <c r="S274" s="1">
        <f t="shared" ref="S274:S308" si="231">EXP(-G274*($S$7-$R$7))</f>
        <v>0.95720287528135972</v>
      </c>
      <c r="T274" s="64">
        <f t="shared" si="205"/>
        <v>0.95499756476189779</v>
      </c>
      <c r="U274" s="66">
        <f t="shared" si="206"/>
        <v>0.90780916266701828</v>
      </c>
      <c r="V274" s="1">
        <f t="shared" si="207"/>
        <v>0.85899094661790432</v>
      </c>
      <c r="W274" s="68">
        <f t="shared" si="208"/>
        <v>0.80913063798431373</v>
      </c>
      <c r="Y274" s="24"/>
      <c r="Z274" s="24"/>
      <c r="AA274" s="24"/>
      <c r="AB274" s="24"/>
      <c r="AC274" s="24"/>
      <c r="AD274" s="24">
        <f t="shared" si="219"/>
        <v>9.2092976984399263E-2</v>
      </c>
      <c r="AE274" s="24">
        <f t="shared" si="220"/>
        <v>9.6721095744550484E-2</v>
      </c>
      <c r="AF274" s="24">
        <f t="shared" si="221"/>
        <v>0.10133126433138161</v>
      </c>
      <c r="AG274" s="24">
        <f t="shared" si="222"/>
        <v>0.10589744706955777</v>
      </c>
      <c r="AH274" s="24">
        <f t="shared" si="223"/>
        <v>0.1103981773476865</v>
      </c>
      <c r="AL274" s="23">
        <f t="shared" si="209"/>
        <v>0</v>
      </c>
      <c r="AM274" s="23">
        <f t="shared" si="210"/>
        <v>0</v>
      </c>
      <c r="AN274" s="23">
        <f t="shared" si="211"/>
        <v>0</v>
      </c>
      <c r="AO274" s="23">
        <f t="shared" si="212"/>
        <v>0</v>
      </c>
      <c r="AP274" s="23">
        <f t="shared" si="213"/>
        <v>0</v>
      </c>
      <c r="AQ274" s="23">
        <f t="shared" si="214"/>
        <v>11673.380516656516</v>
      </c>
      <c r="AR274" s="23">
        <f t="shared" si="215"/>
        <v>13856.407156077374</v>
      </c>
      <c r="AS274" s="23">
        <f t="shared" si="216"/>
        <v>15264.310102218682</v>
      </c>
      <c r="AT274" s="23">
        <f t="shared" si="217"/>
        <v>16404.613555686145</v>
      </c>
      <c r="AU274" s="23">
        <f t="shared" si="218"/>
        <v>17273.243721436269</v>
      </c>
      <c r="AW274" s="25"/>
      <c r="AX274" s="25"/>
      <c r="AY274" s="25"/>
      <c r="AZ274" s="25"/>
      <c r="BA274" s="25"/>
      <c r="BB274" s="25">
        <f t="shared" si="224"/>
        <v>74471.955052074991</v>
      </c>
      <c r="BC274" s="25">
        <f t="shared" si="225"/>
        <v>62798.574535418476</v>
      </c>
      <c r="BD274" s="25">
        <f t="shared" si="226"/>
        <v>48942.167379341096</v>
      </c>
      <c r="BE274" s="25">
        <f t="shared" si="227"/>
        <v>33677.857277122414</v>
      </c>
      <c r="BF274" s="25">
        <f t="shared" si="228"/>
        <v>17273.243721436269</v>
      </c>
      <c r="BG274" s="25">
        <f t="shared" si="229"/>
        <v>0</v>
      </c>
      <c r="BI274" s="25"/>
      <c r="BJ274" s="25"/>
      <c r="BK274" s="25"/>
      <c r="BL274" s="25"/>
      <c r="BM274" s="25"/>
      <c r="BN274" s="25">
        <f t="shared" si="199"/>
        <v>74471.955052074991</v>
      </c>
      <c r="BO274" s="25">
        <f t="shared" si="200"/>
        <v>62798.574535418476</v>
      </c>
      <c r="BP274" s="25">
        <f t="shared" si="201"/>
        <v>48942.167379341096</v>
      </c>
      <c r="BQ274" s="25">
        <f t="shared" si="202"/>
        <v>33677.857277122414</v>
      </c>
      <c r="BR274" s="25">
        <f t="shared" si="203"/>
        <v>17273.243721436269</v>
      </c>
      <c r="BS274" s="25">
        <f t="shared" si="204"/>
        <v>0</v>
      </c>
    </row>
    <row r="275" spans="1:71" x14ac:dyDescent="0.2">
      <c r="A275" s="29">
        <f t="shared" si="230"/>
        <v>2.6699999999999871</v>
      </c>
      <c r="B275" s="30">
        <v>6.5597213772932733E-2</v>
      </c>
      <c r="C275" s="30">
        <v>6.9938824109279513E-2</v>
      </c>
      <c r="D275" s="30">
        <v>7.4254665909820744E-2</v>
      </c>
      <c r="E275" s="30">
        <v>7.8662807644652985E-2</v>
      </c>
      <c r="F275" s="30">
        <v>8.3191492664659528E-2</v>
      </c>
      <c r="G275" s="30">
        <v>8.7809405589138259E-2</v>
      </c>
      <c r="H275" s="30">
        <v>9.2470938424457819E-2</v>
      </c>
      <c r="I275" s="30">
        <v>9.7135431577462586E-2</v>
      </c>
      <c r="J275" s="30">
        <v>0.1017706952446405</v>
      </c>
      <c r="K275" s="30">
        <v>0.10635138680214552</v>
      </c>
      <c r="L275" s="30">
        <v>0.11085669898979632</v>
      </c>
      <c r="N275" s="1"/>
      <c r="O275" s="1"/>
      <c r="P275" s="1"/>
      <c r="Q275" s="1"/>
      <c r="R275" s="1"/>
      <c r="S275" s="1">
        <f t="shared" si="231"/>
        <v>0.95704515685637404</v>
      </c>
      <c r="T275" s="64">
        <f t="shared" si="205"/>
        <v>0.95481710568666289</v>
      </c>
      <c r="U275" s="66">
        <f t="shared" si="206"/>
        <v>0.90743310271441613</v>
      </c>
      <c r="V275" s="1">
        <f t="shared" si="207"/>
        <v>0.85842493241727025</v>
      </c>
      <c r="W275" s="68">
        <f t="shared" si="208"/>
        <v>0.80839637825354338</v>
      </c>
      <c r="Y275" s="24"/>
      <c r="Z275" s="24"/>
      <c r="AA275" s="24"/>
      <c r="AB275" s="24"/>
      <c r="AC275" s="24"/>
      <c r="AD275" s="24">
        <f t="shared" si="219"/>
        <v>9.2470938424457819E-2</v>
      </c>
      <c r="AE275" s="24">
        <f t="shared" si="220"/>
        <v>9.7135431577462586E-2</v>
      </c>
      <c r="AF275" s="24">
        <f t="shared" si="221"/>
        <v>0.1017706952446405</v>
      </c>
      <c r="AG275" s="24">
        <f t="shared" si="222"/>
        <v>0.10635138680214552</v>
      </c>
      <c r="AH275" s="24">
        <f t="shared" si="223"/>
        <v>0.1108566989897963</v>
      </c>
      <c r="AL275" s="23">
        <f t="shared" si="209"/>
        <v>0</v>
      </c>
      <c r="AM275" s="23">
        <f t="shared" si="210"/>
        <v>0</v>
      </c>
      <c r="AN275" s="23">
        <f t="shared" si="211"/>
        <v>0</v>
      </c>
      <c r="AO275" s="23">
        <f t="shared" si="212"/>
        <v>0</v>
      </c>
      <c r="AP275" s="23">
        <f t="shared" si="213"/>
        <v>0</v>
      </c>
      <c r="AQ275" s="23">
        <f t="shared" si="214"/>
        <v>11852.320175284389</v>
      </c>
      <c r="AR275" s="23">
        <f t="shared" si="215"/>
        <v>14051.596280073987</v>
      </c>
      <c r="AS275" s="23">
        <f t="shared" si="216"/>
        <v>15457.363940165258</v>
      </c>
      <c r="AT275" s="23">
        <f t="shared" si="217"/>
        <v>16588.640669251221</v>
      </c>
      <c r="AU275" s="23">
        <f t="shared" si="218"/>
        <v>17442.902432120452</v>
      </c>
      <c r="AW275" s="25"/>
      <c r="AX275" s="25"/>
      <c r="AY275" s="25"/>
      <c r="AZ275" s="25"/>
      <c r="BA275" s="25"/>
      <c r="BB275" s="25">
        <f t="shared" si="224"/>
        <v>75392.823496895304</v>
      </c>
      <c r="BC275" s="25">
        <f t="shared" si="225"/>
        <v>63540.503321610915</v>
      </c>
      <c r="BD275" s="25">
        <f t="shared" si="226"/>
        <v>49488.907041536935</v>
      </c>
      <c r="BE275" s="25">
        <f t="shared" si="227"/>
        <v>34031.543101371673</v>
      </c>
      <c r="BF275" s="25">
        <f t="shared" si="228"/>
        <v>17442.902432120452</v>
      </c>
      <c r="BG275" s="25">
        <f t="shared" si="229"/>
        <v>0</v>
      </c>
      <c r="BI275" s="25"/>
      <c r="BJ275" s="25"/>
      <c r="BK275" s="25"/>
      <c r="BL275" s="25"/>
      <c r="BM275" s="25"/>
      <c r="BN275" s="25">
        <f t="shared" si="199"/>
        <v>75392.823496895304</v>
      </c>
      <c r="BO275" s="25">
        <f t="shared" si="200"/>
        <v>63540.503321610915</v>
      </c>
      <c r="BP275" s="25">
        <f t="shared" si="201"/>
        <v>49488.907041536935</v>
      </c>
      <c r="BQ275" s="25">
        <f t="shared" si="202"/>
        <v>34031.543101371673</v>
      </c>
      <c r="BR275" s="25">
        <f t="shared" si="203"/>
        <v>17442.902432120452</v>
      </c>
      <c r="BS275" s="25">
        <f t="shared" si="204"/>
        <v>0</v>
      </c>
    </row>
    <row r="276" spans="1:71" x14ac:dyDescent="0.2">
      <c r="A276" s="29">
        <f t="shared" si="230"/>
        <v>2.6799999999999868</v>
      </c>
      <c r="B276" s="30">
        <v>6.5943802884819477E-2</v>
      </c>
      <c r="C276" s="30">
        <v>7.0253968699049443E-2</v>
      </c>
      <c r="D276" s="30">
        <v>7.4544185245567537E-2</v>
      </c>
      <c r="E276" s="30">
        <v>7.8930594536835971E-2</v>
      </c>
      <c r="F276" s="30">
        <v>8.3440115965793593E-2</v>
      </c>
      <c r="G276" s="30">
        <v>8.8041013189978048E-2</v>
      </c>
      <c r="H276" s="30">
        <v>9.2687640199730817E-2</v>
      </c>
      <c r="I276" s="30">
        <v>9.7339368342787003E-2</v>
      </c>
      <c r="J276" s="30">
        <v>0.10196400519137934</v>
      </c>
      <c r="K276" s="30">
        <v>0.10653615846254326</v>
      </c>
      <c r="L276" s="30">
        <v>0.11103493784009609</v>
      </c>
      <c r="N276" s="1"/>
      <c r="O276" s="1"/>
      <c r="P276" s="1"/>
      <c r="Q276" s="1"/>
      <c r="R276" s="1"/>
      <c r="S276" s="1">
        <f t="shared" si="231"/>
        <v>0.95693433380702564</v>
      </c>
      <c r="T276" s="64">
        <f t="shared" si="205"/>
        <v>0.95471365601026459</v>
      </c>
      <c r="U276" s="66">
        <f t="shared" si="206"/>
        <v>0.90724806261158164</v>
      </c>
      <c r="V276" s="1">
        <f t="shared" si="207"/>
        <v>0.85817605538487107</v>
      </c>
      <c r="W276" s="68">
        <f t="shared" si="208"/>
        <v>0.80809769596282643</v>
      </c>
      <c r="Y276" s="24"/>
      <c r="Z276" s="24"/>
      <c r="AA276" s="24"/>
      <c r="AB276" s="24"/>
      <c r="AC276" s="24"/>
      <c r="AD276" s="24">
        <f t="shared" si="219"/>
        <v>9.2687640199730817E-2</v>
      </c>
      <c r="AE276" s="24">
        <f t="shared" si="220"/>
        <v>9.7339368342787003E-2</v>
      </c>
      <c r="AF276" s="24">
        <f t="shared" si="221"/>
        <v>0.10196400519137934</v>
      </c>
      <c r="AG276" s="24">
        <f t="shared" si="222"/>
        <v>0.10653615846254326</v>
      </c>
      <c r="AH276" s="24">
        <f t="shared" si="223"/>
        <v>0.11103493784009608</v>
      </c>
      <c r="AL276" s="23">
        <f t="shared" si="209"/>
        <v>0</v>
      </c>
      <c r="AM276" s="23">
        <f t="shared" si="210"/>
        <v>0</v>
      </c>
      <c r="AN276" s="23">
        <f t="shared" si="211"/>
        <v>0</v>
      </c>
      <c r="AO276" s="23">
        <f t="shared" si="212"/>
        <v>0</v>
      </c>
      <c r="AP276" s="23">
        <f t="shared" si="213"/>
        <v>0</v>
      </c>
      <c r="AQ276" s="23">
        <f t="shared" si="214"/>
        <v>11954.632395511953</v>
      </c>
      <c r="AR276" s="23">
        <f t="shared" si="215"/>
        <v>14147.424467032515</v>
      </c>
      <c r="AS276" s="23">
        <f t="shared" si="216"/>
        <v>15541.901974109651</v>
      </c>
      <c r="AT276" s="23">
        <f t="shared" si="217"/>
        <v>16663.11455003457</v>
      </c>
      <c r="AU276" s="23">
        <f t="shared" si="218"/>
        <v>17508.474917034975</v>
      </c>
      <c r="AW276" s="25"/>
      <c r="AX276" s="25"/>
      <c r="AY276" s="25"/>
      <c r="AZ276" s="25"/>
      <c r="BA276" s="25"/>
      <c r="BB276" s="25">
        <f t="shared" si="224"/>
        <v>75815.548303723655</v>
      </c>
      <c r="BC276" s="25">
        <f t="shared" si="225"/>
        <v>63860.915908211711</v>
      </c>
      <c r="BD276" s="25">
        <f t="shared" si="226"/>
        <v>49713.491441179198</v>
      </c>
      <c r="BE276" s="25">
        <f t="shared" si="227"/>
        <v>34171.589467069542</v>
      </c>
      <c r="BF276" s="25">
        <f t="shared" si="228"/>
        <v>17508.474917034975</v>
      </c>
      <c r="BG276" s="25">
        <f t="shared" si="229"/>
        <v>0</v>
      </c>
      <c r="BI276" s="25"/>
      <c r="BJ276" s="25"/>
      <c r="BK276" s="25"/>
      <c r="BL276" s="25"/>
      <c r="BM276" s="25"/>
      <c r="BN276" s="25">
        <f t="shared" si="199"/>
        <v>75815.548303723655</v>
      </c>
      <c r="BO276" s="25">
        <f t="shared" si="200"/>
        <v>63860.915908211711</v>
      </c>
      <c r="BP276" s="25">
        <f t="shared" si="201"/>
        <v>49713.491441179198</v>
      </c>
      <c r="BQ276" s="25">
        <f t="shared" si="202"/>
        <v>34171.589467069542</v>
      </c>
      <c r="BR276" s="25">
        <f t="shared" si="203"/>
        <v>17508.474917034975</v>
      </c>
      <c r="BS276" s="25">
        <f t="shared" si="204"/>
        <v>0</v>
      </c>
    </row>
    <row r="277" spans="1:71" x14ac:dyDescent="0.2">
      <c r="A277" s="29">
        <f t="shared" si="230"/>
        <v>2.6899999999999866</v>
      </c>
      <c r="B277" s="30">
        <v>6.7591182982717796E-2</v>
      </c>
      <c r="C277" s="30">
        <v>7.1844659883408407E-2</v>
      </c>
      <c r="D277" s="30">
        <v>7.6083630516748921E-2</v>
      </c>
      <c r="E277" s="30">
        <v>8.0422385280647518E-2</v>
      </c>
      <c r="F277" s="30">
        <v>8.4886600463108877E-2</v>
      </c>
      <c r="G277" s="30">
        <v>8.9444189211911551E-2</v>
      </c>
      <c r="H277" s="30">
        <v>9.4049531673594769E-2</v>
      </c>
      <c r="I277" s="30">
        <v>9.8662092258567952E-2</v>
      </c>
      <c r="J277" s="30">
        <v>0.10324973776719791</v>
      </c>
      <c r="K277" s="30">
        <v>0.10778708838255044</v>
      </c>
      <c r="L277" s="30">
        <v>0.11225323315913562</v>
      </c>
      <c r="N277" s="1"/>
      <c r="O277" s="1"/>
      <c r="P277" s="1"/>
      <c r="Q277" s="1"/>
      <c r="R277" s="1"/>
      <c r="S277" s="1">
        <f t="shared" si="231"/>
        <v>0.95626319560992978</v>
      </c>
      <c r="T277" s="64">
        <f t="shared" si="205"/>
        <v>0.95406376911018276</v>
      </c>
      <c r="U277" s="66">
        <f t="shared" si="206"/>
        <v>0.90604881721175479</v>
      </c>
      <c r="V277" s="1">
        <f t="shared" si="207"/>
        <v>0.85652257298422663</v>
      </c>
      <c r="W277" s="68">
        <f t="shared" si="208"/>
        <v>0.80607847574671476</v>
      </c>
      <c r="Y277" s="24"/>
      <c r="Z277" s="24"/>
      <c r="AA277" s="24"/>
      <c r="AB277" s="24"/>
      <c r="AC277" s="24"/>
      <c r="AD277" s="24">
        <f t="shared" si="219"/>
        <v>9.4049531673594769E-2</v>
      </c>
      <c r="AE277" s="24">
        <f t="shared" si="220"/>
        <v>9.8662092258567952E-2</v>
      </c>
      <c r="AF277" s="24">
        <f t="shared" si="221"/>
        <v>0.10324973776719791</v>
      </c>
      <c r="AG277" s="24">
        <f t="shared" si="222"/>
        <v>0.10778708838255044</v>
      </c>
      <c r="AH277" s="24">
        <f t="shared" si="223"/>
        <v>0.11225323315913563</v>
      </c>
      <c r="AL277" s="23">
        <f t="shared" si="209"/>
        <v>0</v>
      </c>
      <c r="AM277" s="23">
        <f t="shared" si="210"/>
        <v>0</v>
      </c>
      <c r="AN277" s="23">
        <f t="shared" si="211"/>
        <v>0</v>
      </c>
      <c r="AO277" s="23">
        <f t="shared" si="212"/>
        <v>0</v>
      </c>
      <c r="AP277" s="23">
        <f t="shared" si="213"/>
        <v>0</v>
      </c>
      <c r="AQ277" s="23">
        <f t="shared" si="214"/>
        <v>12597.4114566842</v>
      </c>
      <c r="AR277" s="23">
        <f t="shared" si="215"/>
        <v>14768.775600188916</v>
      </c>
      <c r="AS277" s="23">
        <f t="shared" si="216"/>
        <v>16103.826158509308</v>
      </c>
      <c r="AT277" s="23">
        <f t="shared" si="217"/>
        <v>17166.733912362433</v>
      </c>
      <c r="AU277" s="23">
        <f t="shared" si="218"/>
        <v>17955.746733424072</v>
      </c>
      <c r="AW277" s="25"/>
      <c r="AX277" s="25"/>
      <c r="AY277" s="25"/>
      <c r="AZ277" s="25"/>
      <c r="BA277" s="25"/>
      <c r="BB277" s="25">
        <f t="shared" si="224"/>
        <v>78592.493861168929</v>
      </c>
      <c r="BC277" s="25">
        <f t="shared" si="225"/>
        <v>65995.08240448474</v>
      </c>
      <c r="BD277" s="25">
        <f t="shared" si="226"/>
        <v>51226.306804295811</v>
      </c>
      <c r="BE277" s="25">
        <f t="shared" si="227"/>
        <v>35122.480645786505</v>
      </c>
      <c r="BF277" s="25">
        <f t="shared" si="228"/>
        <v>17955.746733424072</v>
      </c>
      <c r="BG277" s="25">
        <f t="shared" si="229"/>
        <v>0</v>
      </c>
      <c r="BI277" s="25"/>
      <c r="BJ277" s="25"/>
      <c r="BK277" s="25"/>
      <c r="BL277" s="25"/>
      <c r="BM277" s="25"/>
      <c r="BN277" s="25">
        <f t="shared" si="199"/>
        <v>78592.493861168929</v>
      </c>
      <c r="BO277" s="25">
        <f t="shared" si="200"/>
        <v>65995.08240448474</v>
      </c>
      <c r="BP277" s="25">
        <f t="shared" si="201"/>
        <v>51226.306804295811</v>
      </c>
      <c r="BQ277" s="25">
        <f t="shared" si="202"/>
        <v>35122.480645786505</v>
      </c>
      <c r="BR277" s="25">
        <f t="shared" si="203"/>
        <v>17955.746733424072</v>
      </c>
      <c r="BS277" s="25">
        <f t="shared" si="204"/>
        <v>0</v>
      </c>
    </row>
    <row r="278" spans="1:71" x14ac:dyDescent="0.2">
      <c r="A278" s="29">
        <f t="shared" si="230"/>
        <v>2.6999999999999864</v>
      </c>
      <c r="B278" s="30">
        <v>6.7318255325332144E-2</v>
      </c>
      <c r="C278" s="30">
        <v>7.1522966323156231E-2</v>
      </c>
      <c r="D278" s="30">
        <v>7.5725446585397815E-2</v>
      </c>
      <c r="E278" s="30">
        <v>8.0037751294992091E-2</v>
      </c>
      <c r="F278" s="30">
        <v>8.4483935716301681E-2</v>
      </c>
      <c r="G278" s="30">
        <v>8.9031174250053802E-2</v>
      </c>
      <c r="H278" s="30">
        <v>9.3633478766503603E-2</v>
      </c>
      <c r="I278" s="30">
        <v>9.8250010291432641E-2</v>
      </c>
      <c r="J278" s="30">
        <v>0.10284829814748835</v>
      </c>
      <c r="K278" s="30">
        <v>0.10740257855124873</v>
      </c>
      <c r="L278" s="30">
        <v>0.11189152379509755</v>
      </c>
      <c r="N278" s="1"/>
      <c r="O278" s="1"/>
      <c r="P278" s="1"/>
      <c r="Q278" s="1"/>
      <c r="R278" s="1"/>
      <c r="S278" s="1">
        <f t="shared" si="231"/>
        <v>0.95646069150504831</v>
      </c>
      <c r="T278" s="64">
        <f t="shared" si="205"/>
        <v>0.95426226025751593</v>
      </c>
      <c r="U278" s="66">
        <f t="shared" si="206"/>
        <v>0.90642226053001607</v>
      </c>
      <c r="V278" s="1">
        <f t="shared" si="207"/>
        <v>0.85703849144517774</v>
      </c>
      <c r="W278" s="68">
        <f t="shared" si="208"/>
        <v>0.80669860435915197</v>
      </c>
      <c r="Y278" s="24"/>
      <c r="Z278" s="24"/>
      <c r="AA278" s="24"/>
      <c r="AB278" s="24"/>
      <c r="AC278" s="24"/>
      <c r="AD278" s="24">
        <f t="shared" si="219"/>
        <v>9.3633478766503589E-2</v>
      </c>
      <c r="AE278" s="24">
        <f t="shared" si="220"/>
        <v>9.8250010291432641E-2</v>
      </c>
      <c r="AF278" s="24">
        <f t="shared" si="221"/>
        <v>0.10284829814748835</v>
      </c>
      <c r="AG278" s="24">
        <f t="shared" si="222"/>
        <v>0.10740257855124873</v>
      </c>
      <c r="AH278" s="24">
        <f t="shared" si="223"/>
        <v>0.11189152379509755</v>
      </c>
      <c r="AL278" s="23">
        <f t="shared" si="209"/>
        <v>0</v>
      </c>
      <c r="AM278" s="23">
        <f t="shared" si="210"/>
        <v>0</v>
      </c>
      <c r="AN278" s="23">
        <f t="shared" si="211"/>
        <v>0</v>
      </c>
      <c r="AO278" s="23">
        <f t="shared" si="212"/>
        <v>0</v>
      </c>
      <c r="AP278" s="23">
        <f t="shared" si="213"/>
        <v>0</v>
      </c>
      <c r="AQ278" s="23">
        <f t="shared" si="214"/>
        <v>12401.044059409724</v>
      </c>
      <c r="AR278" s="23">
        <f t="shared" si="215"/>
        <v>14575.231081096861</v>
      </c>
      <c r="AS278" s="23">
        <f t="shared" si="216"/>
        <v>15928.526718585037</v>
      </c>
      <c r="AT278" s="23">
        <f t="shared" si="217"/>
        <v>17012.304273099391</v>
      </c>
      <c r="AU278" s="23">
        <f t="shared" si="218"/>
        <v>17823.665146939184</v>
      </c>
      <c r="AW278" s="25"/>
      <c r="AX278" s="25"/>
      <c r="AY278" s="25"/>
      <c r="AZ278" s="25"/>
      <c r="BA278" s="25"/>
      <c r="BB278" s="25">
        <f t="shared" si="224"/>
        <v>77740.771279130204</v>
      </c>
      <c r="BC278" s="25">
        <f t="shared" si="225"/>
        <v>65339.727219720473</v>
      </c>
      <c r="BD278" s="25">
        <f t="shared" si="226"/>
        <v>50764.49613862361</v>
      </c>
      <c r="BE278" s="25">
        <f t="shared" si="227"/>
        <v>34835.969420038571</v>
      </c>
      <c r="BF278" s="25">
        <f t="shared" si="228"/>
        <v>17823.665146939184</v>
      </c>
      <c r="BG278" s="25">
        <f t="shared" si="229"/>
        <v>0</v>
      </c>
      <c r="BI278" s="25"/>
      <c r="BJ278" s="25"/>
      <c r="BK278" s="25"/>
      <c r="BL278" s="25"/>
      <c r="BM278" s="25"/>
      <c r="BN278" s="25">
        <f t="shared" si="199"/>
        <v>77740.771279130204</v>
      </c>
      <c r="BO278" s="25">
        <f t="shared" si="200"/>
        <v>65339.727219720473</v>
      </c>
      <c r="BP278" s="25">
        <f t="shared" si="201"/>
        <v>50764.49613862361</v>
      </c>
      <c r="BQ278" s="25">
        <f t="shared" si="202"/>
        <v>34835.969420038571</v>
      </c>
      <c r="BR278" s="25">
        <f t="shared" si="203"/>
        <v>17823.665146939184</v>
      </c>
      <c r="BS278" s="25">
        <f t="shared" si="204"/>
        <v>0</v>
      </c>
    </row>
    <row r="279" spans="1:71" x14ac:dyDescent="0.2">
      <c r="A279" s="29">
        <f t="shared" si="230"/>
        <v>2.7099999999999862</v>
      </c>
      <c r="B279" s="30">
        <v>6.7453919750415411E-2</v>
      </c>
      <c r="C279" s="30">
        <v>7.1682904548906148E-2</v>
      </c>
      <c r="D279" s="30">
        <v>7.5909577315269081E-2</v>
      </c>
      <c r="E279" s="30">
        <v>8.0244329030103256E-2</v>
      </c>
      <c r="F279" s="30">
        <v>8.471017030847125E-2</v>
      </c>
      <c r="G279" s="30">
        <v>8.9274102942274544E-2</v>
      </c>
      <c r="H279" s="30">
        <v>9.389033055212756E-2</v>
      </c>
      <c r="I279" s="30">
        <v>9.8518268826132391E-2</v>
      </c>
      <c r="J279" s="30">
        <v>0.10312566740825191</v>
      </c>
      <c r="K279" s="30">
        <v>0.10768693662147384</v>
      </c>
      <c r="L279" s="30">
        <v>0.11218089036680957</v>
      </c>
      <c r="N279" s="1"/>
      <c r="O279" s="1"/>
      <c r="P279" s="1"/>
      <c r="Q279" s="1"/>
      <c r="R279" s="1"/>
      <c r="S279" s="1">
        <f t="shared" si="231"/>
        <v>0.95634452268790182</v>
      </c>
      <c r="T279" s="64">
        <f t="shared" si="205"/>
        <v>0.95413971614385262</v>
      </c>
      <c r="U279" s="66">
        <f t="shared" si="206"/>
        <v>0.90617913763394098</v>
      </c>
      <c r="V279" s="1">
        <f t="shared" si="207"/>
        <v>0.85668199141270596</v>
      </c>
      <c r="W279" s="68">
        <f t="shared" si="208"/>
        <v>0.80623995227615763</v>
      </c>
      <c r="Y279" s="24"/>
      <c r="Z279" s="24"/>
      <c r="AA279" s="24"/>
      <c r="AB279" s="24"/>
      <c r="AC279" s="24"/>
      <c r="AD279" s="24">
        <f t="shared" si="219"/>
        <v>9.3890330552127546E-2</v>
      </c>
      <c r="AE279" s="24">
        <f t="shared" si="220"/>
        <v>9.8518268826132391E-2</v>
      </c>
      <c r="AF279" s="24">
        <f t="shared" si="221"/>
        <v>0.10312566740825191</v>
      </c>
      <c r="AG279" s="24">
        <f t="shared" si="222"/>
        <v>0.10768693662147384</v>
      </c>
      <c r="AH279" s="24">
        <f t="shared" si="223"/>
        <v>0.11218089036680959</v>
      </c>
      <c r="AL279" s="23">
        <f t="shared" si="209"/>
        <v>0</v>
      </c>
      <c r="AM279" s="23">
        <f t="shared" si="210"/>
        <v>0</v>
      </c>
      <c r="AN279" s="23">
        <f t="shared" si="211"/>
        <v>0</v>
      </c>
      <c r="AO279" s="23">
        <f t="shared" si="212"/>
        <v>0</v>
      </c>
      <c r="AP279" s="23">
        <f t="shared" si="213"/>
        <v>0</v>
      </c>
      <c r="AQ279" s="23">
        <f t="shared" si="214"/>
        <v>12522.357265340239</v>
      </c>
      <c r="AR279" s="23">
        <f t="shared" si="215"/>
        <v>14701.337425299151</v>
      </c>
      <c r="AS279" s="23">
        <f t="shared" si="216"/>
        <v>16049.927447188213</v>
      </c>
      <c r="AT279" s="23">
        <f t="shared" si="217"/>
        <v>17127.029928864482</v>
      </c>
      <c r="AU279" s="23">
        <f t="shared" si="218"/>
        <v>17930.180868251242</v>
      </c>
      <c r="AW279" s="25"/>
      <c r="AX279" s="25"/>
      <c r="AY279" s="25"/>
      <c r="AZ279" s="25"/>
      <c r="BA279" s="25"/>
      <c r="BB279" s="25">
        <f t="shared" si="224"/>
        <v>78330.832934943319</v>
      </c>
      <c r="BC279" s="25">
        <f t="shared" si="225"/>
        <v>65808.475669603096</v>
      </c>
      <c r="BD279" s="25">
        <f t="shared" si="226"/>
        <v>51107.13824430394</v>
      </c>
      <c r="BE279" s="25">
        <f t="shared" si="227"/>
        <v>35057.210797115724</v>
      </c>
      <c r="BF279" s="25">
        <f t="shared" si="228"/>
        <v>17930.180868251242</v>
      </c>
      <c r="BG279" s="25">
        <f t="shared" si="229"/>
        <v>0</v>
      </c>
      <c r="BI279" s="25"/>
      <c r="BJ279" s="25"/>
      <c r="BK279" s="25"/>
      <c r="BL279" s="25"/>
      <c r="BM279" s="25"/>
      <c r="BN279" s="25">
        <f t="shared" si="199"/>
        <v>78330.832934943319</v>
      </c>
      <c r="BO279" s="25">
        <f t="shared" si="200"/>
        <v>65808.475669603096</v>
      </c>
      <c r="BP279" s="25">
        <f t="shared" si="201"/>
        <v>51107.13824430394</v>
      </c>
      <c r="BQ279" s="25">
        <f t="shared" si="202"/>
        <v>35057.210797115724</v>
      </c>
      <c r="BR279" s="25">
        <f t="shared" si="203"/>
        <v>17930.180868251242</v>
      </c>
      <c r="BS279" s="25">
        <f t="shared" si="204"/>
        <v>0</v>
      </c>
    </row>
    <row r="280" spans="1:71" x14ac:dyDescent="0.2">
      <c r="A280" s="29">
        <f t="shared" si="230"/>
        <v>2.719999999999986</v>
      </c>
      <c r="B280" s="30">
        <v>6.7923878370051302E-2</v>
      </c>
      <c r="C280" s="30">
        <v>7.2049069447737327E-2</v>
      </c>
      <c r="D280" s="30">
        <v>7.618314480913789E-2</v>
      </c>
      <c r="E280" s="30">
        <v>8.0434436499891529E-2</v>
      </c>
      <c r="F280" s="30">
        <v>8.4824520802885245E-2</v>
      </c>
      <c r="G280" s="30">
        <v>8.9319827064693352E-2</v>
      </c>
      <c r="H280" s="30">
        <v>9.3874344790843736E-2</v>
      </c>
      <c r="I280" s="30">
        <v>9.84473365212538E-2</v>
      </c>
      <c r="J280" s="30">
        <v>0.10300636417321872</v>
      </c>
      <c r="K280" s="30">
        <v>0.1075256044024952</v>
      </c>
      <c r="L280" s="30">
        <v>0.11198360524109903</v>
      </c>
      <c r="N280" s="1"/>
      <c r="O280" s="1"/>
      <c r="P280" s="1"/>
      <c r="Q280" s="1"/>
      <c r="R280" s="1"/>
      <c r="S280" s="1">
        <f t="shared" si="231"/>
        <v>0.95632265893081314</v>
      </c>
      <c r="T280" s="64">
        <f t="shared" si="205"/>
        <v>0.95414734249919775</v>
      </c>
      <c r="U280" s="66">
        <f t="shared" si="206"/>
        <v>0.90624341728853131</v>
      </c>
      <c r="V280" s="1">
        <f t="shared" si="207"/>
        <v>0.85683531253053113</v>
      </c>
      <c r="W280" s="68">
        <f t="shared" si="208"/>
        <v>0.80650013921149577</v>
      </c>
      <c r="Y280" s="24"/>
      <c r="Z280" s="24"/>
      <c r="AA280" s="24"/>
      <c r="AB280" s="24"/>
      <c r="AC280" s="24"/>
      <c r="AD280" s="24">
        <f t="shared" si="219"/>
        <v>9.3874344790843736E-2</v>
      </c>
      <c r="AE280" s="24">
        <f t="shared" si="220"/>
        <v>9.84473365212538E-2</v>
      </c>
      <c r="AF280" s="24">
        <f t="shared" si="221"/>
        <v>0.10300636417321872</v>
      </c>
      <c r="AG280" s="24">
        <f t="shared" si="222"/>
        <v>0.1075256044024952</v>
      </c>
      <c r="AH280" s="24">
        <f t="shared" si="223"/>
        <v>0.11198360524109903</v>
      </c>
      <c r="AL280" s="23">
        <f t="shared" si="209"/>
        <v>0</v>
      </c>
      <c r="AM280" s="23">
        <f t="shared" si="210"/>
        <v>0</v>
      </c>
      <c r="AN280" s="23">
        <f t="shared" si="211"/>
        <v>0</v>
      </c>
      <c r="AO280" s="23">
        <f t="shared" si="212"/>
        <v>0</v>
      </c>
      <c r="AP280" s="23">
        <f t="shared" si="213"/>
        <v>0</v>
      </c>
      <c r="AQ280" s="23">
        <f t="shared" si="214"/>
        <v>12514.4272088465</v>
      </c>
      <c r="AR280" s="23">
        <f t="shared" si="215"/>
        <v>14667.61499670545</v>
      </c>
      <c r="AS280" s="23">
        <f t="shared" si="216"/>
        <v>15997.007060207839</v>
      </c>
      <c r="AT280" s="23">
        <f t="shared" si="217"/>
        <v>17060.977597106667</v>
      </c>
      <c r="AU280" s="23">
        <f t="shared" si="218"/>
        <v>17856.411992785543</v>
      </c>
      <c r="AW280" s="25"/>
      <c r="AX280" s="25"/>
      <c r="AY280" s="25"/>
      <c r="AZ280" s="25"/>
      <c r="BA280" s="25"/>
      <c r="BB280" s="25">
        <f t="shared" si="224"/>
        <v>78096.438855651999</v>
      </c>
      <c r="BC280" s="25">
        <f t="shared" si="225"/>
        <v>65582.011646805506</v>
      </c>
      <c r="BD280" s="25">
        <f t="shared" si="226"/>
        <v>50914.396650100047</v>
      </c>
      <c r="BE280" s="25">
        <f t="shared" si="227"/>
        <v>34917.389589892206</v>
      </c>
      <c r="BF280" s="25">
        <f t="shared" si="228"/>
        <v>17856.411992785543</v>
      </c>
      <c r="BG280" s="25">
        <f t="shared" si="229"/>
        <v>0</v>
      </c>
      <c r="BI280" s="25"/>
      <c r="BJ280" s="25"/>
      <c r="BK280" s="25"/>
      <c r="BL280" s="25"/>
      <c r="BM280" s="25"/>
      <c r="BN280" s="25">
        <f t="shared" si="199"/>
        <v>78096.438855651999</v>
      </c>
      <c r="BO280" s="25">
        <f t="shared" si="200"/>
        <v>65582.011646805506</v>
      </c>
      <c r="BP280" s="25">
        <f t="shared" si="201"/>
        <v>50914.396650100047</v>
      </c>
      <c r="BQ280" s="25">
        <f t="shared" si="202"/>
        <v>34917.389589892206</v>
      </c>
      <c r="BR280" s="25">
        <f t="shared" si="203"/>
        <v>17856.411992785543</v>
      </c>
      <c r="BS280" s="25">
        <f t="shared" si="204"/>
        <v>0</v>
      </c>
    </row>
    <row r="281" spans="1:71" x14ac:dyDescent="0.2">
      <c r="A281" s="29">
        <f t="shared" si="230"/>
        <v>2.7299999999999858</v>
      </c>
      <c r="B281" s="30">
        <v>6.7853386538179905E-2</v>
      </c>
      <c r="C281" s="30">
        <v>7.2110917748349754E-2</v>
      </c>
      <c r="D281" s="30">
        <v>7.6368246393425668E-2</v>
      </c>
      <c r="E281" s="30">
        <v>8.0732375000029069E-2</v>
      </c>
      <c r="F281" s="30">
        <v>8.5224179680496004E-2</v>
      </c>
      <c r="G281" s="30">
        <v>8.981024142656617E-2</v>
      </c>
      <c r="H281" s="30">
        <v>9.4445053771906623E-2</v>
      </c>
      <c r="I281" s="30">
        <v>9.9088442340568142E-2</v>
      </c>
      <c r="J281" s="30">
        <v>0.10370849732825463</v>
      </c>
      <c r="K281" s="30">
        <v>0.10827987800334413</v>
      </c>
      <c r="L281" s="30">
        <v>0.11278158310289171</v>
      </c>
      <c r="N281" s="1"/>
      <c r="O281" s="1"/>
      <c r="P281" s="1"/>
      <c r="Q281" s="1"/>
      <c r="R281" s="1"/>
      <c r="S281" s="1">
        <f t="shared" si="231"/>
        <v>0.95608819049539795</v>
      </c>
      <c r="T281" s="64">
        <f t="shared" si="205"/>
        <v>0.95387511111345835</v>
      </c>
      <c r="U281" s="66">
        <f t="shared" si="206"/>
        <v>0.90566260556077527</v>
      </c>
      <c r="V281" s="1">
        <f t="shared" si="207"/>
        <v>0.8559333688553219</v>
      </c>
      <c r="W281" s="68">
        <f t="shared" si="208"/>
        <v>0.80528441290413266</v>
      </c>
      <c r="Y281" s="24"/>
      <c r="Z281" s="24"/>
      <c r="AA281" s="24"/>
      <c r="AB281" s="24"/>
      <c r="AC281" s="24"/>
      <c r="AD281" s="24">
        <f t="shared" si="219"/>
        <v>9.4445053771906637E-2</v>
      </c>
      <c r="AE281" s="24">
        <f t="shared" si="220"/>
        <v>9.9088442340568142E-2</v>
      </c>
      <c r="AF281" s="24">
        <f t="shared" si="221"/>
        <v>0.10370849732825463</v>
      </c>
      <c r="AG281" s="24">
        <f t="shared" si="222"/>
        <v>0.10827987800334413</v>
      </c>
      <c r="AH281" s="24">
        <f t="shared" si="223"/>
        <v>0.11278158310289173</v>
      </c>
      <c r="AL281" s="23">
        <f t="shared" si="209"/>
        <v>0</v>
      </c>
      <c r="AM281" s="23">
        <f t="shared" si="210"/>
        <v>0</v>
      </c>
      <c r="AN281" s="23">
        <f t="shared" si="211"/>
        <v>0</v>
      </c>
      <c r="AO281" s="23">
        <f t="shared" si="212"/>
        <v>0</v>
      </c>
      <c r="AP281" s="23">
        <f t="shared" si="213"/>
        <v>0</v>
      </c>
      <c r="AQ281" s="23">
        <f t="shared" si="214"/>
        <v>12784.183016125526</v>
      </c>
      <c r="AR281" s="23">
        <f t="shared" si="215"/>
        <v>14969.197566332236</v>
      </c>
      <c r="AS281" s="23">
        <f t="shared" si="216"/>
        <v>16304.702444026005</v>
      </c>
      <c r="AT281" s="23">
        <f t="shared" si="217"/>
        <v>17365.822411121229</v>
      </c>
      <c r="AU281" s="23">
        <f t="shared" si="218"/>
        <v>18150.794627249787</v>
      </c>
      <c r="AW281" s="25"/>
      <c r="AX281" s="25"/>
      <c r="AY281" s="25"/>
      <c r="AZ281" s="25"/>
      <c r="BA281" s="25"/>
      <c r="BB281" s="25">
        <f t="shared" si="224"/>
        <v>79574.700064854784</v>
      </c>
      <c r="BC281" s="25">
        <f t="shared" si="225"/>
        <v>66790.517048729263</v>
      </c>
      <c r="BD281" s="25">
        <f t="shared" si="226"/>
        <v>51821.319482397019</v>
      </c>
      <c r="BE281" s="25">
        <f t="shared" si="227"/>
        <v>35516.617038371012</v>
      </c>
      <c r="BF281" s="25">
        <f t="shared" si="228"/>
        <v>18150.794627249787</v>
      </c>
      <c r="BG281" s="25">
        <f t="shared" si="229"/>
        <v>0</v>
      </c>
      <c r="BI281" s="25"/>
      <c r="BJ281" s="25"/>
      <c r="BK281" s="25"/>
      <c r="BL281" s="25"/>
      <c r="BM281" s="25"/>
      <c r="BN281" s="25">
        <f t="shared" si="199"/>
        <v>79574.700064854784</v>
      </c>
      <c r="BO281" s="25">
        <f t="shared" si="200"/>
        <v>66790.517048729263</v>
      </c>
      <c r="BP281" s="25">
        <f t="shared" si="201"/>
        <v>51821.319482397019</v>
      </c>
      <c r="BQ281" s="25">
        <f t="shared" si="202"/>
        <v>35516.617038371012</v>
      </c>
      <c r="BR281" s="25">
        <f t="shared" si="203"/>
        <v>18150.794627249787</v>
      </c>
      <c r="BS281" s="25">
        <f t="shared" si="204"/>
        <v>0</v>
      </c>
    </row>
    <row r="282" spans="1:71" x14ac:dyDescent="0.2">
      <c r="A282" s="29">
        <f t="shared" si="230"/>
        <v>2.7399999999999856</v>
      </c>
      <c r="B282" s="30">
        <v>6.7654101464998562E-2</v>
      </c>
      <c r="C282" s="30">
        <v>7.1793970247790037E-2</v>
      </c>
      <c r="D282" s="30">
        <v>7.5947422376123022E-2</v>
      </c>
      <c r="E282" s="30">
        <v>8.0219302804585418E-2</v>
      </c>
      <c r="F282" s="30">
        <v>8.4628963871290958E-2</v>
      </c>
      <c r="G282" s="30">
        <v>8.9142304620818485E-2</v>
      </c>
      <c r="H282" s="30">
        <v>9.371348315610839E-2</v>
      </c>
      <c r="I282" s="30">
        <v>9.8302046849244637E-2</v>
      </c>
      <c r="J282" s="30">
        <v>0.10287577262103841</v>
      </c>
      <c r="K282" s="30">
        <v>0.10740896107435172</v>
      </c>
      <c r="L282" s="30">
        <v>0.11188022066549265</v>
      </c>
      <c r="N282" s="1"/>
      <c r="O282" s="1"/>
      <c r="P282" s="1"/>
      <c r="Q282" s="1"/>
      <c r="R282" s="1"/>
      <c r="S282" s="1">
        <f t="shared" si="231"/>
        <v>0.9564075470659178</v>
      </c>
      <c r="T282" s="64">
        <f t="shared" si="205"/>
        <v>0.95422408843617201</v>
      </c>
      <c r="U282" s="66">
        <f t="shared" si="206"/>
        <v>0.90637509466283928</v>
      </c>
      <c r="V282" s="1">
        <f t="shared" si="207"/>
        <v>0.85700317215092015</v>
      </c>
      <c r="W282" s="68">
        <f t="shared" si="208"/>
        <v>0.80668830687991711</v>
      </c>
      <c r="Y282" s="24"/>
      <c r="Z282" s="24"/>
      <c r="AA282" s="24"/>
      <c r="AB282" s="24"/>
      <c r="AC282" s="24"/>
      <c r="AD282" s="24">
        <f t="shared" si="219"/>
        <v>9.371348315610839E-2</v>
      </c>
      <c r="AE282" s="24">
        <f t="shared" si="220"/>
        <v>9.8302046849244637E-2</v>
      </c>
      <c r="AF282" s="24">
        <f t="shared" si="221"/>
        <v>0.10287577262103841</v>
      </c>
      <c r="AG282" s="24">
        <f t="shared" si="222"/>
        <v>0.10740896107435172</v>
      </c>
      <c r="AH282" s="24">
        <f t="shared" si="223"/>
        <v>0.11188022066549266</v>
      </c>
      <c r="AL282" s="23">
        <f t="shared" si="209"/>
        <v>0</v>
      </c>
      <c r="AM282" s="23">
        <f t="shared" si="210"/>
        <v>0</v>
      </c>
      <c r="AN282" s="23">
        <f t="shared" si="211"/>
        <v>0</v>
      </c>
      <c r="AO282" s="23">
        <f t="shared" si="212"/>
        <v>0</v>
      </c>
      <c r="AP282" s="23">
        <f t="shared" si="213"/>
        <v>0</v>
      </c>
      <c r="AQ282" s="23">
        <f t="shared" si="214"/>
        <v>12438.613413249539</v>
      </c>
      <c r="AR282" s="23">
        <f t="shared" si="215"/>
        <v>14599.475319996929</v>
      </c>
      <c r="AS282" s="23">
        <f t="shared" si="216"/>
        <v>15940.148963731246</v>
      </c>
      <c r="AT282" s="23">
        <f t="shared" si="217"/>
        <v>17014.338102663212</v>
      </c>
      <c r="AU282" s="23">
        <f t="shared" si="218"/>
        <v>17818.878577240466</v>
      </c>
      <c r="AW282" s="25"/>
      <c r="AX282" s="25"/>
      <c r="AY282" s="25"/>
      <c r="AZ282" s="25"/>
      <c r="BA282" s="25"/>
      <c r="BB282" s="25">
        <f t="shared" si="224"/>
        <v>77811.454376881389</v>
      </c>
      <c r="BC282" s="25">
        <f t="shared" si="225"/>
        <v>65372.840963631854</v>
      </c>
      <c r="BD282" s="25">
        <f t="shared" si="226"/>
        <v>50773.365643634927</v>
      </c>
      <c r="BE282" s="25">
        <f t="shared" si="227"/>
        <v>34833.216679903679</v>
      </c>
      <c r="BF282" s="25">
        <f t="shared" si="228"/>
        <v>17818.878577240466</v>
      </c>
      <c r="BG282" s="25">
        <f t="shared" si="229"/>
        <v>0</v>
      </c>
      <c r="BI282" s="25"/>
      <c r="BJ282" s="25"/>
      <c r="BK282" s="25"/>
      <c r="BL282" s="25"/>
      <c r="BM282" s="25"/>
      <c r="BN282" s="25">
        <f t="shared" si="199"/>
        <v>77811.454376881389</v>
      </c>
      <c r="BO282" s="25">
        <f t="shared" si="200"/>
        <v>65372.840963631854</v>
      </c>
      <c r="BP282" s="25">
        <f t="shared" si="201"/>
        <v>50773.365643634927</v>
      </c>
      <c r="BQ282" s="25">
        <f t="shared" si="202"/>
        <v>34833.216679903679</v>
      </c>
      <c r="BR282" s="25">
        <f t="shared" si="203"/>
        <v>17818.878577240466</v>
      </c>
      <c r="BS282" s="25">
        <f t="shared" si="204"/>
        <v>0</v>
      </c>
    </row>
    <row r="283" spans="1:71" x14ac:dyDescent="0.2">
      <c r="A283" s="29">
        <f t="shared" si="230"/>
        <v>2.7499999999999853</v>
      </c>
      <c r="B283" s="30">
        <v>6.9002942601182143E-2</v>
      </c>
      <c r="C283" s="30">
        <v>7.3058132156032685E-2</v>
      </c>
      <c r="D283" s="30">
        <v>7.7134968634388512E-2</v>
      </c>
      <c r="E283" s="30">
        <v>8.1336411327799008E-2</v>
      </c>
      <c r="F283" s="30">
        <v>8.5680564869735507E-2</v>
      </c>
      <c r="G283" s="30">
        <v>9.0132912520983391E-2</v>
      </c>
      <c r="H283" s="30">
        <v>9.4647537330370332E-2</v>
      </c>
      <c r="I283" s="30">
        <v>9.9183966950593658E-2</v>
      </c>
      <c r="J283" s="30">
        <v>0.10370992335279806</v>
      </c>
      <c r="K283" s="30">
        <v>0.10819960707506371</v>
      </c>
      <c r="L283" s="30">
        <v>0.11263149518420942</v>
      </c>
      <c r="N283" s="1"/>
      <c r="O283" s="1"/>
      <c r="P283" s="1"/>
      <c r="Q283" s="1"/>
      <c r="R283" s="1"/>
      <c r="S283" s="1">
        <f t="shared" si="231"/>
        <v>0.95593395192642117</v>
      </c>
      <c r="T283" s="64">
        <f t="shared" si="205"/>
        <v>0.95377854398844053</v>
      </c>
      <c r="U283" s="66">
        <f t="shared" si="206"/>
        <v>0.90557609662549632</v>
      </c>
      <c r="V283" s="1">
        <f t="shared" si="207"/>
        <v>0.85593153798429278</v>
      </c>
      <c r="W283" s="68">
        <f t="shared" si="208"/>
        <v>0.80541370513696964</v>
      </c>
      <c r="Y283" s="24"/>
      <c r="Z283" s="24"/>
      <c r="AA283" s="24"/>
      <c r="AB283" s="24"/>
      <c r="AC283" s="24"/>
      <c r="AD283" s="24">
        <f t="shared" si="219"/>
        <v>9.4647537330370332E-2</v>
      </c>
      <c r="AE283" s="24">
        <f t="shared" si="220"/>
        <v>9.9183966950593658E-2</v>
      </c>
      <c r="AF283" s="24">
        <f t="shared" si="221"/>
        <v>0.10370992335279806</v>
      </c>
      <c r="AG283" s="24">
        <f t="shared" si="222"/>
        <v>0.10819960707506371</v>
      </c>
      <c r="AH283" s="24">
        <f t="shared" si="223"/>
        <v>0.11263149518420942</v>
      </c>
      <c r="AL283" s="23">
        <f t="shared" si="209"/>
        <v>0</v>
      </c>
      <c r="AM283" s="23">
        <f t="shared" si="210"/>
        <v>0</v>
      </c>
      <c r="AN283" s="23">
        <f t="shared" si="211"/>
        <v>0</v>
      </c>
      <c r="AO283" s="23">
        <f t="shared" si="212"/>
        <v>0</v>
      </c>
      <c r="AP283" s="23">
        <f t="shared" si="213"/>
        <v>0</v>
      </c>
      <c r="AQ283" s="23">
        <f t="shared" si="214"/>
        <v>12878.901093455985</v>
      </c>
      <c r="AR283" s="23">
        <f t="shared" si="215"/>
        <v>15013.236796583331</v>
      </c>
      <c r="AS283" s="23">
        <f t="shared" si="216"/>
        <v>16303.790704940764</v>
      </c>
      <c r="AT283" s="23">
        <f t="shared" si="217"/>
        <v>17331.432055478257</v>
      </c>
      <c r="AU283" s="23">
        <f t="shared" si="218"/>
        <v>18093.267390095167</v>
      </c>
      <c r="AW283" s="25"/>
      <c r="AX283" s="25"/>
      <c r="AY283" s="25"/>
      <c r="AZ283" s="25"/>
      <c r="BA283" s="25"/>
      <c r="BB283" s="25">
        <f t="shared" si="224"/>
        <v>79620.628040553507</v>
      </c>
      <c r="BC283" s="25">
        <f t="shared" si="225"/>
        <v>66741.726947097515</v>
      </c>
      <c r="BD283" s="25">
        <f t="shared" si="226"/>
        <v>51728.49015051419</v>
      </c>
      <c r="BE283" s="25">
        <f t="shared" si="227"/>
        <v>35424.699445573424</v>
      </c>
      <c r="BF283" s="25">
        <f t="shared" si="228"/>
        <v>18093.267390095167</v>
      </c>
      <c r="BG283" s="25">
        <f t="shared" si="229"/>
        <v>0</v>
      </c>
      <c r="BI283" s="25"/>
      <c r="BJ283" s="25"/>
      <c r="BK283" s="25"/>
      <c r="BL283" s="25"/>
      <c r="BM283" s="25"/>
      <c r="BN283" s="25">
        <f t="shared" si="199"/>
        <v>79620.628040553507</v>
      </c>
      <c r="BO283" s="25">
        <f t="shared" si="200"/>
        <v>66741.726947097515</v>
      </c>
      <c r="BP283" s="25">
        <f t="shared" si="201"/>
        <v>51728.49015051419</v>
      </c>
      <c r="BQ283" s="25">
        <f t="shared" si="202"/>
        <v>35424.699445573424</v>
      </c>
      <c r="BR283" s="25">
        <f t="shared" si="203"/>
        <v>18093.267390095167</v>
      </c>
      <c r="BS283" s="25">
        <f t="shared" si="204"/>
        <v>0</v>
      </c>
    </row>
    <row r="284" spans="1:71" x14ac:dyDescent="0.2">
      <c r="A284" s="29">
        <f t="shared" si="230"/>
        <v>2.7599999999999851</v>
      </c>
      <c r="B284" s="30">
        <v>6.9347454875415812E-2</v>
      </c>
      <c r="C284" s="30">
        <v>7.327619407438328E-2</v>
      </c>
      <c r="D284" s="30">
        <v>7.7238896595048123E-2</v>
      </c>
      <c r="E284" s="30">
        <v>8.1336482859984779E-2</v>
      </c>
      <c r="F284" s="30">
        <v>8.5585660471334826E-2</v>
      </c>
      <c r="G284" s="30">
        <v>8.9951337755579452E-2</v>
      </c>
      <c r="H284" s="30">
        <v>9.4387357849023801E-2</v>
      </c>
      <c r="I284" s="30">
        <v>9.885306201526857E-2</v>
      </c>
      <c r="J284" s="30">
        <v>0.10331595040838537</v>
      </c>
      <c r="K284" s="30">
        <v>0.10774995691007398</v>
      </c>
      <c r="L284" s="30">
        <v>0.11213326089476576</v>
      </c>
      <c r="N284" s="1"/>
      <c r="O284" s="1"/>
      <c r="P284" s="1"/>
      <c r="Q284" s="1"/>
      <c r="R284" s="1"/>
      <c r="S284" s="1">
        <f t="shared" si="231"/>
        <v>0.95602074260764236</v>
      </c>
      <c r="T284" s="64">
        <f t="shared" si="205"/>
        <v>0.95390262886279731</v>
      </c>
      <c r="U284" s="66">
        <f t="shared" si="206"/>
        <v>0.90587580581007143</v>
      </c>
      <c r="V284" s="1">
        <f t="shared" si="207"/>
        <v>0.85643750827587484</v>
      </c>
      <c r="W284" s="68">
        <f t="shared" si="208"/>
        <v>0.80613833973099724</v>
      </c>
      <c r="Y284" s="24"/>
      <c r="Z284" s="24"/>
      <c r="AA284" s="24"/>
      <c r="AB284" s="24"/>
      <c r="AC284" s="24"/>
      <c r="AD284" s="24">
        <f t="shared" si="219"/>
        <v>9.4387357849023801E-2</v>
      </c>
      <c r="AE284" s="24">
        <f t="shared" si="220"/>
        <v>9.885306201526857E-2</v>
      </c>
      <c r="AF284" s="24">
        <f t="shared" si="221"/>
        <v>0.10331595040838537</v>
      </c>
      <c r="AG284" s="24">
        <f t="shared" si="222"/>
        <v>0.10774995691007398</v>
      </c>
      <c r="AH284" s="24">
        <f t="shared" si="223"/>
        <v>0.11213326089476576</v>
      </c>
      <c r="AL284" s="23">
        <f t="shared" si="209"/>
        <v>0</v>
      </c>
      <c r="AM284" s="23">
        <f t="shared" si="210"/>
        <v>0</v>
      </c>
      <c r="AN284" s="23">
        <f t="shared" si="211"/>
        <v>0</v>
      </c>
      <c r="AO284" s="23">
        <f t="shared" si="212"/>
        <v>0</v>
      </c>
      <c r="AP284" s="23">
        <f t="shared" si="213"/>
        <v>0</v>
      </c>
      <c r="AQ284" s="23">
        <f t="shared" si="214"/>
        <v>12755.701897772051</v>
      </c>
      <c r="AR284" s="23">
        <f t="shared" si="215"/>
        <v>14857.364447852297</v>
      </c>
      <c r="AS284" s="23">
        <f t="shared" si="216"/>
        <v>16130.741323221251</v>
      </c>
      <c r="AT284" s="23">
        <f t="shared" si="217"/>
        <v>17149.128621955639</v>
      </c>
      <c r="AU284" s="23">
        <f t="shared" si="218"/>
        <v>17908.723108562943</v>
      </c>
      <c r="AW284" s="25"/>
      <c r="AX284" s="25"/>
      <c r="AY284" s="25"/>
      <c r="AZ284" s="25"/>
      <c r="BA284" s="25"/>
      <c r="BB284" s="25">
        <f t="shared" si="224"/>
        <v>78801.659399364187</v>
      </c>
      <c r="BC284" s="25">
        <f t="shared" si="225"/>
        <v>66045.957501592129</v>
      </c>
      <c r="BD284" s="25">
        <f t="shared" si="226"/>
        <v>51188.593053739838</v>
      </c>
      <c r="BE284" s="25">
        <f t="shared" si="227"/>
        <v>35057.851730518581</v>
      </c>
      <c r="BF284" s="25">
        <f t="shared" si="228"/>
        <v>17908.723108562943</v>
      </c>
      <c r="BG284" s="25">
        <f t="shared" si="229"/>
        <v>0</v>
      </c>
      <c r="BI284" s="25"/>
      <c r="BJ284" s="25"/>
      <c r="BK284" s="25"/>
      <c r="BL284" s="25"/>
      <c r="BM284" s="25"/>
      <c r="BN284" s="25">
        <f t="shared" ref="BN284:BN308" si="232">MAX(BB284,0)</f>
        <v>78801.659399364187</v>
      </c>
      <c r="BO284" s="25">
        <f t="shared" ref="BO284:BO347" si="233">MAX(BC284,0)</f>
        <v>66045.957501592129</v>
      </c>
      <c r="BP284" s="25">
        <f t="shared" ref="BP284:BP347" si="234">MAX(BD284,0)</f>
        <v>51188.593053739838</v>
      </c>
      <c r="BQ284" s="25">
        <f t="shared" ref="BQ284:BQ347" si="235">MAX(BE284,0)</f>
        <v>35057.851730518581</v>
      </c>
      <c r="BR284" s="25">
        <f t="shared" ref="BR284:BR347" si="236">MAX(BF284,0)</f>
        <v>17908.723108562943</v>
      </c>
      <c r="BS284" s="25">
        <f t="shared" ref="BS284:BS347" si="237">MAX(BG284,0)</f>
        <v>0</v>
      </c>
    </row>
    <row r="285" spans="1:71" x14ac:dyDescent="0.2">
      <c r="A285" s="29">
        <f t="shared" si="230"/>
        <v>2.7699999999999849</v>
      </c>
      <c r="B285" s="30">
        <v>6.968058413410258E-2</v>
      </c>
      <c r="C285" s="30">
        <v>7.3534971404443955E-2</v>
      </c>
      <c r="D285" s="30">
        <v>7.7432320688291964E-2</v>
      </c>
      <c r="E285" s="30">
        <v>8.1471618734575896E-2</v>
      </c>
      <c r="F285" s="30">
        <v>8.5668284914624943E-2</v>
      </c>
      <c r="G285" s="30">
        <v>8.9986751679628635E-2</v>
      </c>
      <c r="H285" s="30">
        <v>9.4380715682414934E-2</v>
      </c>
      <c r="I285" s="30">
        <v>9.8809423447505332E-2</v>
      </c>
      <c r="J285" s="30">
        <v>0.10324024477368901</v>
      </c>
      <c r="K285" s="30">
        <v>0.10764693862414215</v>
      </c>
      <c r="L285" s="30">
        <v>0.1120074787056464</v>
      </c>
      <c r="N285" s="1"/>
      <c r="O285" s="1"/>
      <c r="P285" s="1"/>
      <c r="Q285" s="1"/>
      <c r="R285" s="1"/>
      <c r="S285" s="1">
        <f t="shared" si="231"/>
        <v>0.95600381453453109</v>
      </c>
      <c r="T285" s="64">
        <f t="shared" si="205"/>
        <v>0.95390579685815269</v>
      </c>
      <c r="U285" s="66">
        <f t="shared" si="206"/>
        <v>0.90591533779536171</v>
      </c>
      <c r="V285" s="1">
        <f t="shared" si="207"/>
        <v>0.85653476951590091</v>
      </c>
      <c r="W285" s="68">
        <f t="shared" si="208"/>
        <v>0.80630445082285562</v>
      </c>
      <c r="Y285" s="24"/>
      <c r="Z285" s="24"/>
      <c r="AA285" s="24"/>
      <c r="AB285" s="24"/>
      <c r="AC285" s="24"/>
      <c r="AD285" s="24">
        <f t="shared" si="219"/>
        <v>9.4380715682414948E-2</v>
      </c>
      <c r="AE285" s="24">
        <f t="shared" si="220"/>
        <v>9.8809423447505332E-2</v>
      </c>
      <c r="AF285" s="24">
        <f t="shared" si="221"/>
        <v>0.10324024477368901</v>
      </c>
      <c r="AG285" s="24">
        <f t="shared" si="222"/>
        <v>0.10764693862414215</v>
      </c>
      <c r="AH285" s="24">
        <f t="shared" si="223"/>
        <v>0.1120074787056464</v>
      </c>
      <c r="AL285" s="23">
        <f t="shared" si="209"/>
        <v>0</v>
      </c>
      <c r="AM285" s="23">
        <f t="shared" si="210"/>
        <v>0</v>
      </c>
      <c r="AN285" s="23">
        <f t="shared" si="211"/>
        <v>0</v>
      </c>
      <c r="AO285" s="23">
        <f t="shared" si="212"/>
        <v>0</v>
      </c>
      <c r="AP285" s="23">
        <f t="shared" si="213"/>
        <v>0</v>
      </c>
      <c r="AQ285" s="23">
        <f t="shared" si="214"/>
        <v>12752.301066735208</v>
      </c>
      <c r="AR285" s="23">
        <f t="shared" si="215"/>
        <v>14836.600249101279</v>
      </c>
      <c r="AS285" s="23">
        <f t="shared" si="216"/>
        <v>16097.153813214381</v>
      </c>
      <c r="AT285" s="23">
        <f t="shared" si="217"/>
        <v>17106.956789135256</v>
      </c>
      <c r="AU285" s="23">
        <f t="shared" si="218"/>
        <v>17861.703971166422</v>
      </c>
      <c r="AW285" s="25"/>
      <c r="AX285" s="25"/>
      <c r="AY285" s="25"/>
      <c r="AZ285" s="25"/>
      <c r="BA285" s="25"/>
      <c r="BB285" s="25">
        <f t="shared" si="224"/>
        <v>78654.715889352548</v>
      </c>
      <c r="BC285" s="25">
        <f t="shared" si="225"/>
        <v>65902.414822617342</v>
      </c>
      <c r="BD285" s="25">
        <f t="shared" si="226"/>
        <v>51065.814573516065</v>
      </c>
      <c r="BE285" s="25">
        <f t="shared" si="227"/>
        <v>34968.660760301675</v>
      </c>
      <c r="BF285" s="25">
        <f t="shared" si="228"/>
        <v>17861.703971166422</v>
      </c>
      <c r="BG285" s="25">
        <f t="shared" si="229"/>
        <v>0</v>
      </c>
      <c r="BI285" s="25"/>
      <c r="BJ285" s="25"/>
      <c r="BK285" s="25"/>
      <c r="BL285" s="25"/>
      <c r="BM285" s="25"/>
      <c r="BN285" s="25">
        <f t="shared" si="232"/>
        <v>78654.715889352548</v>
      </c>
      <c r="BO285" s="25">
        <f t="shared" si="233"/>
        <v>65902.414822617342</v>
      </c>
      <c r="BP285" s="25">
        <f t="shared" si="234"/>
        <v>51065.814573516065</v>
      </c>
      <c r="BQ285" s="25">
        <f t="shared" si="235"/>
        <v>34968.660760301675</v>
      </c>
      <c r="BR285" s="25">
        <f t="shared" si="236"/>
        <v>17861.703971166422</v>
      </c>
      <c r="BS285" s="25">
        <f t="shared" si="237"/>
        <v>0</v>
      </c>
    </row>
    <row r="286" spans="1:71" x14ac:dyDescent="0.2">
      <c r="A286" s="29">
        <f t="shared" si="230"/>
        <v>2.7799999999999847</v>
      </c>
      <c r="B286" s="30">
        <v>6.9472837667356929E-2</v>
      </c>
      <c r="C286" s="30">
        <v>7.3319488061429197E-2</v>
      </c>
      <c r="D286" s="30">
        <v>7.7211986892657278E-2</v>
      </c>
      <c r="E286" s="30">
        <v>8.124762280432557E-2</v>
      </c>
      <c r="F286" s="30">
        <v>8.5440765843204911E-2</v>
      </c>
      <c r="G286" s="30">
        <v>8.9755601832173099E-2</v>
      </c>
      <c r="H286" s="30">
        <v>9.4145904634612476E-2</v>
      </c>
      <c r="I286" s="30">
        <v>9.857104798278489E-2</v>
      </c>
      <c r="J286" s="30">
        <v>0.10299849308807592</v>
      </c>
      <c r="K286" s="30">
        <v>0.10740204603929918</v>
      </c>
      <c r="L286" s="30">
        <v>0.11175969720481359</v>
      </c>
      <c r="N286" s="1"/>
      <c r="O286" s="1"/>
      <c r="P286" s="1"/>
      <c r="Q286" s="1"/>
      <c r="R286" s="1"/>
      <c r="S286" s="1">
        <f t="shared" si="231"/>
        <v>0.95611431098766597</v>
      </c>
      <c r="T286" s="64">
        <f t="shared" si="205"/>
        <v>0.95401779724258839</v>
      </c>
      <c r="U286" s="66">
        <f t="shared" si="206"/>
        <v>0.90613131152540249</v>
      </c>
      <c r="V286" s="1">
        <f t="shared" si="207"/>
        <v>0.85684542892579874</v>
      </c>
      <c r="W286" s="68">
        <f t="shared" si="208"/>
        <v>0.80669946351290245</v>
      </c>
      <c r="Y286" s="24"/>
      <c r="Z286" s="24"/>
      <c r="AA286" s="24"/>
      <c r="AB286" s="24"/>
      <c r="AC286" s="24"/>
      <c r="AD286" s="24">
        <f t="shared" si="219"/>
        <v>9.4145904634612476E-2</v>
      </c>
      <c r="AE286" s="24">
        <f t="shared" si="220"/>
        <v>9.857104798278489E-2</v>
      </c>
      <c r="AF286" s="24">
        <f t="shared" si="221"/>
        <v>0.10299849308807592</v>
      </c>
      <c r="AG286" s="24">
        <f t="shared" si="222"/>
        <v>0.10740204603929918</v>
      </c>
      <c r="AH286" s="24">
        <f t="shared" si="223"/>
        <v>0.11175969720481357</v>
      </c>
      <c r="AL286" s="23">
        <f t="shared" si="209"/>
        <v>0</v>
      </c>
      <c r="AM286" s="23">
        <f t="shared" si="210"/>
        <v>0</v>
      </c>
      <c r="AN286" s="23">
        <f t="shared" si="211"/>
        <v>0</v>
      </c>
      <c r="AO286" s="23">
        <f t="shared" si="212"/>
        <v>0</v>
      </c>
      <c r="AP286" s="23">
        <f t="shared" si="213"/>
        <v>0</v>
      </c>
      <c r="AQ286" s="23">
        <f t="shared" si="214"/>
        <v>12641.521896540487</v>
      </c>
      <c r="AR286" s="23">
        <f t="shared" si="215"/>
        <v>14724.635032300073</v>
      </c>
      <c r="AS286" s="23">
        <f t="shared" si="216"/>
        <v>15991.462051140768</v>
      </c>
      <c r="AT286" s="23">
        <f t="shared" si="217"/>
        <v>17008.243821551685</v>
      </c>
      <c r="AU286" s="23">
        <f t="shared" si="218"/>
        <v>17770.511909749232</v>
      </c>
      <c r="AW286" s="25"/>
      <c r="AX286" s="25"/>
      <c r="AY286" s="25"/>
      <c r="AZ286" s="25"/>
      <c r="BA286" s="25"/>
      <c r="BB286" s="25">
        <f t="shared" si="224"/>
        <v>78136.374711282246</v>
      </c>
      <c r="BC286" s="25">
        <f t="shared" si="225"/>
        <v>65494.852814741753</v>
      </c>
      <c r="BD286" s="25">
        <f t="shared" si="226"/>
        <v>50770.217782441687</v>
      </c>
      <c r="BE286" s="25">
        <f t="shared" si="227"/>
        <v>34778.755731300917</v>
      </c>
      <c r="BF286" s="25">
        <f t="shared" si="228"/>
        <v>17770.511909749232</v>
      </c>
      <c r="BG286" s="25">
        <f t="shared" si="229"/>
        <v>0</v>
      </c>
      <c r="BI286" s="25"/>
      <c r="BJ286" s="25"/>
      <c r="BK286" s="25"/>
      <c r="BL286" s="25"/>
      <c r="BM286" s="25"/>
      <c r="BN286" s="25">
        <f t="shared" si="232"/>
        <v>78136.374711282246</v>
      </c>
      <c r="BO286" s="25">
        <f t="shared" si="233"/>
        <v>65494.852814741753</v>
      </c>
      <c r="BP286" s="25">
        <f t="shared" si="234"/>
        <v>50770.217782441687</v>
      </c>
      <c r="BQ286" s="25">
        <f t="shared" si="235"/>
        <v>34778.755731300917</v>
      </c>
      <c r="BR286" s="25">
        <f t="shared" si="236"/>
        <v>17770.511909749232</v>
      </c>
      <c r="BS286" s="25">
        <f t="shared" si="237"/>
        <v>0</v>
      </c>
    </row>
    <row r="287" spans="1:71" x14ac:dyDescent="0.2">
      <c r="A287" s="29">
        <f t="shared" si="230"/>
        <v>2.7899999999999845</v>
      </c>
      <c r="B287" s="30">
        <v>7.0016166315375744E-2</v>
      </c>
      <c r="C287" s="30">
        <v>7.3789899245686782E-2</v>
      </c>
      <c r="D287" s="30">
        <v>7.7624617444112629E-2</v>
      </c>
      <c r="E287" s="30">
        <v>8.1615354129632958E-2</v>
      </c>
      <c r="F287" s="30">
        <v>8.5774875784103699E-2</v>
      </c>
      <c r="G287" s="30">
        <v>9.0066557784586707E-2</v>
      </c>
      <c r="H287" s="30">
        <v>9.4443681910680907E-2</v>
      </c>
      <c r="I287" s="30">
        <v>9.886517809220409E-2</v>
      </c>
      <c r="J287" s="30">
        <v>0.10329802777311753</v>
      </c>
      <c r="K287" s="30">
        <v>0.10771551326430959</v>
      </c>
      <c r="L287" s="30">
        <v>0.11209507097540869</v>
      </c>
      <c r="N287" s="1"/>
      <c r="O287" s="1"/>
      <c r="P287" s="1"/>
      <c r="Q287" s="1"/>
      <c r="R287" s="1"/>
      <c r="S287" s="1">
        <f t="shared" si="231"/>
        <v>0.95596566782523962</v>
      </c>
      <c r="T287" s="64">
        <f t="shared" si="205"/>
        <v>0.95387576540582231</v>
      </c>
      <c r="U287" s="66">
        <f t="shared" si="206"/>
        <v>0.90586483021560493</v>
      </c>
      <c r="V287" s="1">
        <f t="shared" si="207"/>
        <v>0.85646053301100722</v>
      </c>
      <c r="W287" s="68">
        <f t="shared" si="208"/>
        <v>0.80619387433061096</v>
      </c>
      <c r="Y287" s="24"/>
      <c r="Z287" s="24"/>
      <c r="AA287" s="24"/>
      <c r="AB287" s="24"/>
      <c r="AC287" s="24"/>
      <c r="AD287" s="24">
        <f t="shared" si="219"/>
        <v>9.4443681910680907E-2</v>
      </c>
      <c r="AE287" s="24">
        <f t="shared" si="220"/>
        <v>9.886517809220409E-2</v>
      </c>
      <c r="AF287" s="24">
        <f t="shared" si="221"/>
        <v>0.10329802777311753</v>
      </c>
      <c r="AG287" s="24">
        <f t="shared" si="222"/>
        <v>0.10771551326430959</v>
      </c>
      <c r="AH287" s="24">
        <f t="shared" si="223"/>
        <v>0.11209507097540869</v>
      </c>
      <c r="AL287" s="23">
        <f t="shared" si="209"/>
        <v>0</v>
      </c>
      <c r="AM287" s="23">
        <f t="shared" si="210"/>
        <v>0</v>
      </c>
      <c r="AN287" s="23">
        <f t="shared" si="211"/>
        <v>0</v>
      </c>
      <c r="AO287" s="23">
        <f t="shared" si="212"/>
        <v>0</v>
      </c>
      <c r="AP287" s="23">
        <f t="shared" si="213"/>
        <v>0</v>
      </c>
      <c r="AQ287" s="23">
        <f t="shared" si="214"/>
        <v>12781.888997376178</v>
      </c>
      <c r="AR287" s="23">
        <f t="shared" si="215"/>
        <v>14862.724656268609</v>
      </c>
      <c r="AS287" s="23">
        <f t="shared" si="216"/>
        <v>16122.428140625379</v>
      </c>
      <c r="AT287" s="23">
        <f t="shared" si="217"/>
        <v>17134.839852914003</v>
      </c>
      <c r="AU287" s="23">
        <f t="shared" si="218"/>
        <v>17894.562594962736</v>
      </c>
      <c r="AW287" s="25"/>
      <c r="AX287" s="25"/>
      <c r="AY287" s="25"/>
      <c r="AZ287" s="25"/>
      <c r="BA287" s="25"/>
      <c r="BB287" s="25">
        <f t="shared" si="224"/>
        <v>78796.444242146914</v>
      </c>
      <c r="BC287" s="25">
        <f t="shared" si="225"/>
        <v>66014.555244770716</v>
      </c>
      <c r="BD287" s="25">
        <f t="shared" si="226"/>
        <v>51151.830588502118</v>
      </c>
      <c r="BE287" s="25">
        <f t="shared" si="227"/>
        <v>35029.402447876739</v>
      </c>
      <c r="BF287" s="25">
        <f t="shared" si="228"/>
        <v>17894.562594962736</v>
      </c>
      <c r="BG287" s="25">
        <f t="shared" si="229"/>
        <v>0</v>
      </c>
      <c r="BI287" s="25"/>
      <c r="BJ287" s="25"/>
      <c r="BK287" s="25"/>
      <c r="BL287" s="25"/>
      <c r="BM287" s="25"/>
      <c r="BN287" s="25">
        <f t="shared" si="232"/>
        <v>78796.444242146914</v>
      </c>
      <c r="BO287" s="25">
        <f t="shared" si="233"/>
        <v>66014.555244770716</v>
      </c>
      <c r="BP287" s="25">
        <f t="shared" si="234"/>
        <v>51151.830588502118</v>
      </c>
      <c r="BQ287" s="25">
        <f t="shared" si="235"/>
        <v>35029.402447876739</v>
      </c>
      <c r="BR287" s="25">
        <f t="shared" si="236"/>
        <v>17894.562594962736</v>
      </c>
      <c r="BS287" s="25">
        <f t="shared" si="237"/>
        <v>0</v>
      </c>
    </row>
    <row r="288" spans="1:71" x14ac:dyDescent="0.2">
      <c r="A288" s="29">
        <f t="shared" si="230"/>
        <v>2.7999999999999843</v>
      </c>
      <c r="B288" s="30">
        <v>6.912527328398077E-2</v>
      </c>
      <c r="C288" s="30">
        <v>7.2850928881285068E-2</v>
      </c>
      <c r="D288" s="30">
        <v>7.6646596458911448E-2</v>
      </c>
      <c r="E288" s="30">
        <v>8.0605361724115185E-2</v>
      </c>
      <c r="F288" s="30">
        <v>8.4738698331611836E-2</v>
      </c>
      <c r="G288" s="30">
        <v>8.9009472455280458E-2</v>
      </c>
      <c r="H288" s="30">
        <v>9.3370769631955938E-2</v>
      </c>
      <c r="I288" s="30">
        <v>9.7781370145104921E-2</v>
      </c>
      <c r="J288" s="30">
        <v>0.1022080696664469</v>
      </c>
      <c r="K288" s="30">
        <v>0.10662392100072139</v>
      </c>
      <c r="L288" s="30">
        <v>0.11100610115205117</v>
      </c>
      <c r="N288" s="1"/>
      <c r="O288" s="1"/>
      <c r="P288" s="1"/>
      <c r="Q288" s="1"/>
      <c r="R288" s="1"/>
      <c r="S288" s="1">
        <f t="shared" si="231"/>
        <v>0.95647107001817422</v>
      </c>
      <c r="T288" s="64">
        <f t="shared" si="205"/>
        <v>0.95438761519656945</v>
      </c>
      <c r="U288" s="66">
        <f t="shared" si="206"/>
        <v>0.90684714594223026</v>
      </c>
      <c r="V288" s="1">
        <f t="shared" si="207"/>
        <v>0.85786193745444073</v>
      </c>
      <c r="W288" s="68">
        <f t="shared" si="208"/>
        <v>0.80795586700067312</v>
      </c>
      <c r="Y288" s="24"/>
      <c r="Z288" s="24"/>
      <c r="AA288" s="24"/>
      <c r="AB288" s="24"/>
      <c r="AC288" s="24"/>
      <c r="AD288" s="24">
        <f t="shared" si="219"/>
        <v>9.3370769631955938E-2</v>
      </c>
      <c r="AE288" s="24">
        <f t="shared" si="220"/>
        <v>9.7781370145104921E-2</v>
      </c>
      <c r="AF288" s="24">
        <f t="shared" si="221"/>
        <v>0.1022080696664469</v>
      </c>
      <c r="AG288" s="24">
        <f t="shared" si="222"/>
        <v>0.10662392100072139</v>
      </c>
      <c r="AH288" s="24">
        <f t="shared" si="223"/>
        <v>0.11100610115205116</v>
      </c>
      <c r="AL288" s="23">
        <f t="shared" si="209"/>
        <v>0</v>
      </c>
      <c r="AM288" s="23">
        <f t="shared" si="210"/>
        <v>0</v>
      </c>
      <c r="AN288" s="23">
        <f t="shared" si="211"/>
        <v>0</v>
      </c>
      <c r="AO288" s="23">
        <f t="shared" si="212"/>
        <v>0</v>
      </c>
      <c r="AP288" s="23">
        <f t="shared" si="213"/>
        <v>0</v>
      </c>
      <c r="AQ288" s="23">
        <f t="shared" si="214"/>
        <v>12275.541779084195</v>
      </c>
      <c r="AR288" s="23">
        <f t="shared" si="215"/>
        <v>14353.51355419508</v>
      </c>
      <c r="AS288" s="23">
        <f t="shared" si="216"/>
        <v>15645.698529698893</v>
      </c>
      <c r="AT288" s="23">
        <f t="shared" si="217"/>
        <v>16694.659425610538</v>
      </c>
      <c r="AU288" s="23">
        <f t="shared" si="218"/>
        <v>17493.752624686884</v>
      </c>
      <c r="AW288" s="25"/>
      <c r="AX288" s="25"/>
      <c r="AY288" s="25"/>
      <c r="AZ288" s="25"/>
      <c r="BA288" s="25"/>
      <c r="BB288" s="25">
        <f t="shared" si="224"/>
        <v>76463.165913275589</v>
      </c>
      <c r="BC288" s="25">
        <f t="shared" si="225"/>
        <v>64187.624134191399</v>
      </c>
      <c r="BD288" s="25">
        <f t="shared" si="226"/>
        <v>49834.110579996312</v>
      </c>
      <c r="BE288" s="25">
        <f t="shared" si="227"/>
        <v>34188.412050297426</v>
      </c>
      <c r="BF288" s="25">
        <f t="shared" si="228"/>
        <v>17493.752624686884</v>
      </c>
      <c r="BG288" s="25">
        <f t="shared" si="229"/>
        <v>0</v>
      </c>
      <c r="BI288" s="25"/>
      <c r="BJ288" s="25"/>
      <c r="BK288" s="25"/>
      <c r="BL288" s="25"/>
      <c r="BM288" s="25"/>
      <c r="BN288" s="25">
        <f t="shared" si="232"/>
        <v>76463.165913275589</v>
      </c>
      <c r="BO288" s="25">
        <f t="shared" si="233"/>
        <v>64187.624134191399</v>
      </c>
      <c r="BP288" s="25">
        <f t="shared" si="234"/>
        <v>49834.110579996312</v>
      </c>
      <c r="BQ288" s="25">
        <f t="shared" si="235"/>
        <v>34188.412050297426</v>
      </c>
      <c r="BR288" s="25">
        <f t="shared" si="236"/>
        <v>17493.752624686884</v>
      </c>
      <c r="BS288" s="25">
        <f t="shared" si="237"/>
        <v>0</v>
      </c>
    </row>
    <row r="289" spans="1:71" x14ac:dyDescent="0.2">
      <c r="A289" s="29">
        <f t="shared" si="230"/>
        <v>2.8099999999999841</v>
      </c>
      <c r="B289" s="30">
        <v>6.7912250328811097E-2</v>
      </c>
      <c r="C289" s="30">
        <v>7.1656296982853848E-2</v>
      </c>
      <c r="D289" s="30">
        <v>7.5469838807939227E-2</v>
      </c>
      <c r="E289" s="30">
        <v>7.9444440902549929E-2</v>
      </c>
      <c r="F289" s="30">
        <v>8.3590713576000328E-2</v>
      </c>
      <c r="G289" s="30">
        <v>8.787143386745519E-2</v>
      </c>
      <c r="H289" s="30">
        <v>9.2239905812173631E-2</v>
      </c>
      <c r="I289" s="30">
        <v>9.6655173134013478E-2</v>
      </c>
      <c r="J289" s="30">
        <v>0.10108425866703437</v>
      </c>
      <c r="K289" s="30">
        <v>0.10550039892109993</v>
      </c>
      <c r="L289" s="30">
        <v>0.10988092498574635</v>
      </c>
      <c r="N289" s="1"/>
      <c r="O289" s="1"/>
      <c r="P289" s="1"/>
      <c r="Q289" s="1"/>
      <c r="R289" s="1"/>
      <c r="S289" s="1">
        <f t="shared" si="231"/>
        <v>0.95701547538497334</v>
      </c>
      <c r="T289" s="64">
        <f t="shared" si="205"/>
        <v>0.95492740900254625</v>
      </c>
      <c r="U289" s="66">
        <f t="shared" si="206"/>
        <v>0.90786900978950824</v>
      </c>
      <c r="V289" s="1">
        <f t="shared" si="207"/>
        <v>0.85930926902899818</v>
      </c>
      <c r="W289" s="68">
        <f t="shared" si="208"/>
        <v>0.80977342080961112</v>
      </c>
      <c r="Y289" s="24"/>
      <c r="Z289" s="24"/>
      <c r="AA289" s="24"/>
      <c r="AB289" s="24"/>
      <c r="AC289" s="24"/>
      <c r="AD289" s="24">
        <f t="shared" si="219"/>
        <v>9.2239905812173631E-2</v>
      </c>
      <c r="AE289" s="24">
        <f t="shared" si="220"/>
        <v>9.6655173134013478E-2</v>
      </c>
      <c r="AF289" s="24">
        <f t="shared" si="221"/>
        <v>0.10108425866703437</v>
      </c>
      <c r="AG289" s="24">
        <f t="shared" si="222"/>
        <v>0.10550039892109993</v>
      </c>
      <c r="AH289" s="24">
        <f t="shared" si="223"/>
        <v>0.10988092498574635</v>
      </c>
      <c r="AL289" s="23">
        <f t="shared" si="209"/>
        <v>0</v>
      </c>
      <c r="AM289" s="23">
        <f t="shared" si="210"/>
        <v>0</v>
      </c>
      <c r="AN289" s="23">
        <f t="shared" si="211"/>
        <v>0</v>
      </c>
      <c r="AO289" s="23">
        <f t="shared" si="212"/>
        <v>0</v>
      </c>
      <c r="AP289" s="23">
        <f t="shared" si="213"/>
        <v>0</v>
      </c>
      <c r="AQ289" s="23">
        <f t="shared" si="214"/>
        <v>11741.401698840007</v>
      </c>
      <c r="AR289" s="23">
        <f t="shared" si="215"/>
        <v>13823.913586800414</v>
      </c>
      <c r="AS289" s="23">
        <f t="shared" si="216"/>
        <v>15153.192004605477</v>
      </c>
      <c r="AT289" s="23">
        <f t="shared" si="217"/>
        <v>16240.099153403775</v>
      </c>
      <c r="AU289" s="23">
        <f t="shared" si="218"/>
        <v>17077.537180636125</v>
      </c>
      <c r="AW289" s="25"/>
      <c r="AX289" s="25"/>
      <c r="AY289" s="25"/>
      <c r="AZ289" s="25"/>
      <c r="BA289" s="25"/>
      <c r="BB289" s="25">
        <f t="shared" si="224"/>
        <v>74036.143624285789</v>
      </c>
      <c r="BC289" s="25">
        <f t="shared" si="225"/>
        <v>62294.741925445793</v>
      </c>
      <c r="BD289" s="25">
        <f t="shared" si="226"/>
        <v>48470.828338645377</v>
      </c>
      <c r="BE289" s="25">
        <f t="shared" si="227"/>
        <v>33317.636334039897</v>
      </c>
      <c r="BF289" s="25">
        <f t="shared" si="228"/>
        <v>17077.537180636125</v>
      </c>
      <c r="BG289" s="25">
        <f t="shared" si="229"/>
        <v>0</v>
      </c>
      <c r="BI289" s="25"/>
      <c r="BJ289" s="25"/>
      <c r="BK289" s="25"/>
      <c r="BL289" s="25"/>
      <c r="BM289" s="25"/>
      <c r="BN289" s="25">
        <f t="shared" si="232"/>
        <v>74036.143624285789</v>
      </c>
      <c r="BO289" s="25">
        <f t="shared" si="233"/>
        <v>62294.741925445793</v>
      </c>
      <c r="BP289" s="25">
        <f t="shared" si="234"/>
        <v>48470.828338645377</v>
      </c>
      <c r="BQ289" s="25">
        <f t="shared" si="235"/>
        <v>33317.636334039897</v>
      </c>
      <c r="BR289" s="25">
        <f t="shared" si="236"/>
        <v>17077.537180636125</v>
      </c>
      <c r="BS289" s="25">
        <f t="shared" si="237"/>
        <v>0</v>
      </c>
    </row>
    <row r="290" spans="1:71" x14ac:dyDescent="0.2">
      <c r="A290" s="29">
        <f t="shared" si="230"/>
        <v>2.8199999999999839</v>
      </c>
      <c r="B290" s="30">
        <v>6.7159944652087494E-2</v>
      </c>
      <c r="C290" s="30">
        <v>7.0954536381541061E-2</v>
      </c>
      <c r="D290" s="30">
        <v>7.4815294186004522E-2</v>
      </c>
      <c r="E290" s="30">
        <v>7.8832374673795294E-2</v>
      </c>
      <c r="F290" s="30">
        <v>8.301563926638017E-2</v>
      </c>
      <c r="G290" s="30">
        <v>8.7327880994212279E-2</v>
      </c>
      <c r="H290" s="30">
        <v>9.1722722263154186E-2</v>
      </c>
      <c r="I290" s="30">
        <v>9.6159568485233771E-2</v>
      </c>
      <c r="J290" s="30">
        <v>0.10060576776104632</v>
      </c>
      <c r="K290" s="30">
        <v>0.10503483868652526</v>
      </c>
      <c r="L290" s="30">
        <v>0.1094243650954143</v>
      </c>
      <c r="N290" s="1"/>
      <c r="O290" s="1"/>
      <c r="P290" s="1"/>
      <c r="Q290" s="1"/>
      <c r="R290" s="1"/>
      <c r="S290" s="1">
        <f t="shared" si="231"/>
        <v>0.95727560498761222</v>
      </c>
      <c r="T290" s="64">
        <f t="shared" si="205"/>
        <v>0.955174377306378</v>
      </c>
      <c r="U290" s="66">
        <f t="shared" si="206"/>
        <v>0.90831906540685903</v>
      </c>
      <c r="V290" s="1">
        <f t="shared" si="207"/>
        <v>0.85992624792259675</v>
      </c>
      <c r="W290" s="68">
        <f t="shared" si="208"/>
        <v>0.81052776855691355</v>
      </c>
      <c r="Y290" s="24"/>
      <c r="Z290" s="24"/>
      <c r="AA290" s="24"/>
      <c r="AB290" s="24"/>
      <c r="AC290" s="24"/>
      <c r="AD290" s="24">
        <f t="shared" si="219"/>
        <v>9.1722722263154186E-2</v>
      </c>
      <c r="AE290" s="24">
        <f t="shared" si="220"/>
        <v>9.6159568485233771E-2</v>
      </c>
      <c r="AF290" s="24">
        <f t="shared" si="221"/>
        <v>0.10060576776104632</v>
      </c>
      <c r="AG290" s="24">
        <f t="shared" si="222"/>
        <v>0.10503483868652526</v>
      </c>
      <c r="AH290" s="24">
        <f t="shared" si="223"/>
        <v>0.10942436509541428</v>
      </c>
      <c r="AL290" s="23">
        <f t="shared" si="209"/>
        <v>0</v>
      </c>
      <c r="AM290" s="23">
        <f t="shared" si="210"/>
        <v>0</v>
      </c>
      <c r="AN290" s="23">
        <f t="shared" si="211"/>
        <v>0</v>
      </c>
      <c r="AO290" s="23">
        <f t="shared" si="212"/>
        <v>0</v>
      </c>
      <c r="AP290" s="23">
        <f t="shared" si="213"/>
        <v>0</v>
      </c>
      <c r="AQ290" s="23">
        <f t="shared" si="214"/>
        <v>11497.04957142957</v>
      </c>
      <c r="AR290" s="23">
        <f t="shared" si="215"/>
        <v>13590.794368491705</v>
      </c>
      <c r="AS290" s="23">
        <f t="shared" si="216"/>
        <v>14943.39265204149</v>
      </c>
      <c r="AT290" s="23">
        <f t="shared" si="217"/>
        <v>16051.585714197556</v>
      </c>
      <c r="AU290" s="23">
        <f t="shared" si="218"/>
        <v>16908.418595791267</v>
      </c>
      <c r="AW290" s="25"/>
      <c r="AX290" s="25"/>
      <c r="AY290" s="25"/>
      <c r="AZ290" s="25"/>
      <c r="BA290" s="25"/>
      <c r="BB290" s="25">
        <f t="shared" si="224"/>
        <v>72991.240901951591</v>
      </c>
      <c r="BC290" s="25">
        <f t="shared" si="225"/>
        <v>61494.191330522022</v>
      </c>
      <c r="BD290" s="25">
        <f t="shared" si="226"/>
        <v>47903.396962030311</v>
      </c>
      <c r="BE290" s="25">
        <f t="shared" si="227"/>
        <v>32960.004309988821</v>
      </c>
      <c r="BF290" s="25">
        <f t="shared" si="228"/>
        <v>16908.418595791267</v>
      </c>
      <c r="BG290" s="25">
        <f t="shared" si="229"/>
        <v>0</v>
      </c>
      <c r="BI290" s="25"/>
      <c r="BJ290" s="25"/>
      <c r="BK290" s="25"/>
      <c r="BL290" s="25"/>
      <c r="BM290" s="25"/>
      <c r="BN290" s="25">
        <f t="shared" si="232"/>
        <v>72991.240901951591</v>
      </c>
      <c r="BO290" s="25">
        <f t="shared" si="233"/>
        <v>61494.191330522022</v>
      </c>
      <c r="BP290" s="25">
        <f t="shared" si="234"/>
        <v>47903.396962030311</v>
      </c>
      <c r="BQ290" s="25">
        <f t="shared" si="235"/>
        <v>32960.004309988821</v>
      </c>
      <c r="BR290" s="25">
        <f t="shared" si="236"/>
        <v>16908.418595791267</v>
      </c>
      <c r="BS290" s="25">
        <f t="shared" si="237"/>
        <v>0</v>
      </c>
    </row>
    <row r="291" spans="1:71" x14ac:dyDescent="0.2">
      <c r="A291" s="29">
        <f t="shared" si="230"/>
        <v>2.8299999999999836</v>
      </c>
      <c r="B291" s="30">
        <v>6.7206355740051488E-2</v>
      </c>
      <c r="C291" s="30">
        <v>7.098683842533568E-2</v>
      </c>
      <c r="D291" s="30">
        <v>7.4836611531180292E-2</v>
      </c>
      <c r="E291" s="30">
        <v>7.8844187801623833E-2</v>
      </c>
      <c r="F291" s="30">
        <v>8.3018446501708254E-2</v>
      </c>
      <c r="G291" s="30">
        <v>8.732195413460131E-2</v>
      </c>
      <c r="H291" s="30">
        <v>9.1708403776960407E-2</v>
      </c>
      <c r="I291" s="30">
        <v>9.6137313234390717E-2</v>
      </c>
      <c r="J291" s="30">
        <v>0.10057610644425394</v>
      </c>
      <c r="K291" s="30">
        <v>0.10499833493555603</v>
      </c>
      <c r="L291" s="30">
        <v>0.10938158640930608</v>
      </c>
      <c r="N291" s="1"/>
      <c r="O291" s="1"/>
      <c r="P291" s="1"/>
      <c r="Q291" s="1"/>
      <c r="R291" s="1"/>
      <c r="S291" s="1">
        <f t="shared" si="231"/>
        <v>0.9572784418108754</v>
      </c>
      <c r="T291" s="64">
        <f t="shared" si="205"/>
        <v>0.95518121565642367</v>
      </c>
      <c r="U291" s="66">
        <f t="shared" si="206"/>
        <v>0.90833928050045032</v>
      </c>
      <c r="V291" s="1">
        <f t="shared" si="207"/>
        <v>0.85996450859102336</v>
      </c>
      <c r="W291" s="68">
        <f t="shared" si="208"/>
        <v>0.81058694532469533</v>
      </c>
      <c r="Y291" s="24"/>
      <c r="Z291" s="24"/>
      <c r="AA291" s="24"/>
      <c r="AB291" s="24"/>
      <c r="AC291" s="24"/>
      <c r="AD291" s="24">
        <f t="shared" si="219"/>
        <v>9.1708403776960393E-2</v>
      </c>
      <c r="AE291" s="24">
        <f t="shared" si="220"/>
        <v>9.6137313234390717E-2</v>
      </c>
      <c r="AF291" s="24">
        <f t="shared" si="221"/>
        <v>0.10057610644425394</v>
      </c>
      <c r="AG291" s="24">
        <f t="shared" si="222"/>
        <v>0.10499833493555603</v>
      </c>
      <c r="AH291" s="24">
        <f t="shared" si="223"/>
        <v>0.10938158640930609</v>
      </c>
      <c r="AL291" s="23">
        <f t="shared" si="209"/>
        <v>0</v>
      </c>
      <c r="AM291" s="23">
        <f t="shared" si="210"/>
        <v>0</v>
      </c>
      <c r="AN291" s="23">
        <f t="shared" si="211"/>
        <v>0</v>
      </c>
      <c r="AO291" s="23">
        <f t="shared" si="212"/>
        <v>0</v>
      </c>
      <c r="AP291" s="23">
        <f t="shared" si="213"/>
        <v>0</v>
      </c>
      <c r="AQ291" s="23">
        <f t="shared" si="214"/>
        <v>11490.230253103085</v>
      </c>
      <c r="AR291" s="23">
        <f t="shared" si="215"/>
        <v>13580.262769863262</v>
      </c>
      <c r="AS291" s="23">
        <f t="shared" si="216"/>
        <v>14930.253955117192</v>
      </c>
      <c r="AT291" s="23">
        <f t="shared" si="217"/>
        <v>16036.603931706481</v>
      </c>
      <c r="AU291" s="23">
        <f t="shared" si="218"/>
        <v>16892.315160008791</v>
      </c>
      <c r="AW291" s="25"/>
      <c r="AX291" s="25"/>
      <c r="AY291" s="25"/>
      <c r="AZ291" s="25"/>
      <c r="BA291" s="25"/>
      <c r="BB291" s="25">
        <f t="shared" si="224"/>
        <v>72929.666069798812</v>
      </c>
      <c r="BC291" s="25">
        <f t="shared" si="225"/>
        <v>61439.435816695724</v>
      </c>
      <c r="BD291" s="25">
        <f t="shared" si="226"/>
        <v>47859.173046832468</v>
      </c>
      <c r="BE291" s="25">
        <f t="shared" si="227"/>
        <v>32928.919091715274</v>
      </c>
      <c r="BF291" s="25">
        <f t="shared" si="228"/>
        <v>16892.315160008791</v>
      </c>
      <c r="BG291" s="25">
        <f t="shared" si="229"/>
        <v>0</v>
      </c>
      <c r="BI291" s="25"/>
      <c r="BJ291" s="25"/>
      <c r="BK291" s="25"/>
      <c r="BL291" s="25"/>
      <c r="BM291" s="25"/>
      <c r="BN291" s="25">
        <f t="shared" si="232"/>
        <v>72929.666069798812</v>
      </c>
      <c r="BO291" s="25">
        <f t="shared" si="233"/>
        <v>61439.435816695724</v>
      </c>
      <c r="BP291" s="25">
        <f t="shared" si="234"/>
        <v>47859.173046832468</v>
      </c>
      <c r="BQ291" s="25">
        <f t="shared" si="235"/>
        <v>32928.919091715274</v>
      </c>
      <c r="BR291" s="25">
        <f t="shared" si="236"/>
        <v>16892.315160008791</v>
      </c>
      <c r="BS291" s="25">
        <f t="shared" si="237"/>
        <v>0</v>
      </c>
    </row>
    <row r="292" spans="1:71" x14ac:dyDescent="0.2">
      <c r="A292" s="29">
        <f t="shared" si="230"/>
        <v>2.8399999999999834</v>
      </c>
      <c r="B292" s="30">
        <v>6.8140999421211296E-2</v>
      </c>
      <c r="C292" s="30">
        <v>7.189645168380028E-2</v>
      </c>
      <c r="D292" s="30">
        <v>7.5724205466915384E-2</v>
      </c>
      <c r="E292" s="30">
        <v>7.9711166413423032E-2</v>
      </c>
      <c r="F292" s="30">
        <v>8.3865270273472903E-2</v>
      </c>
      <c r="G292" s="30">
        <v>8.8148886495858739E-2</v>
      </c>
      <c r="H292" s="30">
        <v>9.2515803191438151E-2</v>
      </c>
      <c r="I292" s="30">
        <v>9.6925673357207226E-2</v>
      </c>
      <c r="J292" s="30">
        <v>0.1013460194381699</v>
      </c>
      <c r="K292" s="30">
        <v>0.10575044884403829</v>
      </c>
      <c r="L292" s="30">
        <v>0.1101165763649869</v>
      </c>
      <c r="N292" s="1"/>
      <c r="O292" s="1"/>
      <c r="P292" s="1"/>
      <c r="Q292" s="1"/>
      <c r="R292" s="1"/>
      <c r="S292" s="1">
        <f t="shared" si="231"/>
        <v>0.95688272136389008</v>
      </c>
      <c r="T292" s="64">
        <f t="shared" si="205"/>
        <v>0.954795687103421</v>
      </c>
      <c r="U292" s="66">
        <f t="shared" si="206"/>
        <v>0.90762346423129092</v>
      </c>
      <c r="V292" s="1">
        <f t="shared" si="207"/>
        <v>0.85897193507357184</v>
      </c>
      <c r="W292" s="68">
        <f t="shared" si="208"/>
        <v>0.80936855449189882</v>
      </c>
      <c r="Y292" s="24"/>
      <c r="Z292" s="24"/>
      <c r="AA292" s="24"/>
      <c r="AB292" s="24"/>
      <c r="AC292" s="24"/>
      <c r="AD292" s="24">
        <f t="shared" si="219"/>
        <v>9.2515803191438151E-2</v>
      </c>
      <c r="AE292" s="24">
        <f t="shared" si="220"/>
        <v>9.6925673357207226E-2</v>
      </c>
      <c r="AF292" s="24">
        <f t="shared" si="221"/>
        <v>0.1013460194381699</v>
      </c>
      <c r="AG292" s="24">
        <f t="shared" si="222"/>
        <v>0.10575044884403829</v>
      </c>
      <c r="AH292" s="24">
        <f t="shared" si="223"/>
        <v>0.11011657636498691</v>
      </c>
      <c r="AL292" s="23">
        <f t="shared" si="209"/>
        <v>0</v>
      </c>
      <c r="AM292" s="23">
        <f t="shared" si="210"/>
        <v>0</v>
      </c>
      <c r="AN292" s="23">
        <f t="shared" si="211"/>
        <v>0</v>
      </c>
      <c r="AO292" s="23">
        <f t="shared" si="212"/>
        <v>0</v>
      </c>
      <c r="AP292" s="23">
        <f t="shared" si="213"/>
        <v>0</v>
      </c>
      <c r="AQ292" s="23">
        <f t="shared" si="214"/>
        <v>11871.773687979021</v>
      </c>
      <c r="AR292" s="23">
        <f t="shared" si="215"/>
        <v>13951.142950795869</v>
      </c>
      <c r="AS292" s="23">
        <f t="shared" si="216"/>
        <v>15267.883726067432</v>
      </c>
      <c r="AT292" s="23">
        <f t="shared" si="217"/>
        <v>16341.116806853379</v>
      </c>
      <c r="AU292" s="23">
        <f t="shared" si="218"/>
        <v>17164.363250202954</v>
      </c>
      <c r="AW292" s="25"/>
      <c r="AX292" s="25"/>
      <c r="AY292" s="25"/>
      <c r="AZ292" s="25"/>
      <c r="BA292" s="25"/>
      <c r="BB292" s="25">
        <f t="shared" si="224"/>
        <v>74596.280421898657</v>
      </c>
      <c r="BC292" s="25">
        <f t="shared" si="225"/>
        <v>62724.506733919639</v>
      </c>
      <c r="BD292" s="25">
        <f t="shared" si="226"/>
        <v>48773.363783123765</v>
      </c>
      <c r="BE292" s="25">
        <f t="shared" si="227"/>
        <v>33505.480057056331</v>
      </c>
      <c r="BF292" s="25">
        <f t="shared" si="228"/>
        <v>17164.363250202954</v>
      </c>
      <c r="BG292" s="25">
        <f t="shared" si="229"/>
        <v>0</v>
      </c>
      <c r="BI292" s="25"/>
      <c r="BJ292" s="25"/>
      <c r="BK292" s="25"/>
      <c r="BL292" s="25"/>
      <c r="BM292" s="25"/>
      <c r="BN292" s="25">
        <f t="shared" si="232"/>
        <v>74596.280421898657</v>
      </c>
      <c r="BO292" s="25">
        <f t="shared" si="233"/>
        <v>62724.506733919639</v>
      </c>
      <c r="BP292" s="25">
        <f t="shared" si="234"/>
        <v>48773.363783123765</v>
      </c>
      <c r="BQ292" s="25">
        <f t="shared" si="235"/>
        <v>33505.480057056331</v>
      </c>
      <c r="BR292" s="25">
        <f t="shared" si="236"/>
        <v>17164.363250202954</v>
      </c>
      <c r="BS292" s="25">
        <f t="shared" si="237"/>
        <v>0</v>
      </c>
    </row>
    <row r="293" spans="1:71" x14ac:dyDescent="0.2">
      <c r="A293" s="29">
        <f t="shared" si="230"/>
        <v>2.8499999999999832</v>
      </c>
      <c r="B293" s="30">
        <v>6.764850578592943E-2</v>
      </c>
      <c r="C293" s="30">
        <v>7.1463960644562285E-2</v>
      </c>
      <c r="D293" s="30">
        <v>7.5349537478690234E-2</v>
      </c>
      <c r="E293" s="30">
        <v>7.9390687682912298E-2</v>
      </c>
      <c r="F293" s="30">
        <v>8.3594558002875394E-2</v>
      </c>
      <c r="G293" s="30">
        <v>8.7923466255949864E-2</v>
      </c>
      <c r="H293" s="30">
        <v>9.2331435971516482E-2</v>
      </c>
      <c r="I293" s="30">
        <v>9.6778394185466368E-2</v>
      </c>
      <c r="J293" s="30">
        <v>0.10123210057908613</v>
      </c>
      <c r="K293" s="30">
        <v>0.10566635744814235</v>
      </c>
      <c r="L293" s="30">
        <v>0.11005894594980563</v>
      </c>
      <c r="N293" s="1"/>
      <c r="O293" s="1"/>
      <c r="P293" s="1"/>
      <c r="Q293" s="1"/>
      <c r="R293" s="1"/>
      <c r="S293" s="1">
        <f t="shared" si="231"/>
        <v>0.95699057780833952</v>
      </c>
      <c r="T293" s="64">
        <f t="shared" si="205"/>
        <v>0.95488370767359787</v>
      </c>
      <c r="U293" s="66">
        <f t="shared" si="206"/>
        <v>0.90775714810753905</v>
      </c>
      <c r="V293" s="1">
        <f t="shared" si="207"/>
        <v>0.85911872726925709</v>
      </c>
      <c r="W293" s="68">
        <f t="shared" si="208"/>
        <v>0.809504687802301</v>
      </c>
      <c r="Y293" s="24"/>
      <c r="Z293" s="24"/>
      <c r="AA293" s="24"/>
      <c r="AB293" s="24"/>
      <c r="AC293" s="24"/>
      <c r="AD293" s="24">
        <f t="shared" si="219"/>
        <v>9.2331435971516482E-2</v>
      </c>
      <c r="AE293" s="24">
        <f t="shared" si="220"/>
        <v>9.6778394185466368E-2</v>
      </c>
      <c r="AF293" s="24">
        <f t="shared" si="221"/>
        <v>0.10123210057908613</v>
      </c>
      <c r="AG293" s="24">
        <f t="shared" si="222"/>
        <v>0.10566635744814235</v>
      </c>
      <c r="AH293" s="24">
        <f t="shared" si="223"/>
        <v>0.11005894594980563</v>
      </c>
      <c r="AL293" s="23">
        <f t="shared" si="209"/>
        <v>0</v>
      </c>
      <c r="AM293" s="23">
        <f t="shared" si="210"/>
        <v>0</v>
      </c>
      <c r="AN293" s="23">
        <f t="shared" si="211"/>
        <v>0</v>
      </c>
      <c r="AO293" s="23">
        <f t="shared" si="212"/>
        <v>0</v>
      </c>
      <c r="AP293" s="23">
        <f t="shared" si="213"/>
        <v>0</v>
      </c>
      <c r="AQ293" s="23">
        <f t="shared" si="214"/>
        <v>11784.89298626438</v>
      </c>
      <c r="AR293" s="23">
        <f t="shared" si="215"/>
        <v>13882.111836007607</v>
      </c>
      <c r="AS293" s="23">
        <f t="shared" si="216"/>
        <v>15218.427203615211</v>
      </c>
      <c r="AT293" s="23">
        <f t="shared" si="217"/>
        <v>16307.787141008261</v>
      </c>
      <c r="AU293" s="23">
        <f t="shared" si="218"/>
        <v>17143.924197873574</v>
      </c>
      <c r="AW293" s="25"/>
      <c r="AX293" s="25"/>
      <c r="AY293" s="25"/>
      <c r="AZ293" s="25"/>
      <c r="BA293" s="25"/>
      <c r="BB293" s="25">
        <f t="shared" si="224"/>
        <v>74337.143364769028</v>
      </c>
      <c r="BC293" s="25">
        <f t="shared" si="225"/>
        <v>62552.25037850465</v>
      </c>
      <c r="BD293" s="25">
        <f t="shared" si="226"/>
        <v>48670.138542497043</v>
      </c>
      <c r="BE293" s="25">
        <f t="shared" si="227"/>
        <v>33451.711338881832</v>
      </c>
      <c r="BF293" s="25">
        <f t="shared" si="228"/>
        <v>17143.924197873574</v>
      </c>
      <c r="BG293" s="25">
        <f t="shared" si="229"/>
        <v>0</v>
      </c>
      <c r="BI293" s="25"/>
      <c r="BJ293" s="25"/>
      <c r="BK293" s="25"/>
      <c r="BL293" s="25"/>
      <c r="BM293" s="25"/>
      <c r="BN293" s="25">
        <f t="shared" si="232"/>
        <v>74337.143364769028</v>
      </c>
      <c r="BO293" s="25">
        <f t="shared" si="233"/>
        <v>62552.25037850465</v>
      </c>
      <c r="BP293" s="25">
        <f t="shared" si="234"/>
        <v>48670.138542497043</v>
      </c>
      <c r="BQ293" s="25">
        <f t="shared" si="235"/>
        <v>33451.711338881832</v>
      </c>
      <c r="BR293" s="25">
        <f t="shared" si="236"/>
        <v>17143.924197873574</v>
      </c>
      <c r="BS293" s="25">
        <f t="shared" si="237"/>
        <v>0</v>
      </c>
    </row>
    <row r="294" spans="1:71" x14ac:dyDescent="0.2">
      <c r="A294" s="29">
        <f t="shared" si="230"/>
        <v>2.859999999999983</v>
      </c>
      <c r="B294" s="30">
        <v>6.6771773195930001E-2</v>
      </c>
      <c r="C294" s="30">
        <v>7.062550815240512E-2</v>
      </c>
      <c r="D294" s="30">
        <v>7.4551895152331363E-2</v>
      </c>
      <c r="E294" s="30">
        <v>7.8634718606093279E-2</v>
      </c>
      <c r="F294" s="30">
        <v>8.2880124961474205E-2</v>
      </c>
      <c r="G294" s="30">
        <v>8.7250160104597616E-2</v>
      </c>
      <c r="H294" s="30">
        <v>9.1698857714952536E-2</v>
      </c>
      <c r="I294" s="30">
        <v>9.6186192090450456E-2</v>
      </c>
      <c r="J294" s="30">
        <v>0.10067993326083373</v>
      </c>
      <c r="K294" s="30">
        <v>0.10515385179671982</v>
      </c>
      <c r="L294" s="30">
        <v>0.10958566888177497</v>
      </c>
      <c r="N294" s="1"/>
      <c r="O294" s="1"/>
      <c r="P294" s="1"/>
      <c r="Q294" s="1"/>
      <c r="R294" s="1"/>
      <c r="S294" s="1">
        <f t="shared" si="231"/>
        <v>0.9573128058662419</v>
      </c>
      <c r="T294" s="64">
        <f t="shared" si="205"/>
        <v>0.95518577477686084</v>
      </c>
      <c r="U294" s="66">
        <f t="shared" si="206"/>
        <v>0.90829488300056371</v>
      </c>
      <c r="V294" s="1">
        <f t="shared" si="207"/>
        <v>0.85983058795376122</v>
      </c>
      <c r="W294" s="68">
        <f t="shared" si="208"/>
        <v>0.81033486465464766</v>
      </c>
      <c r="Y294" s="24"/>
      <c r="Z294" s="24"/>
      <c r="AA294" s="24"/>
      <c r="AB294" s="24"/>
      <c r="AC294" s="24"/>
      <c r="AD294" s="24">
        <f t="shared" si="219"/>
        <v>9.1698857714952522E-2</v>
      </c>
      <c r="AE294" s="24">
        <f t="shared" si="220"/>
        <v>9.6186192090450456E-2</v>
      </c>
      <c r="AF294" s="24">
        <f t="shared" si="221"/>
        <v>0.10067993326083373</v>
      </c>
      <c r="AG294" s="24">
        <f t="shared" si="222"/>
        <v>0.10515385179671982</v>
      </c>
      <c r="AH294" s="24">
        <f t="shared" si="223"/>
        <v>0.10958566888177497</v>
      </c>
      <c r="AL294" s="23">
        <f t="shared" si="209"/>
        <v>0</v>
      </c>
      <c r="AM294" s="23">
        <f t="shared" si="210"/>
        <v>0</v>
      </c>
      <c r="AN294" s="23">
        <f t="shared" si="211"/>
        <v>0</v>
      </c>
      <c r="AO294" s="23">
        <f t="shared" si="212"/>
        <v>0</v>
      </c>
      <c r="AP294" s="23">
        <f t="shared" si="213"/>
        <v>0</v>
      </c>
      <c r="AQ294" s="23">
        <f t="shared" si="214"/>
        <v>11486.073441771212</v>
      </c>
      <c r="AR294" s="23">
        <f t="shared" si="215"/>
        <v>13603.671783031012</v>
      </c>
      <c r="AS294" s="23">
        <f t="shared" si="216"/>
        <v>14976.676882326979</v>
      </c>
      <c r="AT294" s="23">
        <f t="shared" si="217"/>
        <v>16100.965658963562</v>
      </c>
      <c r="AU294" s="23">
        <f t="shared" si="218"/>
        <v>16969.74946871234</v>
      </c>
      <c r="AW294" s="25"/>
      <c r="AX294" s="25"/>
      <c r="AY294" s="25"/>
      <c r="AZ294" s="25"/>
      <c r="BA294" s="25"/>
      <c r="BB294" s="25">
        <f t="shared" si="224"/>
        <v>73137.137234805108</v>
      </c>
      <c r="BC294" s="25">
        <f t="shared" si="225"/>
        <v>61651.063793033893</v>
      </c>
      <c r="BD294" s="25">
        <f t="shared" si="226"/>
        <v>48047.392010002877</v>
      </c>
      <c r="BE294" s="25">
        <f t="shared" si="227"/>
        <v>33070.715127675903</v>
      </c>
      <c r="BF294" s="25">
        <f t="shared" si="228"/>
        <v>16969.74946871234</v>
      </c>
      <c r="BG294" s="25">
        <f t="shared" si="229"/>
        <v>0</v>
      </c>
      <c r="BI294" s="25"/>
      <c r="BJ294" s="25"/>
      <c r="BK294" s="25"/>
      <c r="BL294" s="25"/>
      <c r="BM294" s="25"/>
      <c r="BN294" s="25">
        <f t="shared" si="232"/>
        <v>73137.137234805108</v>
      </c>
      <c r="BO294" s="25">
        <f t="shared" si="233"/>
        <v>61651.063793033893</v>
      </c>
      <c r="BP294" s="25">
        <f t="shared" si="234"/>
        <v>48047.392010002877</v>
      </c>
      <c r="BQ294" s="25">
        <f t="shared" si="235"/>
        <v>33070.715127675903</v>
      </c>
      <c r="BR294" s="25">
        <f t="shared" si="236"/>
        <v>16969.74946871234</v>
      </c>
      <c r="BS294" s="25">
        <f t="shared" si="237"/>
        <v>0</v>
      </c>
    </row>
    <row r="295" spans="1:71" x14ac:dyDescent="0.2">
      <c r="A295" s="29">
        <f t="shared" si="230"/>
        <v>2.8699999999999828</v>
      </c>
      <c r="B295" s="30">
        <v>6.6791439669332792E-2</v>
      </c>
      <c r="C295" s="30">
        <v>7.0630840452328245E-2</v>
      </c>
      <c r="D295" s="30">
        <v>7.4545143216683207E-2</v>
      </c>
      <c r="E295" s="30">
        <v>7.8616583828664557E-2</v>
      </c>
      <c r="F295" s="30">
        <v>8.2850428111894164E-2</v>
      </c>
      <c r="G295" s="30">
        <v>8.7208560769245588E-2</v>
      </c>
      <c r="H295" s="30">
        <v>9.1645131478924058E-2</v>
      </c>
      <c r="I295" s="30">
        <v>9.6120266168959995E-2</v>
      </c>
      <c r="J295" s="30">
        <v>0.10060184948244913</v>
      </c>
      <c r="K295" s="30">
        <v>0.10506372480626254</v>
      </c>
      <c r="L295" s="30">
        <v>0.10948365816089316</v>
      </c>
      <c r="N295" s="1"/>
      <c r="O295" s="1"/>
      <c r="P295" s="1"/>
      <c r="Q295" s="1"/>
      <c r="R295" s="1"/>
      <c r="S295" s="1">
        <f t="shared" si="231"/>
        <v>0.95733271786154661</v>
      </c>
      <c r="T295" s="64">
        <f t="shared" si="205"/>
        <v>0.95521143438970124</v>
      </c>
      <c r="U295" s="66">
        <f t="shared" si="206"/>
        <v>0.90835476515158187</v>
      </c>
      <c r="V295" s="1">
        <f t="shared" si="207"/>
        <v>0.8599313020833681</v>
      </c>
      <c r="W295" s="68">
        <f t="shared" si="208"/>
        <v>0.81048094390516323</v>
      </c>
      <c r="Y295" s="24"/>
      <c r="Z295" s="24"/>
      <c r="AA295" s="24"/>
      <c r="AB295" s="24"/>
      <c r="AC295" s="24"/>
      <c r="AD295" s="24">
        <f t="shared" si="219"/>
        <v>9.1645131478924058E-2</v>
      </c>
      <c r="AE295" s="24">
        <f t="shared" si="220"/>
        <v>9.6120266168959995E-2</v>
      </c>
      <c r="AF295" s="24">
        <f t="shared" si="221"/>
        <v>0.10060184948244913</v>
      </c>
      <c r="AG295" s="24">
        <f t="shared" si="222"/>
        <v>0.10506372480626254</v>
      </c>
      <c r="AH295" s="24">
        <f t="shared" si="223"/>
        <v>0.10948365816089316</v>
      </c>
      <c r="AL295" s="23">
        <f t="shared" si="209"/>
        <v>0</v>
      </c>
      <c r="AM295" s="23">
        <f t="shared" si="210"/>
        <v>0</v>
      </c>
      <c r="AN295" s="23">
        <f t="shared" si="211"/>
        <v>0</v>
      </c>
      <c r="AO295" s="23">
        <f t="shared" si="212"/>
        <v>0</v>
      </c>
      <c r="AP295" s="23">
        <f t="shared" si="213"/>
        <v>0</v>
      </c>
      <c r="AQ295" s="23">
        <f t="shared" si="214"/>
        <v>11460.595408987507</v>
      </c>
      <c r="AR295" s="23">
        <f t="shared" si="215"/>
        <v>13572.550627964794</v>
      </c>
      <c r="AS295" s="23">
        <f t="shared" si="216"/>
        <v>14942.200380009699</v>
      </c>
      <c r="AT295" s="23">
        <f t="shared" si="217"/>
        <v>16064.100095630842</v>
      </c>
      <c r="AU295" s="23">
        <f t="shared" si="218"/>
        <v>16931.469736637686</v>
      </c>
      <c r="AW295" s="25"/>
      <c r="AX295" s="25"/>
      <c r="AY295" s="25"/>
      <c r="AZ295" s="25"/>
      <c r="BA295" s="25"/>
      <c r="BB295" s="25">
        <f t="shared" si="224"/>
        <v>72970.916249230533</v>
      </c>
      <c r="BC295" s="25">
        <f t="shared" si="225"/>
        <v>61510.320840243025</v>
      </c>
      <c r="BD295" s="25">
        <f t="shared" si="226"/>
        <v>47937.770212278228</v>
      </c>
      <c r="BE295" s="25">
        <f t="shared" si="227"/>
        <v>32995.569832268528</v>
      </c>
      <c r="BF295" s="25">
        <f t="shared" si="228"/>
        <v>16931.469736637686</v>
      </c>
      <c r="BG295" s="25">
        <f t="shared" si="229"/>
        <v>0</v>
      </c>
      <c r="BI295" s="25"/>
      <c r="BJ295" s="25"/>
      <c r="BK295" s="25"/>
      <c r="BL295" s="25"/>
      <c r="BM295" s="25"/>
      <c r="BN295" s="25">
        <f t="shared" si="232"/>
        <v>72970.916249230533</v>
      </c>
      <c r="BO295" s="25">
        <f t="shared" si="233"/>
        <v>61510.320840243025</v>
      </c>
      <c r="BP295" s="25">
        <f t="shared" si="234"/>
        <v>47937.770212278228</v>
      </c>
      <c r="BQ295" s="25">
        <f t="shared" si="235"/>
        <v>32995.569832268528</v>
      </c>
      <c r="BR295" s="25">
        <f t="shared" si="236"/>
        <v>16931.469736637686</v>
      </c>
      <c r="BS295" s="25">
        <f t="shared" si="237"/>
        <v>0</v>
      </c>
    </row>
    <row r="296" spans="1:71" x14ac:dyDescent="0.2">
      <c r="A296" s="29">
        <f t="shared" si="230"/>
        <v>2.8799999999999826</v>
      </c>
      <c r="B296" s="30">
        <v>6.6587657380162743E-2</v>
      </c>
      <c r="C296" s="30">
        <v>7.0310542880421531E-2</v>
      </c>
      <c r="D296" s="30">
        <v>7.4121230618083719E-2</v>
      </c>
      <c r="E296" s="30">
        <v>7.8100004347588431E-2</v>
      </c>
      <c r="F296" s="30">
        <v>8.2250846731105137E-2</v>
      </c>
      <c r="G296" s="30">
        <v>8.6535069905787534E-2</v>
      </c>
      <c r="H296" s="30">
        <v>9.0906523335075998E-2</v>
      </c>
      <c r="I296" s="30">
        <v>9.5325066910675271E-2</v>
      </c>
      <c r="J296" s="30">
        <v>9.9758282126983344E-2</v>
      </c>
      <c r="K296" s="30">
        <v>0.10417966770142711</v>
      </c>
      <c r="L296" s="30">
        <v>0.10856661727278716</v>
      </c>
      <c r="N296" s="1"/>
      <c r="O296" s="1"/>
      <c r="P296" s="1"/>
      <c r="Q296" s="1"/>
      <c r="R296" s="1"/>
      <c r="S296" s="1">
        <f t="shared" si="231"/>
        <v>0.95765514956658615</v>
      </c>
      <c r="T296" s="64">
        <f t="shared" si="205"/>
        <v>0.95556426300848252</v>
      </c>
      <c r="U296" s="66">
        <f t="shared" si="206"/>
        <v>0.90907737545860179</v>
      </c>
      <c r="V296" s="1">
        <f t="shared" si="207"/>
        <v>0.86102010575909238</v>
      </c>
      <c r="W296" s="68">
        <f t="shared" si="208"/>
        <v>0.81191523439979163</v>
      </c>
      <c r="Y296" s="24"/>
      <c r="Z296" s="24"/>
      <c r="AA296" s="24"/>
      <c r="AB296" s="24"/>
      <c r="AC296" s="24"/>
      <c r="AD296" s="24">
        <f t="shared" si="219"/>
        <v>9.0906523335075998E-2</v>
      </c>
      <c r="AE296" s="24">
        <f t="shared" si="220"/>
        <v>9.5325066910675257E-2</v>
      </c>
      <c r="AF296" s="24">
        <f t="shared" si="221"/>
        <v>9.9758282126983344E-2</v>
      </c>
      <c r="AG296" s="24">
        <f t="shared" si="222"/>
        <v>0.10417966770142711</v>
      </c>
      <c r="AH296" s="24">
        <f t="shared" si="223"/>
        <v>0.10856661727278716</v>
      </c>
      <c r="AL296" s="23">
        <f t="shared" si="209"/>
        <v>0</v>
      </c>
      <c r="AM296" s="23">
        <f t="shared" si="210"/>
        <v>0</v>
      </c>
      <c r="AN296" s="23">
        <f t="shared" si="211"/>
        <v>0</v>
      </c>
      <c r="AO296" s="23">
        <f t="shared" si="212"/>
        <v>0</v>
      </c>
      <c r="AP296" s="23">
        <f t="shared" si="213"/>
        <v>0</v>
      </c>
      <c r="AQ296" s="23">
        <f t="shared" si="214"/>
        <v>11110.789415776719</v>
      </c>
      <c r="AR296" s="23">
        <f t="shared" si="215"/>
        <v>13197.631955247707</v>
      </c>
      <c r="AS296" s="23">
        <f t="shared" si="216"/>
        <v>14570.653133446223</v>
      </c>
      <c r="AT296" s="23">
        <f t="shared" si="217"/>
        <v>15703.844215980618</v>
      </c>
      <c r="AU296" s="23">
        <f t="shared" si="218"/>
        <v>16589.153256480535</v>
      </c>
      <c r="AW296" s="25"/>
      <c r="AX296" s="25"/>
      <c r="AY296" s="25"/>
      <c r="AZ296" s="25"/>
      <c r="BA296" s="25"/>
      <c r="BB296" s="25">
        <f t="shared" si="224"/>
        <v>71172.071976931809</v>
      </c>
      <c r="BC296" s="25">
        <f t="shared" si="225"/>
        <v>60061.28256115508</v>
      </c>
      <c r="BD296" s="25">
        <f t="shared" si="226"/>
        <v>46863.650605907373</v>
      </c>
      <c r="BE296" s="25">
        <f t="shared" si="227"/>
        <v>32292.997472461153</v>
      </c>
      <c r="BF296" s="25">
        <f t="shared" si="228"/>
        <v>16589.153256480535</v>
      </c>
      <c r="BG296" s="25">
        <f t="shared" si="229"/>
        <v>0</v>
      </c>
      <c r="BI296" s="25"/>
      <c r="BJ296" s="25"/>
      <c r="BK296" s="25"/>
      <c r="BL296" s="25"/>
      <c r="BM296" s="25"/>
      <c r="BN296" s="25">
        <f t="shared" si="232"/>
        <v>71172.071976931809</v>
      </c>
      <c r="BO296" s="25">
        <f t="shared" si="233"/>
        <v>60061.28256115508</v>
      </c>
      <c r="BP296" s="25">
        <f t="shared" si="234"/>
        <v>46863.650605907373</v>
      </c>
      <c r="BQ296" s="25">
        <f t="shared" si="235"/>
        <v>32292.997472461153</v>
      </c>
      <c r="BR296" s="25">
        <f t="shared" si="236"/>
        <v>16589.153256480535</v>
      </c>
      <c r="BS296" s="25">
        <f t="shared" si="237"/>
        <v>0</v>
      </c>
    </row>
    <row r="297" spans="1:71" x14ac:dyDescent="0.2">
      <c r="A297" s="29">
        <f t="shared" si="230"/>
        <v>2.8899999999999824</v>
      </c>
      <c r="B297" s="30">
        <v>6.7055275129350445E-2</v>
      </c>
      <c r="C297" s="30">
        <v>7.0698509749939589E-2</v>
      </c>
      <c r="D297" s="30">
        <v>7.4438911214468398E-2</v>
      </c>
      <c r="E297" s="30">
        <v>7.8354955577518676E-2</v>
      </c>
      <c r="F297" s="30">
        <v>8.244948758468508E-2</v>
      </c>
      <c r="G297" s="30">
        <v>8.6683383287383536E-2</v>
      </c>
      <c r="H297" s="30">
        <v>9.1010323650821234E-2</v>
      </c>
      <c r="I297" s="30">
        <v>9.5390032821092832E-2</v>
      </c>
      <c r="J297" s="30">
        <v>9.9789919346446543E-2</v>
      </c>
      <c r="K297" s="30">
        <v>0.10418326775358271</v>
      </c>
      <c r="L297" s="30">
        <v>0.10854723004368085</v>
      </c>
      <c r="N297" s="1"/>
      <c r="O297" s="1"/>
      <c r="P297" s="1"/>
      <c r="Q297" s="1"/>
      <c r="R297" s="1"/>
      <c r="S297" s="1">
        <f t="shared" si="231"/>
        <v>0.95758413566287925</v>
      </c>
      <c r="T297" s="64">
        <f t="shared" si="205"/>
        <v>0.95551467035931914</v>
      </c>
      <c r="U297" s="66">
        <f t="shared" si="206"/>
        <v>0.90901831833763569</v>
      </c>
      <c r="V297" s="1">
        <f t="shared" si="207"/>
        <v>0.86097924630553746</v>
      </c>
      <c r="W297" s="68">
        <f t="shared" si="208"/>
        <v>0.81190938854645756</v>
      </c>
      <c r="Y297" s="24"/>
      <c r="Z297" s="24"/>
      <c r="AA297" s="24"/>
      <c r="AB297" s="24"/>
      <c r="AC297" s="24"/>
      <c r="AD297" s="24">
        <f t="shared" si="219"/>
        <v>9.1010323650821234E-2</v>
      </c>
      <c r="AE297" s="24">
        <f t="shared" si="220"/>
        <v>9.5390032821092832E-2</v>
      </c>
      <c r="AF297" s="24">
        <f t="shared" si="221"/>
        <v>9.9789919346446543E-2</v>
      </c>
      <c r="AG297" s="24">
        <f t="shared" si="222"/>
        <v>0.10418326775358271</v>
      </c>
      <c r="AH297" s="24">
        <f t="shared" si="223"/>
        <v>0.10854723004368086</v>
      </c>
      <c r="AL297" s="23">
        <f t="shared" si="209"/>
        <v>0</v>
      </c>
      <c r="AM297" s="23">
        <f t="shared" si="210"/>
        <v>0</v>
      </c>
      <c r="AN297" s="23">
        <f t="shared" si="211"/>
        <v>0</v>
      </c>
      <c r="AO297" s="23">
        <f t="shared" si="212"/>
        <v>0</v>
      </c>
      <c r="AP297" s="23">
        <f t="shared" si="213"/>
        <v>0</v>
      </c>
      <c r="AQ297" s="23">
        <f t="shared" si="214"/>
        <v>11159.664274768264</v>
      </c>
      <c r="AR297" s="23">
        <f t="shared" si="215"/>
        <v>13227.984954078742</v>
      </c>
      <c r="AS297" s="23">
        <f t="shared" si="216"/>
        <v>14584.085974464249</v>
      </c>
      <c r="AT297" s="23">
        <f t="shared" si="217"/>
        <v>15704.648779810281</v>
      </c>
      <c r="AU297" s="23">
        <f t="shared" si="218"/>
        <v>16581.163476612004</v>
      </c>
      <c r="AW297" s="25"/>
      <c r="AX297" s="25"/>
      <c r="AY297" s="25"/>
      <c r="AZ297" s="25"/>
      <c r="BA297" s="25"/>
      <c r="BB297" s="25">
        <f t="shared" si="224"/>
        <v>71257.547459733541</v>
      </c>
      <c r="BC297" s="25">
        <f t="shared" si="225"/>
        <v>60097.883184965278</v>
      </c>
      <c r="BD297" s="25">
        <f t="shared" si="226"/>
        <v>46869.898230886538</v>
      </c>
      <c r="BE297" s="25">
        <f t="shared" si="227"/>
        <v>32285.812256422287</v>
      </c>
      <c r="BF297" s="25">
        <f t="shared" si="228"/>
        <v>16581.163476612004</v>
      </c>
      <c r="BG297" s="25">
        <f t="shared" si="229"/>
        <v>0</v>
      </c>
      <c r="BI297" s="25"/>
      <c r="BJ297" s="25"/>
      <c r="BK297" s="25"/>
      <c r="BL297" s="25"/>
      <c r="BM297" s="25"/>
      <c r="BN297" s="25">
        <f t="shared" si="232"/>
        <v>71257.547459733541</v>
      </c>
      <c r="BO297" s="25">
        <f t="shared" si="233"/>
        <v>60097.883184965278</v>
      </c>
      <c r="BP297" s="25">
        <f t="shared" si="234"/>
        <v>46869.898230886538</v>
      </c>
      <c r="BQ297" s="25">
        <f t="shared" si="235"/>
        <v>32285.812256422287</v>
      </c>
      <c r="BR297" s="25">
        <f t="shared" si="236"/>
        <v>16581.163476612004</v>
      </c>
      <c r="BS297" s="25">
        <f t="shared" si="237"/>
        <v>0</v>
      </c>
    </row>
    <row r="298" spans="1:71" x14ac:dyDescent="0.2">
      <c r="A298" s="29">
        <f t="shared" si="230"/>
        <v>2.8999999999999821</v>
      </c>
      <c r="B298" s="30">
        <v>6.8027650673026241E-2</v>
      </c>
      <c r="C298" s="30">
        <v>7.1581949829189445E-2</v>
      </c>
      <c r="D298" s="30">
        <v>7.5242464540311957E-2</v>
      </c>
      <c r="E298" s="30">
        <v>7.9085908555227083E-2</v>
      </c>
      <c r="F298" s="30">
        <v>8.3114034738014597E-2</v>
      </c>
      <c r="G298" s="30">
        <v>8.7287320404545912E-2</v>
      </c>
      <c r="H298" s="30">
        <v>9.1559310675290689E-2</v>
      </c>
      <c r="I298" s="30">
        <v>9.5889625205165849E-2</v>
      </c>
      <c r="J298" s="30">
        <v>0.10024553076982147</v>
      </c>
      <c r="K298" s="30">
        <v>0.10460012915473701</v>
      </c>
      <c r="L298" s="30">
        <v>0.10893036243663036</v>
      </c>
      <c r="N298" s="1"/>
      <c r="O298" s="1"/>
      <c r="P298" s="1"/>
      <c r="Q298" s="1"/>
      <c r="R298" s="1"/>
      <c r="S298" s="1">
        <f t="shared" si="231"/>
        <v>0.95729501901597835</v>
      </c>
      <c r="T298" s="64">
        <f t="shared" si="205"/>
        <v>0.95525242377559993</v>
      </c>
      <c r="U298" s="66">
        <f t="shared" si="206"/>
        <v>0.90856429313202225</v>
      </c>
      <c r="V298" s="1">
        <f t="shared" si="207"/>
        <v>0.86039103935392791</v>
      </c>
      <c r="W298" s="68">
        <f t="shared" si="208"/>
        <v>0.8112327632739702</v>
      </c>
      <c r="Y298" s="24"/>
      <c r="Z298" s="24"/>
      <c r="AA298" s="24"/>
      <c r="AB298" s="24"/>
      <c r="AC298" s="24"/>
      <c r="AD298" s="24">
        <f t="shared" si="219"/>
        <v>9.1559310675290703E-2</v>
      </c>
      <c r="AE298" s="24">
        <f t="shared" si="220"/>
        <v>9.5889625205165849E-2</v>
      </c>
      <c r="AF298" s="24">
        <f t="shared" si="221"/>
        <v>0.10024553076982147</v>
      </c>
      <c r="AG298" s="24">
        <f t="shared" si="222"/>
        <v>0.10460012915473701</v>
      </c>
      <c r="AH298" s="24">
        <f t="shared" si="223"/>
        <v>0.10893036243663037</v>
      </c>
      <c r="AL298" s="23">
        <f t="shared" si="209"/>
        <v>0</v>
      </c>
      <c r="AM298" s="23">
        <f t="shared" si="210"/>
        <v>0</v>
      </c>
      <c r="AN298" s="23">
        <f t="shared" si="211"/>
        <v>0</v>
      </c>
      <c r="AO298" s="23">
        <f t="shared" si="212"/>
        <v>0</v>
      </c>
      <c r="AP298" s="23">
        <f t="shared" si="213"/>
        <v>0</v>
      </c>
      <c r="AQ298" s="23">
        <f t="shared" si="214"/>
        <v>11419.066187793316</v>
      </c>
      <c r="AR298" s="23">
        <f t="shared" si="215"/>
        <v>13462.972874218534</v>
      </c>
      <c r="AS298" s="23">
        <f t="shared" si="216"/>
        <v>14783.777831330048</v>
      </c>
      <c r="AT298" s="23">
        <f t="shared" si="217"/>
        <v>15873.251527500157</v>
      </c>
      <c r="AU298" s="23">
        <f t="shared" si="218"/>
        <v>16722.749918578902</v>
      </c>
      <c r="AW298" s="25"/>
      <c r="AX298" s="25"/>
      <c r="AY298" s="25"/>
      <c r="AZ298" s="25"/>
      <c r="BA298" s="25"/>
      <c r="BB298" s="25">
        <f t="shared" si="224"/>
        <v>72261.818339420948</v>
      </c>
      <c r="BC298" s="25">
        <f t="shared" si="225"/>
        <v>60842.752151627647</v>
      </c>
      <c r="BD298" s="25">
        <f t="shared" si="226"/>
        <v>47379.779277409107</v>
      </c>
      <c r="BE298" s="25">
        <f t="shared" si="227"/>
        <v>32596.001446079059</v>
      </c>
      <c r="BF298" s="25">
        <f t="shared" si="228"/>
        <v>16722.749918578902</v>
      </c>
      <c r="BG298" s="25">
        <f t="shared" si="229"/>
        <v>0</v>
      </c>
      <c r="BI298" s="25"/>
      <c r="BJ298" s="25"/>
      <c r="BK298" s="25"/>
      <c r="BL298" s="25"/>
      <c r="BM298" s="25"/>
      <c r="BN298" s="25">
        <f t="shared" si="232"/>
        <v>72261.818339420948</v>
      </c>
      <c r="BO298" s="25">
        <f t="shared" si="233"/>
        <v>60842.752151627647</v>
      </c>
      <c r="BP298" s="25">
        <f t="shared" si="234"/>
        <v>47379.779277409107</v>
      </c>
      <c r="BQ298" s="25">
        <f t="shared" si="235"/>
        <v>32596.001446079059</v>
      </c>
      <c r="BR298" s="25">
        <f t="shared" si="236"/>
        <v>16722.749918578902</v>
      </c>
      <c r="BS298" s="25">
        <f t="shared" si="237"/>
        <v>0</v>
      </c>
    </row>
    <row r="299" spans="1:71" x14ac:dyDescent="0.2">
      <c r="A299" s="29">
        <f t="shared" si="230"/>
        <v>2.9099999999999819</v>
      </c>
      <c r="B299" s="30">
        <v>6.7749410935336443E-2</v>
      </c>
      <c r="C299" s="30">
        <v>7.1106933632812827E-2</v>
      </c>
      <c r="D299" s="30">
        <v>7.4592150502468701E-2</v>
      </c>
      <c r="E299" s="30">
        <v>7.8279520274145933E-2</v>
      </c>
      <c r="F299" s="30">
        <v>8.2169211671601114E-2</v>
      </c>
      <c r="G299" s="30">
        <v>8.6220802411249617E-2</v>
      </c>
      <c r="H299" s="30">
        <v>9.0387196274167109E-2</v>
      </c>
      <c r="I299" s="30">
        <v>9.4627401556736684E-2</v>
      </c>
      <c r="J299" s="30">
        <v>9.8908036320910192E-2</v>
      </c>
      <c r="K299" s="30">
        <v>0.10320151294555374</v>
      </c>
      <c r="L299" s="30">
        <v>0.10748405717940973</v>
      </c>
      <c r="N299" s="1"/>
      <c r="O299" s="1"/>
      <c r="P299" s="1"/>
      <c r="Q299" s="1"/>
      <c r="R299" s="1"/>
      <c r="S299" s="1">
        <f t="shared" si="231"/>
        <v>0.95780564133218682</v>
      </c>
      <c r="T299" s="64">
        <f t="shared" si="205"/>
        <v>0.9558124204159113</v>
      </c>
      <c r="U299" s="66">
        <f t="shared" si="206"/>
        <v>0.90971182853974109</v>
      </c>
      <c r="V299" s="1">
        <f t="shared" si="207"/>
        <v>0.8621189244104126</v>
      </c>
      <c r="W299" s="68">
        <f t="shared" si="208"/>
        <v>0.81350514656866046</v>
      </c>
      <c r="Y299" s="24"/>
      <c r="Z299" s="24"/>
      <c r="AA299" s="24"/>
      <c r="AB299" s="24"/>
      <c r="AC299" s="24"/>
      <c r="AD299" s="24">
        <f t="shared" si="219"/>
        <v>9.0387196274167095E-2</v>
      </c>
      <c r="AE299" s="24">
        <f t="shared" si="220"/>
        <v>9.4627401556736684E-2</v>
      </c>
      <c r="AF299" s="24">
        <f t="shared" si="221"/>
        <v>9.8908036320910192E-2</v>
      </c>
      <c r="AG299" s="24">
        <f t="shared" si="222"/>
        <v>0.10320151294555374</v>
      </c>
      <c r="AH299" s="24">
        <f t="shared" si="223"/>
        <v>0.10748405717940974</v>
      </c>
      <c r="AL299" s="23">
        <f t="shared" si="209"/>
        <v>0</v>
      </c>
      <c r="AM299" s="23">
        <f t="shared" si="210"/>
        <v>0</v>
      </c>
      <c r="AN299" s="23">
        <f t="shared" si="211"/>
        <v>0</v>
      </c>
      <c r="AO299" s="23">
        <f t="shared" si="212"/>
        <v>0</v>
      </c>
      <c r="AP299" s="23">
        <f t="shared" si="213"/>
        <v>0</v>
      </c>
      <c r="AQ299" s="23">
        <f t="shared" si="214"/>
        <v>10863.828238610748</v>
      </c>
      <c r="AR299" s="23">
        <f t="shared" si="215"/>
        <v>12867.640738625332</v>
      </c>
      <c r="AS299" s="23">
        <f t="shared" si="216"/>
        <v>14194.082786708554</v>
      </c>
      <c r="AT299" s="23">
        <f t="shared" si="217"/>
        <v>15302.242321581818</v>
      </c>
      <c r="AU299" s="23">
        <f t="shared" si="218"/>
        <v>16181.304436345959</v>
      </c>
      <c r="AW299" s="25"/>
      <c r="AX299" s="25"/>
      <c r="AY299" s="25"/>
      <c r="AZ299" s="25"/>
      <c r="BA299" s="25"/>
      <c r="BB299" s="25">
        <f t="shared" si="224"/>
        <v>69409.098521872409</v>
      </c>
      <c r="BC299" s="25">
        <f t="shared" si="225"/>
        <v>58545.270283261663</v>
      </c>
      <c r="BD299" s="25">
        <f t="shared" si="226"/>
        <v>45677.629544636337</v>
      </c>
      <c r="BE299" s="25">
        <f t="shared" si="227"/>
        <v>31483.546757927776</v>
      </c>
      <c r="BF299" s="25">
        <f t="shared" si="228"/>
        <v>16181.304436345959</v>
      </c>
      <c r="BG299" s="25">
        <f t="shared" si="229"/>
        <v>0</v>
      </c>
      <c r="BI299" s="25"/>
      <c r="BJ299" s="25"/>
      <c r="BK299" s="25"/>
      <c r="BL299" s="25"/>
      <c r="BM299" s="25"/>
      <c r="BN299" s="25">
        <f t="shared" si="232"/>
        <v>69409.098521872409</v>
      </c>
      <c r="BO299" s="25">
        <f t="shared" si="233"/>
        <v>58545.270283261663</v>
      </c>
      <c r="BP299" s="25">
        <f t="shared" si="234"/>
        <v>45677.629544636337</v>
      </c>
      <c r="BQ299" s="25">
        <f t="shared" si="235"/>
        <v>31483.546757927776</v>
      </c>
      <c r="BR299" s="25">
        <f t="shared" si="236"/>
        <v>16181.304436345959</v>
      </c>
      <c r="BS299" s="25">
        <f t="shared" si="237"/>
        <v>0</v>
      </c>
    </row>
    <row r="300" spans="1:71" x14ac:dyDescent="0.2">
      <c r="A300" s="29">
        <f t="shared" si="230"/>
        <v>2.9199999999999817</v>
      </c>
      <c r="B300" s="30">
        <v>6.7932903877293366E-2</v>
      </c>
      <c r="C300" s="30">
        <v>7.1277345354921418E-2</v>
      </c>
      <c r="D300" s="30">
        <v>7.4751946414621531E-2</v>
      </c>
      <c r="E300" s="30">
        <v>7.8429661571421005E-2</v>
      </c>
      <c r="F300" s="30">
        <v>8.2309826486174062E-2</v>
      </c>
      <c r="G300" s="30">
        <v>8.6351861827644802E-2</v>
      </c>
      <c r="H300" s="30">
        <v>9.0508768023735614E-2</v>
      </c>
      <c r="I300" s="30">
        <v>9.4739678651795931E-2</v>
      </c>
      <c r="J300" s="30">
        <v>9.9011299632824609E-2</v>
      </c>
      <c r="K300" s="30">
        <v>0.10329609078725062</v>
      </c>
      <c r="L300" s="30">
        <v>0.10757029864414588</v>
      </c>
      <c r="N300" s="1"/>
      <c r="O300" s="1"/>
      <c r="P300" s="1"/>
      <c r="Q300" s="1"/>
      <c r="R300" s="1"/>
      <c r="S300" s="1">
        <f t="shared" si="231"/>
        <v>0.95774287866443242</v>
      </c>
      <c r="T300" s="64">
        <f t="shared" si="205"/>
        <v>0.95575432228759727</v>
      </c>
      <c r="U300" s="66">
        <f t="shared" si="206"/>
        <v>0.90960969447205708</v>
      </c>
      <c r="V300" s="1">
        <f t="shared" si="207"/>
        <v>0.86198539686895359</v>
      </c>
      <c r="W300" s="68">
        <f t="shared" si="208"/>
        <v>0.81335128199935458</v>
      </c>
      <c r="Y300" s="24"/>
      <c r="Z300" s="24"/>
      <c r="AA300" s="24"/>
      <c r="AB300" s="24"/>
      <c r="AC300" s="24"/>
      <c r="AD300" s="24">
        <f t="shared" si="219"/>
        <v>9.05087680237356E-2</v>
      </c>
      <c r="AE300" s="24">
        <f t="shared" si="220"/>
        <v>9.4739678651795931E-2</v>
      </c>
      <c r="AF300" s="24">
        <f t="shared" si="221"/>
        <v>9.9011299632824609E-2</v>
      </c>
      <c r="AG300" s="24">
        <f t="shared" si="222"/>
        <v>0.10329609078725062</v>
      </c>
      <c r="AH300" s="24">
        <f t="shared" si="223"/>
        <v>0.10757029864414588</v>
      </c>
      <c r="AL300" s="23">
        <f t="shared" si="209"/>
        <v>0</v>
      </c>
      <c r="AM300" s="23">
        <f t="shared" si="210"/>
        <v>0</v>
      </c>
      <c r="AN300" s="23">
        <f t="shared" si="211"/>
        <v>0</v>
      </c>
      <c r="AO300" s="23">
        <f t="shared" si="212"/>
        <v>0</v>
      </c>
      <c r="AP300" s="23">
        <f t="shared" si="213"/>
        <v>0</v>
      </c>
      <c r="AQ300" s="23">
        <f t="shared" si="214"/>
        <v>10921.333597139273</v>
      </c>
      <c r="AR300" s="23">
        <f t="shared" si="215"/>
        <v>12920.513251046996</v>
      </c>
      <c r="AS300" s="23">
        <f t="shared" si="216"/>
        <v>14239.453860589549</v>
      </c>
      <c r="AT300" s="23">
        <f t="shared" si="217"/>
        <v>15340.63462401377</v>
      </c>
      <c r="AU300" s="23">
        <f t="shared" si="218"/>
        <v>16213.316243063675</v>
      </c>
      <c r="AW300" s="25"/>
      <c r="AX300" s="25"/>
      <c r="AY300" s="25"/>
      <c r="AZ300" s="25"/>
      <c r="BA300" s="25"/>
      <c r="BB300" s="25">
        <f t="shared" si="224"/>
        <v>69635.251575853268</v>
      </c>
      <c r="BC300" s="25">
        <f t="shared" si="225"/>
        <v>58713.917978713987</v>
      </c>
      <c r="BD300" s="25">
        <f t="shared" si="226"/>
        <v>45793.404727666995</v>
      </c>
      <c r="BE300" s="25">
        <f t="shared" si="227"/>
        <v>31553.950867077445</v>
      </c>
      <c r="BF300" s="25">
        <f t="shared" si="228"/>
        <v>16213.316243063675</v>
      </c>
      <c r="BG300" s="25">
        <f t="shared" si="229"/>
        <v>0</v>
      </c>
      <c r="BI300" s="25"/>
      <c r="BJ300" s="25"/>
      <c r="BK300" s="25"/>
      <c r="BL300" s="25"/>
      <c r="BM300" s="25"/>
      <c r="BN300" s="25">
        <f t="shared" si="232"/>
        <v>69635.251575853268</v>
      </c>
      <c r="BO300" s="25">
        <f t="shared" si="233"/>
        <v>58713.917978713987</v>
      </c>
      <c r="BP300" s="25">
        <f t="shared" si="234"/>
        <v>45793.404727666995</v>
      </c>
      <c r="BQ300" s="25">
        <f t="shared" si="235"/>
        <v>31553.950867077445</v>
      </c>
      <c r="BR300" s="25">
        <f t="shared" si="236"/>
        <v>16213.316243063675</v>
      </c>
      <c r="BS300" s="25">
        <f t="shared" si="237"/>
        <v>0</v>
      </c>
    </row>
    <row r="301" spans="1:71" x14ac:dyDescent="0.2">
      <c r="A301" s="29">
        <f t="shared" si="230"/>
        <v>2.9299999999999815</v>
      </c>
      <c r="B301" s="30">
        <v>6.7655564438188223E-2</v>
      </c>
      <c r="C301" s="30">
        <v>7.0888192287958368E-2</v>
      </c>
      <c r="D301" s="30">
        <v>7.4264988355751307E-2</v>
      </c>
      <c r="E301" s="30">
        <v>7.7856943831770095E-2</v>
      </c>
      <c r="F301" s="30">
        <v>8.1662102301223699E-2</v>
      </c>
      <c r="G301" s="30">
        <v>8.5639259926066566E-2</v>
      </c>
      <c r="H301" s="30">
        <v>8.9741041820662643E-2</v>
      </c>
      <c r="I301" s="30">
        <v>9.3926233561841446E-2</v>
      </c>
      <c r="J301" s="30">
        <v>9.8161155588251198E-2</v>
      </c>
      <c r="K301" s="30">
        <v>0.10241784209561113</v>
      </c>
      <c r="L301" s="30">
        <v>0.10667208758543387</v>
      </c>
      <c r="N301" s="1"/>
      <c r="O301" s="1"/>
      <c r="P301" s="1"/>
      <c r="Q301" s="1"/>
      <c r="R301" s="1"/>
      <c r="S301" s="1">
        <f t="shared" si="231"/>
        <v>0.95808418416283814</v>
      </c>
      <c r="T301" s="64">
        <f t="shared" si="205"/>
        <v>0.95612127153068893</v>
      </c>
      <c r="U301" s="66">
        <f t="shared" si="206"/>
        <v>0.91034991303456159</v>
      </c>
      <c r="V301" s="1">
        <f t="shared" si="207"/>
        <v>0.86308531566444469</v>
      </c>
      <c r="W301" s="68">
        <f t="shared" si="208"/>
        <v>0.81478118684229217</v>
      </c>
      <c r="Y301" s="24"/>
      <c r="Z301" s="24"/>
      <c r="AA301" s="24"/>
      <c r="AB301" s="24"/>
      <c r="AC301" s="24"/>
      <c r="AD301" s="24">
        <f t="shared" si="219"/>
        <v>8.9741041820662629E-2</v>
      </c>
      <c r="AE301" s="24">
        <f t="shared" si="220"/>
        <v>9.3926233561841446E-2</v>
      </c>
      <c r="AF301" s="24">
        <f t="shared" si="221"/>
        <v>9.8161155588251198E-2</v>
      </c>
      <c r="AG301" s="24">
        <f t="shared" si="222"/>
        <v>0.10241784209561113</v>
      </c>
      <c r="AH301" s="24">
        <f t="shared" si="223"/>
        <v>0.10667208758543387</v>
      </c>
      <c r="AL301" s="23">
        <f t="shared" si="209"/>
        <v>0</v>
      </c>
      <c r="AM301" s="23">
        <f t="shared" si="210"/>
        <v>0</v>
      </c>
      <c r="AN301" s="23">
        <f t="shared" si="211"/>
        <v>0</v>
      </c>
      <c r="AO301" s="23">
        <f t="shared" si="212"/>
        <v>0</v>
      </c>
      <c r="AP301" s="23">
        <f t="shared" si="213"/>
        <v>0</v>
      </c>
      <c r="AQ301" s="23">
        <f t="shared" si="214"/>
        <v>10557.452405534015</v>
      </c>
      <c r="AR301" s="23">
        <f t="shared" si="215"/>
        <v>12536.597834519465</v>
      </c>
      <c r="AS301" s="23">
        <f t="shared" si="216"/>
        <v>13864.077308244472</v>
      </c>
      <c r="AT301" s="23">
        <f t="shared" si="217"/>
        <v>14981.207951724156</v>
      </c>
      <c r="AU301" s="23">
        <f t="shared" si="218"/>
        <v>15875.89718037827</v>
      </c>
      <c r="AW301" s="25"/>
      <c r="AX301" s="25"/>
      <c r="AY301" s="25"/>
      <c r="AZ301" s="25"/>
      <c r="BA301" s="25"/>
      <c r="BB301" s="25">
        <f t="shared" si="224"/>
        <v>67815.232680400382</v>
      </c>
      <c r="BC301" s="25">
        <f t="shared" si="225"/>
        <v>57257.780274866367</v>
      </c>
      <c r="BD301" s="25">
        <f t="shared" si="226"/>
        <v>44721.1824403469</v>
      </c>
      <c r="BE301" s="25">
        <f t="shared" si="227"/>
        <v>30857.105132102428</v>
      </c>
      <c r="BF301" s="25">
        <f t="shared" si="228"/>
        <v>15875.89718037827</v>
      </c>
      <c r="BG301" s="25">
        <f t="shared" si="229"/>
        <v>0</v>
      </c>
      <c r="BI301" s="25"/>
      <c r="BJ301" s="25"/>
      <c r="BK301" s="25"/>
      <c r="BL301" s="25"/>
      <c r="BM301" s="25"/>
      <c r="BN301" s="25">
        <f t="shared" si="232"/>
        <v>67815.232680400382</v>
      </c>
      <c r="BO301" s="25">
        <f t="shared" si="233"/>
        <v>57257.780274866367</v>
      </c>
      <c r="BP301" s="25">
        <f t="shared" si="234"/>
        <v>44721.1824403469</v>
      </c>
      <c r="BQ301" s="25">
        <f t="shared" si="235"/>
        <v>30857.105132102428</v>
      </c>
      <c r="BR301" s="25">
        <f t="shared" si="236"/>
        <v>15875.89718037827</v>
      </c>
      <c r="BS301" s="25">
        <f t="shared" si="237"/>
        <v>0</v>
      </c>
    </row>
    <row r="302" spans="1:71" x14ac:dyDescent="0.2">
      <c r="A302" s="29">
        <f t="shared" si="230"/>
        <v>2.9399999999999813</v>
      </c>
      <c r="B302" s="30">
        <v>6.6657238843341737E-2</v>
      </c>
      <c r="C302" s="30">
        <v>6.9984293307378292E-2</v>
      </c>
      <c r="D302" s="30">
        <v>7.3452845069119241E-2</v>
      </c>
      <c r="E302" s="30">
        <v>7.7132503913534989E-2</v>
      </c>
      <c r="F302" s="30">
        <v>8.1020603196173976E-2</v>
      </c>
      <c r="G302" s="30">
        <v>8.5075888050654414E-2</v>
      </c>
      <c r="H302" s="30">
        <v>8.9251177318670202E-2</v>
      </c>
      <c r="I302" s="30">
        <v>9.3505476321502343E-2</v>
      </c>
      <c r="J302" s="30">
        <v>9.780528770720924E-2</v>
      </c>
      <c r="K302" s="30">
        <v>0.10212278801335146</v>
      </c>
      <c r="L302" s="30">
        <v>0.10643388793707731</v>
      </c>
      <c r="N302" s="1"/>
      <c r="O302" s="1"/>
      <c r="P302" s="1"/>
      <c r="Q302" s="1"/>
      <c r="R302" s="1"/>
      <c r="S302" s="1">
        <f t="shared" si="231"/>
        <v>0.95835410101876195</v>
      </c>
      <c r="T302" s="64">
        <f t="shared" si="205"/>
        <v>0.95635548514801372</v>
      </c>
      <c r="U302" s="66">
        <f t="shared" si="206"/>
        <v>0.91073302994566785</v>
      </c>
      <c r="V302" s="1">
        <f t="shared" si="207"/>
        <v>0.86354615516565036</v>
      </c>
      <c r="W302" s="68">
        <f t="shared" si="208"/>
        <v>0.81526213776552114</v>
      </c>
      <c r="Y302" s="24"/>
      <c r="Z302" s="24"/>
      <c r="AA302" s="24"/>
      <c r="AB302" s="24"/>
      <c r="AC302" s="24"/>
      <c r="AD302" s="24">
        <f t="shared" si="219"/>
        <v>8.9251177318670202E-2</v>
      </c>
      <c r="AE302" s="24">
        <f t="shared" si="220"/>
        <v>9.3505476321502343E-2</v>
      </c>
      <c r="AF302" s="24">
        <f t="shared" si="221"/>
        <v>9.780528770720924E-2</v>
      </c>
      <c r="AG302" s="24">
        <f t="shared" si="222"/>
        <v>0.10212278801335146</v>
      </c>
      <c r="AH302" s="24">
        <f t="shared" si="223"/>
        <v>0.10643388793707731</v>
      </c>
      <c r="AL302" s="23">
        <f t="shared" si="209"/>
        <v>0</v>
      </c>
      <c r="AM302" s="23">
        <f t="shared" si="210"/>
        <v>0</v>
      </c>
      <c r="AN302" s="23">
        <f t="shared" si="211"/>
        <v>0</v>
      </c>
      <c r="AO302" s="23">
        <f t="shared" si="212"/>
        <v>0</v>
      </c>
      <c r="AP302" s="23">
        <f t="shared" si="213"/>
        <v>0</v>
      </c>
      <c r="AQ302" s="23">
        <f t="shared" si="214"/>
        <v>10325.694883090926</v>
      </c>
      <c r="AR302" s="23">
        <f t="shared" si="215"/>
        <v>12338.472080367175</v>
      </c>
      <c r="AS302" s="23">
        <f t="shared" si="216"/>
        <v>13707.861629768769</v>
      </c>
      <c r="AT302" s="23">
        <f t="shared" si="217"/>
        <v>14861.810673452746</v>
      </c>
      <c r="AU302" s="23">
        <f t="shared" si="218"/>
        <v>15788.170864413358</v>
      </c>
      <c r="AW302" s="25"/>
      <c r="AX302" s="25"/>
      <c r="AY302" s="25"/>
      <c r="AZ302" s="25"/>
      <c r="BA302" s="25"/>
      <c r="BB302" s="25">
        <f t="shared" si="224"/>
        <v>67022.010131092975</v>
      </c>
      <c r="BC302" s="25">
        <f t="shared" si="225"/>
        <v>56696.315248002051</v>
      </c>
      <c r="BD302" s="25">
        <f t="shared" si="226"/>
        <v>44357.84316763487</v>
      </c>
      <c r="BE302" s="25">
        <f t="shared" si="227"/>
        <v>30649.981537866104</v>
      </c>
      <c r="BF302" s="25">
        <f t="shared" si="228"/>
        <v>15788.170864413358</v>
      </c>
      <c r="BG302" s="25">
        <f t="shared" si="229"/>
        <v>0</v>
      </c>
      <c r="BI302" s="25"/>
      <c r="BJ302" s="25"/>
      <c r="BK302" s="25"/>
      <c r="BL302" s="25"/>
      <c r="BM302" s="25"/>
      <c r="BN302" s="25">
        <f t="shared" si="232"/>
        <v>67022.010131092975</v>
      </c>
      <c r="BO302" s="25">
        <f t="shared" si="233"/>
        <v>56696.315248002051</v>
      </c>
      <c r="BP302" s="25">
        <f t="shared" si="234"/>
        <v>44357.84316763487</v>
      </c>
      <c r="BQ302" s="25">
        <f t="shared" si="235"/>
        <v>30649.981537866104</v>
      </c>
      <c r="BR302" s="25">
        <f t="shared" si="236"/>
        <v>15788.170864413358</v>
      </c>
      <c r="BS302" s="25">
        <f t="shared" si="237"/>
        <v>0</v>
      </c>
    </row>
    <row r="303" spans="1:71" x14ac:dyDescent="0.2">
      <c r="A303" s="29">
        <f t="shared" si="230"/>
        <v>2.9499999999999811</v>
      </c>
      <c r="B303" s="30">
        <v>6.6097715084186284E-2</v>
      </c>
      <c r="C303" s="30">
        <v>6.9300765848722037E-2</v>
      </c>
      <c r="D303" s="30">
        <v>7.2665125679659853E-2</v>
      </c>
      <c r="E303" s="30">
        <v>7.6258162829233478E-2</v>
      </c>
      <c r="F303" s="30">
        <v>8.007564005634199E-2</v>
      </c>
      <c r="G303" s="30">
        <v>8.4075382810365307E-2</v>
      </c>
      <c r="H303" s="30">
        <v>8.8209530629654365E-2</v>
      </c>
      <c r="I303" s="30">
        <v>9.2436434278225441E-2</v>
      </c>
      <c r="J303" s="30">
        <v>9.6721904265180361E-2</v>
      </c>
      <c r="K303" s="30">
        <v>0.10103738539598153</v>
      </c>
      <c r="L303" s="30">
        <v>0.1053580307443828</v>
      </c>
      <c r="N303" s="1"/>
      <c r="O303" s="1"/>
      <c r="P303" s="1"/>
      <c r="Q303" s="1"/>
      <c r="R303" s="1"/>
      <c r="S303" s="1">
        <f t="shared" si="231"/>
        <v>0.95883364010416439</v>
      </c>
      <c r="T303" s="64">
        <f t="shared" si="205"/>
        <v>0.95685370714188733</v>
      </c>
      <c r="U303" s="66">
        <f t="shared" si="206"/>
        <v>0.91170716244640626</v>
      </c>
      <c r="V303" s="1">
        <f t="shared" si="207"/>
        <v>0.86495062344872897</v>
      </c>
      <c r="W303" s="68">
        <f t="shared" si="208"/>
        <v>0.81703383539136309</v>
      </c>
      <c r="Y303" s="24"/>
      <c r="Z303" s="24"/>
      <c r="AA303" s="24"/>
      <c r="AB303" s="24"/>
      <c r="AC303" s="24"/>
      <c r="AD303" s="24">
        <f t="shared" si="219"/>
        <v>8.8209530629654365E-2</v>
      </c>
      <c r="AE303" s="24">
        <f t="shared" si="220"/>
        <v>9.2436434278225441E-2</v>
      </c>
      <c r="AF303" s="24">
        <f t="shared" si="221"/>
        <v>9.6721904265180361E-2</v>
      </c>
      <c r="AG303" s="24">
        <f t="shared" si="222"/>
        <v>0.10103738539598153</v>
      </c>
      <c r="AH303" s="24">
        <f t="shared" si="223"/>
        <v>0.1053580307443828</v>
      </c>
      <c r="AL303" s="23">
        <f t="shared" si="209"/>
        <v>0</v>
      </c>
      <c r="AM303" s="23">
        <f t="shared" si="210"/>
        <v>0</v>
      </c>
      <c r="AN303" s="23">
        <f t="shared" si="211"/>
        <v>0</v>
      </c>
      <c r="AO303" s="23">
        <f t="shared" si="212"/>
        <v>0</v>
      </c>
      <c r="AP303" s="23">
        <f t="shared" si="213"/>
        <v>0</v>
      </c>
      <c r="AQ303" s="23">
        <f t="shared" si="214"/>
        <v>9831.4786879771527</v>
      </c>
      <c r="AR303" s="23">
        <f t="shared" si="215"/>
        <v>11833.441497300919</v>
      </c>
      <c r="AS303" s="23">
        <f t="shared" si="216"/>
        <v>13228.659524100587</v>
      </c>
      <c r="AT303" s="23">
        <f t="shared" si="217"/>
        <v>14416.572032246697</v>
      </c>
      <c r="AU303" s="23">
        <f t="shared" si="218"/>
        <v>15382.97527111676</v>
      </c>
      <c r="AW303" s="25"/>
      <c r="AX303" s="25"/>
      <c r="AY303" s="25"/>
      <c r="AZ303" s="25"/>
      <c r="BA303" s="25"/>
      <c r="BB303" s="25">
        <f t="shared" si="224"/>
        <v>64693.127012742116</v>
      </c>
      <c r="BC303" s="25">
        <f t="shared" si="225"/>
        <v>54861.648324764959</v>
      </c>
      <c r="BD303" s="25">
        <f t="shared" si="226"/>
        <v>43028.206827464048</v>
      </c>
      <c r="BE303" s="25">
        <f t="shared" si="227"/>
        <v>29799.547303363455</v>
      </c>
      <c r="BF303" s="25">
        <f t="shared" si="228"/>
        <v>15382.97527111676</v>
      </c>
      <c r="BG303" s="25">
        <f t="shared" si="229"/>
        <v>0</v>
      </c>
      <c r="BI303" s="25"/>
      <c r="BJ303" s="25"/>
      <c r="BK303" s="25"/>
      <c r="BL303" s="25"/>
      <c r="BM303" s="25"/>
      <c r="BN303" s="25">
        <f t="shared" si="232"/>
        <v>64693.127012742116</v>
      </c>
      <c r="BO303" s="25">
        <f t="shared" si="233"/>
        <v>54861.648324764959</v>
      </c>
      <c r="BP303" s="25">
        <f t="shared" si="234"/>
        <v>43028.206827464048</v>
      </c>
      <c r="BQ303" s="25">
        <f t="shared" si="235"/>
        <v>29799.547303363455</v>
      </c>
      <c r="BR303" s="25">
        <f t="shared" si="236"/>
        <v>15382.97527111676</v>
      </c>
      <c r="BS303" s="25">
        <f t="shared" si="237"/>
        <v>0</v>
      </c>
    </row>
    <row r="304" spans="1:71" x14ac:dyDescent="0.2">
      <c r="A304" s="29">
        <f t="shared" si="230"/>
        <v>2.9599999999999809</v>
      </c>
      <c r="B304" s="30">
        <v>6.5458050941385543E-2</v>
      </c>
      <c r="C304" s="30">
        <v>6.8775451795300244E-2</v>
      </c>
      <c r="D304" s="30">
        <v>7.2248838392544604E-2</v>
      </c>
      <c r="E304" s="30">
        <v>7.5944333993692659E-2</v>
      </c>
      <c r="F304" s="30">
        <v>7.9857126901597519E-2</v>
      </c>
      <c r="G304" s="30">
        <v>8.394511081137386E-2</v>
      </c>
      <c r="H304" s="30">
        <v>8.8160729575306393E-2</v>
      </c>
      <c r="I304" s="30">
        <v>9.246266177086801E-2</v>
      </c>
      <c r="J304" s="30">
        <v>9.6817008098696325E-2</v>
      </c>
      <c r="K304" s="30">
        <v>0.10119546423668481</v>
      </c>
      <c r="L304" s="30">
        <v>0.10557340849290203</v>
      </c>
      <c r="N304" s="1"/>
      <c r="O304" s="1"/>
      <c r="P304" s="1"/>
      <c r="Q304" s="1"/>
      <c r="R304" s="1"/>
      <c r="S304" s="1">
        <f t="shared" si="231"/>
        <v>0.95889609672572784</v>
      </c>
      <c r="T304" s="64">
        <f t="shared" si="205"/>
        <v>0.9568770551616208</v>
      </c>
      <c r="U304" s="66">
        <f t="shared" si="206"/>
        <v>0.91168325096708147</v>
      </c>
      <c r="V304" s="1">
        <f t="shared" si="207"/>
        <v>0.86482724206933181</v>
      </c>
      <c r="W304" s="68">
        <f t="shared" si="208"/>
        <v>0.81677556469761814</v>
      </c>
      <c r="Y304" s="24"/>
      <c r="Z304" s="24"/>
      <c r="AA304" s="24"/>
      <c r="AB304" s="24"/>
      <c r="AC304" s="24"/>
      <c r="AD304" s="24">
        <f t="shared" si="219"/>
        <v>8.8160729575306393E-2</v>
      </c>
      <c r="AE304" s="24">
        <f t="shared" si="220"/>
        <v>9.246266177086801E-2</v>
      </c>
      <c r="AF304" s="24">
        <f t="shared" si="221"/>
        <v>9.6817008098696325E-2</v>
      </c>
      <c r="AG304" s="24">
        <f t="shared" si="222"/>
        <v>0.10119546423668481</v>
      </c>
      <c r="AH304" s="24">
        <f t="shared" si="223"/>
        <v>0.10557340849290205</v>
      </c>
      <c r="AL304" s="23">
        <f t="shared" si="209"/>
        <v>0</v>
      </c>
      <c r="AM304" s="23">
        <f t="shared" si="210"/>
        <v>0</v>
      </c>
      <c r="AN304" s="23">
        <f t="shared" si="211"/>
        <v>0</v>
      </c>
      <c r="AO304" s="23">
        <f t="shared" si="212"/>
        <v>0</v>
      </c>
      <c r="AP304" s="23">
        <f t="shared" si="213"/>
        <v>0</v>
      </c>
      <c r="AQ304" s="23">
        <f t="shared" si="214"/>
        <v>9808.721521759282</v>
      </c>
      <c r="AR304" s="23">
        <f t="shared" si="215"/>
        <v>11846.278485996543</v>
      </c>
      <c r="AS304" s="23">
        <f t="shared" si="216"/>
        <v>13271.664860139716</v>
      </c>
      <c r="AT304" s="23">
        <f t="shared" si="217"/>
        <v>14482.871015950948</v>
      </c>
      <c r="AU304" s="23">
        <f t="shared" si="218"/>
        <v>15466.07023513382</v>
      </c>
      <c r="AW304" s="25"/>
      <c r="AX304" s="25"/>
      <c r="AY304" s="25"/>
      <c r="AZ304" s="25"/>
      <c r="BA304" s="25"/>
      <c r="BB304" s="25">
        <f t="shared" si="224"/>
        <v>64875.606118980308</v>
      </c>
      <c r="BC304" s="25">
        <f t="shared" si="225"/>
        <v>55066.884597221026</v>
      </c>
      <c r="BD304" s="25">
        <f t="shared" si="226"/>
        <v>43220.606111224486</v>
      </c>
      <c r="BE304" s="25">
        <f t="shared" si="227"/>
        <v>29948.941251084769</v>
      </c>
      <c r="BF304" s="25">
        <f t="shared" si="228"/>
        <v>15466.07023513382</v>
      </c>
      <c r="BG304" s="25">
        <f t="shared" si="229"/>
        <v>0</v>
      </c>
      <c r="BI304" s="25"/>
      <c r="BJ304" s="25"/>
      <c r="BK304" s="25"/>
      <c r="BL304" s="25"/>
      <c r="BM304" s="25"/>
      <c r="BN304" s="25">
        <f t="shared" si="232"/>
        <v>64875.606118980308</v>
      </c>
      <c r="BO304" s="25">
        <f t="shared" si="233"/>
        <v>55066.884597221026</v>
      </c>
      <c r="BP304" s="25">
        <f t="shared" si="234"/>
        <v>43220.606111224486</v>
      </c>
      <c r="BQ304" s="25">
        <f t="shared" si="235"/>
        <v>29948.941251084769</v>
      </c>
      <c r="BR304" s="25">
        <f t="shared" si="236"/>
        <v>15466.07023513382</v>
      </c>
      <c r="BS304" s="25">
        <f t="shared" si="237"/>
        <v>0</v>
      </c>
    </row>
    <row r="305" spans="1:71" x14ac:dyDescent="0.2">
      <c r="A305" s="29">
        <f t="shared" si="230"/>
        <v>2.9699999999999807</v>
      </c>
      <c r="B305" s="30">
        <v>6.5688235943850842E-2</v>
      </c>
      <c r="C305" s="30">
        <v>6.9111953644620694E-2</v>
      </c>
      <c r="D305" s="30">
        <v>7.2680847735229565E-2</v>
      </c>
      <c r="E305" s="30">
        <v>7.6460127498099509E-2</v>
      </c>
      <c r="F305" s="30">
        <v>8.0444737236868694E-2</v>
      </c>
      <c r="G305" s="30">
        <v>8.459296121654597E-2</v>
      </c>
      <c r="H305" s="30">
        <v>8.8857865676135725E-2</v>
      </c>
      <c r="I305" s="30">
        <v>9.3198773856924488E-2</v>
      </c>
      <c r="J305" s="30">
        <v>9.7582393467498946E-2</v>
      </c>
      <c r="K305" s="30">
        <v>0.10198098814821679</v>
      </c>
      <c r="L305" s="30">
        <v>0.10637047878295011</v>
      </c>
      <c r="N305" s="1"/>
      <c r="O305" s="1"/>
      <c r="P305" s="1"/>
      <c r="Q305" s="1"/>
      <c r="R305" s="1"/>
      <c r="S305" s="1">
        <f t="shared" si="231"/>
        <v>0.95858553641520827</v>
      </c>
      <c r="T305" s="64">
        <f t="shared" si="205"/>
        <v>0.9565435765153939</v>
      </c>
      <c r="U305" s="66">
        <f t="shared" si="206"/>
        <v>0.91101239684959379</v>
      </c>
      <c r="V305" s="1">
        <f t="shared" si="207"/>
        <v>0.8638349226319797</v>
      </c>
      <c r="W305" s="68">
        <f t="shared" si="208"/>
        <v>0.81549337867627025</v>
      </c>
      <c r="Y305" s="24"/>
      <c r="Z305" s="24"/>
      <c r="AA305" s="24"/>
      <c r="AB305" s="24"/>
      <c r="AC305" s="24"/>
      <c r="AD305" s="24">
        <f t="shared" si="219"/>
        <v>8.8857865676135725E-2</v>
      </c>
      <c r="AE305" s="24">
        <f t="shared" si="220"/>
        <v>9.3198773856924502E-2</v>
      </c>
      <c r="AF305" s="24">
        <f t="shared" si="221"/>
        <v>9.7582393467498946E-2</v>
      </c>
      <c r="AG305" s="24">
        <f t="shared" si="222"/>
        <v>0.10198098814821679</v>
      </c>
      <c r="AH305" s="24">
        <f t="shared" si="223"/>
        <v>0.10637047878295011</v>
      </c>
      <c r="AL305" s="23">
        <f t="shared" si="209"/>
        <v>0</v>
      </c>
      <c r="AM305" s="23">
        <f t="shared" si="210"/>
        <v>0</v>
      </c>
      <c r="AN305" s="23">
        <f t="shared" si="211"/>
        <v>0</v>
      </c>
      <c r="AO305" s="23">
        <f t="shared" si="212"/>
        <v>0</v>
      </c>
      <c r="AP305" s="23">
        <f t="shared" si="213"/>
        <v>0</v>
      </c>
      <c r="AQ305" s="23">
        <f t="shared" si="214"/>
        <v>10139.677035784118</v>
      </c>
      <c r="AR305" s="23">
        <f t="shared" si="215"/>
        <v>12194.211615132301</v>
      </c>
      <c r="AS305" s="23">
        <f t="shared" si="216"/>
        <v>13610.53680172402</v>
      </c>
      <c r="AT305" s="23">
        <f t="shared" si="217"/>
        <v>14805.534584424975</v>
      </c>
      <c r="AU305" s="23">
        <f t="shared" si="218"/>
        <v>15766.794147714751</v>
      </c>
      <c r="AW305" s="25"/>
      <c r="AX305" s="25"/>
      <c r="AY305" s="25"/>
      <c r="AZ305" s="25"/>
      <c r="BA305" s="25"/>
      <c r="BB305" s="25">
        <f t="shared" si="224"/>
        <v>66516.754184780162</v>
      </c>
      <c r="BC305" s="25">
        <f t="shared" si="225"/>
        <v>56377.077148996046</v>
      </c>
      <c r="BD305" s="25">
        <f t="shared" si="226"/>
        <v>44182.865533863747</v>
      </c>
      <c r="BE305" s="25">
        <f t="shared" si="227"/>
        <v>30572.328732139726</v>
      </c>
      <c r="BF305" s="25">
        <f t="shared" si="228"/>
        <v>15766.794147714751</v>
      </c>
      <c r="BG305" s="25">
        <f t="shared" si="229"/>
        <v>0</v>
      </c>
      <c r="BI305" s="25"/>
      <c r="BJ305" s="25"/>
      <c r="BK305" s="25"/>
      <c r="BL305" s="25"/>
      <c r="BM305" s="25"/>
      <c r="BN305" s="25">
        <f t="shared" si="232"/>
        <v>66516.754184780162</v>
      </c>
      <c r="BO305" s="25">
        <f t="shared" si="233"/>
        <v>56377.077148996046</v>
      </c>
      <c r="BP305" s="25">
        <f t="shared" si="234"/>
        <v>44182.865533863747</v>
      </c>
      <c r="BQ305" s="25">
        <f t="shared" si="235"/>
        <v>30572.328732139726</v>
      </c>
      <c r="BR305" s="25">
        <f t="shared" si="236"/>
        <v>15766.794147714751</v>
      </c>
      <c r="BS305" s="25">
        <f t="shared" si="237"/>
        <v>0</v>
      </c>
    </row>
    <row r="306" spans="1:71" x14ac:dyDescent="0.2">
      <c r="A306" s="29">
        <f t="shared" si="230"/>
        <v>2.9799999999999804</v>
      </c>
      <c r="B306" s="30">
        <v>6.6058848557883021E-2</v>
      </c>
      <c r="C306" s="30">
        <v>6.9499945338184682E-2</v>
      </c>
      <c r="D306" s="30">
        <v>7.3085473992742969E-2</v>
      </c>
      <c r="E306" s="30">
        <v>7.6879336149911437E-2</v>
      </c>
      <c r="F306" s="30">
        <v>8.0875837730000247E-2</v>
      </c>
      <c r="G306" s="30">
        <v>8.5033251128753706E-2</v>
      </c>
      <c r="H306" s="30">
        <v>8.9304858341942517E-2</v>
      </c>
      <c r="I306" s="30">
        <v>9.3650219446054256E-2</v>
      </c>
      <c r="J306" s="30">
        <v>9.8036241301219823E-2</v>
      </c>
      <c r="K306" s="30">
        <v>0.10243534792703263</v>
      </c>
      <c r="L306" s="30">
        <v>0.10682359544967671</v>
      </c>
      <c r="N306" s="1"/>
      <c r="O306" s="1"/>
      <c r="P306" s="1"/>
      <c r="Q306" s="1"/>
      <c r="R306" s="1"/>
      <c r="S306" s="1">
        <f t="shared" si="231"/>
        <v>0.95837453187101762</v>
      </c>
      <c r="T306" s="64">
        <f t="shared" si="205"/>
        <v>0.95632981642196868</v>
      </c>
      <c r="U306" s="66">
        <f t="shared" si="206"/>
        <v>0.91060121714100961</v>
      </c>
      <c r="V306" s="1">
        <f t="shared" si="207"/>
        <v>0.86324704834629373</v>
      </c>
      <c r="W306" s="68">
        <f t="shared" si="208"/>
        <v>0.81475266049746797</v>
      </c>
      <c r="Y306" s="24"/>
      <c r="Z306" s="24"/>
      <c r="AA306" s="24"/>
      <c r="AB306" s="24"/>
      <c r="AC306" s="24"/>
      <c r="AD306" s="24">
        <f t="shared" si="219"/>
        <v>8.9304858341942517E-2</v>
      </c>
      <c r="AE306" s="24">
        <f t="shared" si="220"/>
        <v>9.3650219446054256E-2</v>
      </c>
      <c r="AF306" s="24">
        <f t="shared" si="221"/>
        <v>9.8036241301219823E-2</v>
      </c>
      <c r="AG306" s="24">
        <f t="shared" si="222"/>
        <v>0.10243534792703263</v>
      </c>
      <c r="AH306" s="24">
        <f t="shared" si="223"/>
        <v>0.10682359544967671</v>
      </c>
      <c r="AL306" s="23">
        <f t="shared" si="209"/>
        <v>0</v>
      </c>
      <c r="AM306" s="23">
        <f t="shared" si="210"/>
        <v>0</v>
      </c>
      <c r="AN306" s="23">
        <f t="shared" si="211"/>
        <v>0</v>
      </c>
      <c r="AO306" s="23">
        <f t="shared" si="212"/>
        <v>0</v>
      </c>
      <c r="AP306" s="23">
        <f t="shared" si="213"/>
        <v>0</v>
      </c>
      <c r="AQ306" s="23">
        <f t="shared" si="214"/>
        <v>10351.638276134969</v>
      </c>
      <c r="AR306" s="23">
        <f t="shared" si="215"/>
        <v>12407.351996773625</v>
      </c>
      <c r="AS306" s="23">
        <f t="shared" si="216"/>
        <v>13811.03096653696</v>
      </c>
      <c r="AT306" s="23">
        <f t="shared" si="217"/>
        <v>14991.571193738073</v>
      </c>
      <c r="AU306" s="23">
        <f t="shared" si="218"/>
        <v>15937.062066288288</v>
      </c>
      <c r="AW306" s="25"/>
      <c r="AX306" s="25"/>
      <c r="AY306" s="25"/>
      <c r="AZ306" s="25"/>
      <c r="BA306" s="25"/>
      <c r="BB306" s="25">
        <f t="shared" si="224"/>
        <v>67498.654499471915</v>
      </c>
      <c r="BC306" s="25">
        <f t="shared" si="225"/>
        <v>57147.016223336948</v>
      </c>
      <c r="BD306" s="25">
        <f t="shared" si="226"/>
        <v>44739.66422656332</v>
      </c>
      <c r="BE306" s="25">
        <f t="shared" si="227"/>
        <v>30928.633260026363</v>
      </c>
      <c r="BF306" s="25">
        <f t="shared" si="228"/>
        <v>15937.062066288288</v>
      </c>
      <c r="BG306" s="25">
        <f t="shared" si="229"/>
        <v>0</v>
      </c>
      <c r="BI306" s="25"/>
      <c r="BJ306" s="25"/>
      <c r="BK306" s="25"/>
      <c r="BL306" s="25"/>
      <c r="BM306" s="25"/>
      <c r="BN306" s="25">
        <f t="shared" si="232"/>
        <v>67498.654499471915</v>
      </c>
      <c r="BO306" s="25">
        <f t="shared" si="233"/>
        <v>57147.016223336948</v>
      </c>
      <c r="BP306" s="25">
        <f t="shared" si="234"/>
        <v>44739.66422656332</v>
      </c>
      <c r="BQ306" s="25">
        <f t="shared" si="235"/>
        <v>30928.633260026363</v>
      </c>
      <c r="BR306" s="25">
        <f t="shared" si="236"/>
        <v>15937.062066288288</v>
      </c>
      <c r="BS306" s="25">
        <f t="shared" si="237"/>
        <v>0</v>
      </c>
    </row>
    <row r="307" spans="1:71" x14ac:dyDescent="0.2">
      <c r="A307" s="29">
        <f t="shared" si="230"/>
        <v>2.9899999999999802</v>
      </c>
      <c r="B307" s="30">
        <v>6.7018567079969935E-2</v>
      </c>
      <c r="C307" s="30">
        <v>7.0447977783983887E-2</v>
      </c>
      <c r="D307" s="30">
        <v>7.4023600182054644E-2</v>
      </c>
      <c r="E307" s="30">
        <v>7.780795013148957E-2</v>
      </c>
      <c r="F307" s="30">
        <v>8.1794616197159595E-2</v>
      </c>
      <c r="G307" s="30">
        <v>8.5941771955672694E-2</v>
      </c>
      <c r="H307" s="30">
        <v>9.0202824078742055E-2</v>
      </c>
      <c r="I307" s="30">
        <v>9.4537477221990726E-2</v>
      </c>
      <c r="J307" s="30">
        <v>9.8912745119255144E-2</v>
      </c>
      <c r="K307" s="30">
        <v>0.10330112016423351</v>
      </c>
      <c r="L307" s="30">
        <v>0.10767870196831421</v>
      </c>
      <c r="N307" s="1"/>
      <c r="O307" s="1"/>
      <c r="P307" s="1"/>
      <c r="Q307" s="1"/>
      <c r="R307" s="1"/>
      <c r="S307" s="1">
        <f t="shared" si="231"/>
        <v>0.95793927912645127</v>
      </c>
      <c r="T307" s="64">
        <f t="shared" si="205"/>
        <v>0.95590053709459855</v>
      </c>
      <c r="U307" s="66">
        <f t="shared" si="206"/>
        <v>0.90979363744898378</v>
      </c>
      <c r="V307" s="1">
        <f t="shared" si="207"/>
        <v>0.86211283511567094</v>
      </c>
      <c r="W307" s="68">
        <f t="shared" si="208"/>
        <v>0.81334310074006799</v>
      </c>
      <c r="Y307" s="24"/>
      <c r="Z307" s="24"/>
      <c r="AA307" s="24"/>
      <c r="AB307" s="24"/>
      <c r="AC307" s="24"/>
      <c r="AD307" s="24">
        <f t="shared" si="219"/>
        <v>9.0202824078742069E-2</v>
      </c>
      <c r="AE307" s="24">
        <f t="shared" si="220"/>
        <v>9.4537477221990726E-2</v>
      </c>
      <c r="AF307" s="24">
        <f t="shared" si="221"/>
        <v>9.8912745119255144E-2</v>
      </c>
      <c r="AG307" s="24">
        <f t="shared" si="222"/>
        <v>0.10330112016423351</v>
      </c>
      <c r="AH307" s="24">
        <f t="shared" si="223"/>
        <v>0.10767870196831422</v>
      </c>
      <c r="AL307" s="23">
        <f t="shared" si="209"/>
        <v>0</v>
      </c>
      <c r="AM307" s="23">
        <f t="shared" si="210"/>
        <v>0</v>
      </c>
      <c r="AN307" s="23">
        <f t="shared" si="211"/>
        <v>0</v>
      </c>
      <c r="AO307" s="23">
        <f t="shared" si="212"/>
        <v>0</v>
      </c>
      <c r="AP307" s="23">
        <f t="shared" si="213"/>
        <v>0</v>
      </c>
      <c r="AQ307" s="23">
        <f t="shared" si="214"/>
        <v>10777.03532982831</v>
      </c>
      <c r="AR307" s="23">
        <f t="shared" si="215"/>
        <v>12825.84765094909</v>
      </c>
      <c r="AS307" s="23">
        <f t="shared" si="216"/>
        <v>14197.501254938748</v>
      </c>
      <c r="AT307" s="23">
        <f t="shared" si="217"/>
        <v>15345.070570050546</v>
      </c>
      <c r="AU307" s="23">
        <f t="shared" si="218"/>
        <v>16257.237706029639</v>
      </c>
      <c r="AW307" s="25"/>
      <c r="AX307" s="25"/>
      <c r="AY307" s="25"/>
      <c r="AZ307" s="25"/>
      <c r="BA307" s="25"/>
      <c r="BB307" s="25">
        <f t="shared" si="224"/>
        <v>69402.69251179634</v>
      </c>
      <c r="BC307" s="25">
        <f t="shared" si="225"/>
        <v>58625.657181968025</v>
      </c>
      <c r="BD307" s="25">
        <f t="shared" si="226"/>
        <v>45799.809531018938</v>
      </c>
      <c r="BE307" s="25">
        <f t="shared" si="227"/>
        <v>31602.308276080184</v>
      </c>
      <c r="BF307" s="25">
        <f t="shared" si="228"/>
        <v>16257.237706029639</v>
      </c>
      <c r="BG307" s="25">
        <f t="shared" si="229"/>
        <v>0</v>
      </c>
      <c r="BI307" s="25"/>
      <c r="BJ307" s="25"/>
      <c r="BK307" s="25"/>
      <c r="BL307" s="25"/>
      <c r="BM307" s="25"/>
      <c r="BN307" s="25">
        <f t="shared" si="232"/>
        <v>69402.69251179634</v>
      </c>
      <c r="BO307" s="25">
        <f t="shared" si="233"/>
        <v>58625.657181968025</v>
      </c>
      <c r="BP307" s="25">
        <f t="shared" si="234"/>
        <v>45799.809531018938</v>
      </c>
      <c r="BQ307" s="25">
        <f t="shared" si="235"/>
        <v>31602.308276080184</v>
      </c>
      <c r="BR307" s="25">
        <f t="shared" si="236"/>
        <v>16257.237706029639</v>
      </c>
      <c r="BS307" s="25">
        <f t="shared" si="237"/>
        <v>0</v>
      </c>
    </row>
    <row r="308" spans="1:71" x14ac:dyDescent="0.2">
      <c r="A308" s="29">
        <f t="shared" si="230"/>
        <v>2.99999999999998</v>
      </c>
      <c r="B308" s="30">
        <v>6.8314359512242046E-2</v>
      </c>
      <c r="C308" s="30">
        <v>7.1724736924126717E-2</v>
      </c>
      <c r="D308" s="30">
        <v>7.5282917133049951E-2</v>
      </c>
      <c r="E308" s="30">
        <v>7.9050065360899396E-2</v>
      </c>
      <c r="F308" s="30">
        <v>8.3019086955147134E-2</v>
      </c>
      <c r="G308" s="30">
        <v>8.7148082910480637E-2</v>
      </c>
      <c r="H308" s="30">
        <v>9.139060673993378E-2</v>
      </c>
      <c r="I308" s="30">
        <v>9.5706528691470769E-2</v>
      </c>
      <c r="J308" s="30">
        <v>0.10006299036995589</v>
      </c>
      <c r="K308" s="30">
        <v>0.10443257381272843</v>
      </c>
      <c r="L308" s="30">
        <v>0.1087914436322326</v>
      </c>
      <c r="N308" s="1"/>
      <c r="O308" s="1"/>
      <c r="P308" s="1"/>
      <c r="Q308" s="1"/>
      <c r="R308" s="1"/>
      <c r="S308" s="1">
        <f t="shared" si="231"/>
        <v>0.95736166701569103</v>
      </c>
      <c r="T308" s="64">
        <f t="shared" si="205"/>
        <v>0.9553330045957027</v>
      </c>
      <c r="U308" s="66">
        <f t="shared" si="206"/>
        <v>0.90873066331699826</v>
      </c>
      <c r="V308" s="1">
        <f t="shared" si="207"/>
        <v>0.86062665579614217</v>
      </c>
      <c r="W308" s="68">
        <f t="shared" si="208"/>
        <v>0.81150466159563983</v>
      </c>
      <c r="Y308" s="24"/>
      <c r="Z308" s="24"/>
      <c r="AA308" s="24"/>
      <c r="AB308" s="24"/>
      <c r="AC308" s="24"/>
      <c r="AD308" s="24">
        <f t="shared" si="219"/>
        <v>9.139060673993378E-2</v>
      </c>
      <c r="AE308" s="24">
        <f t="shared" si="220"/>
        <v>9.5706528691470769E-2</v>
      </c>
      <c r="AF308" s="24">
        <f t="shared" si="221"/>
        <v>0.10006299036995589</v>
      </c>
      <c r="AG308" s="24">
        <f t="shared" si="222"/>
        <v>0.10443257381272843</v>
      </c>
      <c r="AH308" s="24">
        <f t="shared" si="223"/>
        <v>0.10879144363223262</v>
      </c>
      <c r="AL308" s="23">
        <f t="shared" si="209"/>
        <v>0</v>
      </c>
      <c r="AM308" s="23">
        <f t="shared" si="210"/>
        <v>0</v>
      </c>
      <c r="AN308" s="23">
        <f t="shared" si="211"/>
        <v>0</v>
      </c>
      <c r="AO308" s="23">
        <f t="shared" si="212"/>
        <v>0</v>
      </c>
      <c r="AP308" s="23">
        <f t="shared" si="213"/>
        <v>0</v>
      </c>
      <c r="AQ308" s="23">
        <f t="shared" si="214"/>
        <v>11339.105856154321</v>
      </c>
      <c r="AR308" s="23">
        <f t="shared" si="215"/>
        <v>13376.649479089203</v>
      </c>
      <c r="AS308" s="23">
        <f t="shared" si="216"/>
        <v>14703.544908007483</v>
      </c>
      <c r="AT308" s="23">
        <f t="shared" si="217"/>
        <v>15805.497090275798</v>
      </c>
      <c r="AU308" s="23">
        <f t="shared" si="218"/>
        <v>16671.988201147095</v>
      </c>
      <c r="AW308" s="25"/>
      <c r="AX308" s="25"/>
      <c r="AY308" s="25"/>
      <c r="AZ308" s="25"/>
      <c r="BA308" s="25"/>
      <c r="BB308" s="25">
        <f t="shared" si="224"/>
        <v>71896.785534673909</v>
      </c>
      <c r="BC308" s="25">
        <f t="shared" si="225"/>
        <v>60557.679678519577</v>
      </c>
      <c r="BD308" s="25">
        <f t="shared" si="226"/>
        <v>47181.030199430374</v>
      </c>
      <c r="BE308" s="25">
        <f t="shared" si="227"/>
        <v>32477.48529142289</v>
      </c>
      <c r="BF308" s="25">
        <f t="shared" si="228"/>
        <v>16671.988201147095</v>
      </c>
      <c r="BG308" s="25">
        <f t="shared" si="229"/>
        <v>0</v>
      </c>
      <c r="BI308" s="25"/>
      <c r="BJ308" s="25"/>
      <c r="BK308" s="25"/>
      <c r="BL308" s="25"/>
      <c r="BM308" s="25"/>
      <c r="BN308" s="25">
        <f t="shared" si="232"/>
        <v>71896.785534673909</v>
      </c>
      <c r="BO308" s="25">
        <f t="shared" si="233"/>
        <v>60557.679678519577</v>
      </c>
      <c r="BP308" s="25">
        <f t="shared" si="234"/>
        <v>47181.030199430374</v>
      </c>
      <c r="BQ308" s="25">
        <f t="shared" si="235"/>
        <v>32477.48529142289</v>
      </c>
      <c r="BR308" s="25">
        <f t="shared" si="236"/>
        <v>16671.988201147095</v>
      </c>
      <c r="BS308" s="25">
        <f t="shared" si="237"/>
        <v>0</v>
      </c>
    </row>
    <row r="309" spans="1:71" x14ac:dyDescent="0.2">
      <c r="A309" s="29">
        <f t="shared" si="230"/>
        <v>3.0099999999999798</v>
      </c>
      <c r="B309" s="30">
        <v>6.9065692288491257E-2</v>
      </c>
      <c r="C309" s="30">
        <v>7.235698105404588E-2</v>
      </c>
      <c r="D309" s="30">
        <v>7.5806945594887681E-2</v>
      </c>
      <c r="E309" s="30">
        <v>7.9475069567069623E-2</v>
      </c>
      <c r="F309" s="30">
        <v>8.3353243034599067E-2</v>
      </c>
      <c r="G309" s="30">
        <v>8.7399154519932409E-2</v>
      </c>
      <c r="H309" s="30">
        <v>9.1566160473669181E-2</v>
      </c>
      <c r="I309" s="30">
        <v>9.5813951702913056E-2</v>
      </c>
      <c r="J309" s="30">
        <v>0.10010945264023302</v>
      </c>
      <c r="K309" s="30">
        <v>0.10442499019498232</v>
      </c>
      <c r="L309" s="30">
        <v>0.10873644945364631</v>
      </c>
      <c r="N309" s="1"/>
      <c r="O309" s="1"/>
      <c r="P309" s="1"/>
      <c r="Q309" s="1"/>
      <c r="R309" s="1"/>
      <c r="S309" s="1"/>
      <c r="T309" s="64">
        <f t="shared" si="205"/>
        <v>0.95524915213795081</v>
      </c>
      <c r="U309" s="66">
        <f t="shared" si="206"/>
        <v>0.90863304997560823</v>
      </c>
      <c r="V309" s="62">
        <f>EXP(-J309*($V$7-$T$7))</f>
        <v>0.90473838661129824</v>
      </c>
      <c r="W309" s="68">
        <f>EXP(-K309*($W$7-$T$7))</f>
        <v>0.85501395777766065</v>
      </c>
      <c r="Y309" s="24"/>
      <c r="Z309" s="24"/>
      <c r="AA309" s="24"/>
      <c r="AB309" s="24"/>
      <c r="AC309" s="24"/>
      <c r="AD309" s="24"/>
      <c r="AE309" s="24">
        <f t="shared" si="220"/>
        <v>9.5813951702913056E-2</v>
      </c>
      <c r="AF309" s="24">
        <f t="shared" si="221"/>
        <v>0.10010945264023302</v>
      </c>
      <c r="AG309" s="24">
        <f t="shared" si="222"/>
        <v>0.10442499019498232</v>
      </c>
      <c r="AH309" s="24">
        <f t="shared" si="223"/>
        <v>0.10873644945364631</v>
      </c>
      <c r="AL309" s="23">
        <f t="shared" si="209"/>
        <v>0</v>
      </c>
      <c r="AM309" s="23">
        <f t="shared" si="210"/>
        <v>0</v>
      </c>
      <c r="AN309" s="23">
        <f t="shared" si="211"/>
        <v>0</v>
      </c>
      <c r="AO309" s="23">
        <f t="shared" si="212"/>
        <v>0</v>
      </c>
      <c r="AP309" s="23">
        <f t="shared" si="213"/>
        <v>0</v>
      </c>
      <c r="AQ309" s="23">
        <f t="shared" si="214"/>
        <v>0</v>
      </c>
      <c r="AR309" s="23">
        <f t="shared" si="215"/>
        <v>13426.783240539467</v>
      </c>
      <c r="AS309" s="23">
        <f t="shared" si="216"/>
        <v>14723.074070944172</v>
      </c>
      <c r="AT309" s="23">
        <f t="shared" si="217"/>
        <v>16612.182970653543</v>
      </c>
      <c r="AU309" s="23">
        <f t="shared" si="218"/>
        <v>17542.356186394201</v>
      </c>
      <c r="AW309" s="25"/>
      <c r="AX309" s="25"/>
      <c r="AY309" s="25"/>
      <c r="AZ309" s="25"/>
      <c r="BA309" s="25"/>
      <c r="BB309" s="25"/>
      <c r="BC309" s="25">
        <f t="shared" si="225"/>
        <v>62304.396468531384</v>
      </c>
      <c r="BD309" s="25">
        <f t="shared" si="226"/>
        <v>48877.613227991918</v>
      </c>
      <c r="BE309" s="25">
        <f t="shared" si="227"/>
        <v>34154.539157047744</v>
      </c>
      <c r="BF309" s="25">
        <f t="shared" si="228"/>
        <v>17542.356186394201</v>
      </c>
      <c r="BG309" s="25">
        <f t="shared" si="229"/>
        <v>0</v>
      </c>
      <c r="BI309" s="25"/>
      <c r="BJ309" s="25"/>
      <c r="BK309" s="25"/>
      <c r="BL309" s="25"/>
      <c r="BM309" s="25"/>
      <c r="BN309" s="25"/>
      <c r="BO309" s="25">
        <f t="shared" si="233"/>
        <v>62304.396468531384</v>
      </c>
      <c r="BP309" s="25">
        <f t="shared" si="234"/>
        <v>48877.613227991918</v>
      </c>
      <c r="BQ309" s="25">
        <f t="shared" si="235"/>
        <v>34154.539157047744</v>
      </c>
      <c r="BR309" s="25">
        <f t="shared" si="236"/>
        <v>17542.356186394201</v>
      </c>
      <c r="BS309" s="25">
        <f t="shared" si="237"/>
        <v>0</v>
      </c>
    </row>
    <row r="310" spans="1:71" x14ac:dyDescent="0.2">
      <c r="A310" s="29">
        <f t="shared" si="230"/>
        <v>3.0199999999999796</v>
      </c>
      <c r="B310" s="30">
        <v>6.9244781001266908E-2</v>
      </c>
      <c r="C310" s="30">
        <v>7.254488974194892E-2</v>
      </c>
      <c r="D310" s="30">
        <v>7.6003532317533887E-2</v>
      </c>
      <c r="E310" s="30">
        <v>7.9678913578763055E-2</v>
      </c>
      <c r="F310" s="30">
        <v>8.356230979727941E-2</v>
      </c>
      <c r="G310" s="30">
        <v>8.761139076637979E-2</v>
      </c>
      <c r="H310" s="30">
        <v>9.1779705661536454E-2</v>
      </c>
      <c r="I310" s="30">
        <v>9.6027154529239503E-2</v>
      </c>
      <c r="J310" s="30">
        <v>0.10032083330552441</v>
      </c>
      <c r="K310" s="30">
        <v>0.10463320271867455</v>
      </c>
      <c r="L310" s="30">
        <v>0.10894025751904768</v>
      </c>
      <c r="N310" s="1"/>
      <c r="O310" s="1"/>
      <c r="P310" s="1"/>
      <c r="Q310" s="1"/>
      <c r="R310" s="1"/>
      <c r="S310" s="1"/>
      <c r="T310" s="64">
        <f t="shared" si="205"/>
        <v>0.95514716315303527</v>
      </c>
      <c r="U310" s="66">
        <f t="shared" si="206"/>
        <v>0.90843934749095212</v>
      </c>
      <c r="V310" s="62">
        <f t="shared" ref="V310:V358" si="238">EXP(-J310*($V$7-$T$7))</f>
        <v>0.90454716262046087</v>
      </c>
      <c r="W310" s="68">
        <f t="shared" ref="W310:W358" si="239">EXP(-K310*($W$7-$T$7))</f>
        <v>0.85474696255273175</v>
      </c>
      <c r="Y310" s="24"/>
      <c r="Z310" s="24"/>
      <c r="AA310" s="24"/>
      <c r="AB310" s="24"/>
      <c r="AC310" s="24"/>
      <c r="AD310" s="24"/>
      <c r="AE310" s="24">
        <f t="shared" si="220"/>
        <v>9.6027154529239503E-2</v>
      </c>
      <c r="AF310" s="24">
        <f t="shared" si="221"/>
        <v>0.10032083330552441</v>
      </c>
      <c r="AG310" s="24">
        <f t="shared" si="222"/>
        <v>0.10463320271867455</v>
      </c>
      <c r="AH310" s="24">
        <f t="shared" si="223"/>
        <v>0.10894025751904768</v>
      </c>
      <c r="AL310" s="23">
        <f t="shared" si="209"/>
        <v>0</v>
      </c>
      <c r="AM310" s="23">
        <f t="shared" si="210"/>
        <v>0</v>
      </c>
      <c r="AN310" s="23">
        <f t="shared" si="211"/>
        <v>0</v>
      </c>
      <c r="AO310" s="23">
        <f t="shared" si="212"/>
        <v>0</v>
      </c>
      <c r="AP310" s="23">
        <f t="shared" si="213"/>
        <v>0</v>
      </c>
      <c r="AQ310" s="23">
        <f t="shared" si="214"/>
        <v>0</v>
      </c>
      <c r="AR310" s="23">
        <f t="shared" si="215"/>
        <v>13527.169741968186</v>
      </c>
      <c r="AS310" s="23">
        <f t="shared" si="216"/>
        <v>14815.948661362954</v>
      </c>
      <c r="AT310" s="23">
        <f t="shared" si="217"/>
        <v>16702.840871234035</v>
      </c>
      <c r="AU310" s="23">
        <f t="shared" si="218"/>
        <v>17623.980396915544</v>
      </c>
      <c r="AW310" s="25"/>
      <c r="AX310" s="25"/>
      <c r="AY310" s="25"/>
      <c r="AZ310" s="25"/>
      <c r="BA310" s="25"/>
      <c r="BB310" s="25"/>
      <c r="BC310" s="25">
        <f t="shared" si="225"/>
        <v>62669.939671480723</v>
      </c>
      <c r="BD310" s="25">
        <f t="shared" si="226"/>
        <v>49142.769929512535</v>
      </c>
      <c r="BE310" s="25">
        <f t="shared" si="227"/>
        <v>34326.821268149579</v>
      </c>
      <c r="BF310" s="25">
        <f t="shared" si="228"/>
        <v>17623.980396915544</v>
      </c>
      <c r="BG310" s="25">
        <f t="shared" si="229"/>
        <v>0</v>
      </c>
      <c r="BI310" s="25"/>
      <c r="BJ310" s="25"/>
      <c r="BK310" s="25"/>
      <c r="BL310" s="25"/>
      <c r="BM310" s="25"/>
      <c r="BN310" s="25"/>
      <c r="BO310" s="25">
        <f t="shared" si="233"/>
        <v>62669.939671480723</v>
      </c>
      <c r="BP310" s="25">
        <f t="shared" si="234"/>
        <v>49142.769929512535</v>
      </c>
      <c r="BQ310" s="25">
        <f t="shared" si="235"/>
        <v>34326.821268149579</v>
      </c>
      <c r="BR310" s="25">
        <f t="shared" si="236"/>
        <v>17623.980396915544</v>
      </c>
      <c r="BS310" s="25">
        <f t="shared" si="237"/>
        <v>0</v>
      </c>
    </row>
    <row r="311" spans="1:71" x14ac:dyDescent="0.2">
      <c r="A311" s="29">
        <f t="shared" si="230"/>
        <v>3.0299999999999794</v>
      </c>
      <c r="B311" s="30">
        <v>6.8657212205136348E-2</v>
      </c>
      <c r="C311" s="30">
        <v>7.1965021591133549E-2</v>
      </c>
      <c r="D311" s="30">
        <v>7.5431374249654362E-2</v>
      </c>
      <c r="E311" s="30">
        <v>7.911320161806E-2</v>
      </c>
      <c r="F311" s="30">
        <v>8.3001170168565813E-2</v>
      </c>
      <c r="G311" s="30">
        <v>8.7052927286062454E-2</v>
      </c>
      <c r="H311" s="30">
        <v>9.1222207292857932E-2</v>
      </c>
      <c r="I311" s="30">
        <v>9.5469110811783053E-2</v>
      </c>
      <c r="J311" s="30">
        <v>9.976089662032174E-2</v>
      </c>
      <c r="K311" s="30">
        <v>0.10407015087425905</v>
      </c>
      <c r="L311" s="30">
        <v>0.10837296983762008</v>
      </c>
      <c r="N311" s="1"/>
      <c r="O311" s="1"/>
      <c r="P311" s="1"/>
      <c r="Q311" s="1"/>
      <c r="R311" s="1"/>
      <c r="S311" s="1"/>
      <c r="T311" s="64">
        <f t="shared" si="205"/>
        <v>0.95541344675713258</v>
      </c>
      <c r="U311" s="66">
        <f t="shared" si="206"/>
        <v>0.90894643783764117</v>
      </c>
      <c r="V311" s="62">
        <f t="shared" si="238"/>
        <v>0.90505379358770333</v>
      </c>
      <c r="W311" s="68">
        <f t="shared" si="239"/>
        <v>0.85546916776969739</v>
      </c>
      <c r="Y311" s="24"/>
      <c r="Z311" s="24"/>
      <c r="AA311" s="24"/>
      <c r="AB311" s="24"/>
      <c r="AC311" s="24"/>
      <c r="AD311" s="24"/>
      <c r="AE311" s="24">
        <f t="shared" si="220"/>
        <v>9.5469110811783039E-2</v>
      </c>
      <c r="AF311" s="24">
        <f t="shared" si="221"/>
        <v>9.976089662032174E-2</v>
      </c>
      <c r="AG311" s="24">
        <f t="shared" si="222"/>
        <v>0.10407015087425905</v>
      </c>
      <c r="AH311" s="24">
        <f t="shared" si="223"/>
        <v>0.10837296983762008</v>
      </c>
      <c r="AL311" s="23">
        <f t="shared" si="209"/>
        <v>0</v>
      </c>
      <c r="AM311" s="23">
        <f t="shared" si="210"/>
        <v>0</v>
      </c>
      <c r="AN311" s="23">
        <f t="shared" si="211"/>
        <v>0</v>
      </c>
      <c r="AO311" s="23">
        <f t="shared" si="212"/>
        <v>0</v>
      </c>
      <c r="AP311" s="23">
        <f t="shared" si="213"/>
        <v>0</v>
      </c>
      <c r="AQ311" s="23">
        <f t="shared" si="214"/>
        <v>0</v>
      </c>
      <c r="AR311" s="23">
        <f t="shared" si="215"/>
        <v>13264.359719318925</v>
      </c>
      <c r="AS311" s="23">
        <f t="shared" si="216"/>
        <v>14569.742688083936</v>
      </c>
      <c r="AT311" s="23">
        <f t="shared" si="217"/>
        <v>16457.399919599593</v>
      </c>
      <c r="AU311" s="23">
        <f t="shared" si="218"/>
        <v>17396.222946024569</v>
      </c>
      <c r="AW311" s="25"/>
      <c r="AX311" s="25"/>
      <c r="AY311" s="25"/>
      <c r="AZ311" s="25"/>
      <c r="BA311" s="25"/>
      <c r="BB311" s="25"/>
      <c r="BC311" s="25">
        <f t="shared" si="225"/>
        <v>61687.725273027027</v>
      </c>
      <c r="BD311" s="25">
        <f t="shared" si="226"/>
        <v>48423.365553708092</v>
      </c>
      <c r="BE311" s="25">
        <f t="shared" si="227"/>
        <v>33853.622865624158</v>
      </c>
      <c r="BF311" s="25">
        <f t="shared" si="228"/>
        <v>17396.222946024569</v>
      </c>
      <c r="BG311" s="25">
        <f t="shared" si="229"/>
        <v>0</v>
      </c>
      <c r="BI311" s="25"/>
      <c r="BJ311" s="25"/>
      <c r="BK311" s="25"/>
      <c r="BL311" s="25"/>
      <c r="BM311" s="25"/>
      <c r="BN311" s="25"/>
      <c r="BO311" s="25">
        <f t="shared" si="233"/>
        <v>61687.725273027027</v>
      </c>
      <c r="BP311" s="25">
        <f t="shared" si="234"/>
        <v>48423.365553708092</v>
      </c>
      <c r="BQ311" s="25">
        <f t="shared" si="235"/>
        <v>33853.622865624158</v>
      </c>
      <c r="BR311" s="25">
        <f t="shared" si="236"/>
        <v>17396.222946024569</v>
      </c>
      <c r="BS311" s="25">
        <f t="shared" si="237"/>
        <v>0</v>
      </c>
    </row>
    <row r="312" spans="1:71" x14ac:dyDescent="0.2">
      <c r="A312" s="29">
        <f t="shared" si="230"/>
        <v>3.0399999999999792</v>
      </c>
      <c r="B312" s="30">
        <v>6.7774548567774748E-2</v>
      </c>
      <c r="C312" s="30">
        <v>7.0932144320251411E-2</v>
      </c>
      <c r="D312" s="30">
        <v>7.4270332367994379E-2</v>
      </c>
      <c r="E312" s="30">
        <v>7.7843830325771884E-2</v>
      </c>
      <c r="F312" s="30">
        <v>8.1641752932700082E-2</v>
      </c>
      <c r="G312" s="30">
        <v>8.5620775634876287E-2</v>
      </c>
      <c r="H312" s="30">
        <v>8.9733864528542318E-2</v>
      </c>
      <c r="I312" s="30">
        <v>9.3940366376679893E-2</v>
      </c>
      <c r="J312" s="30">
        <v>9.8206748368450461E-2</v>
      </c>
      <c r="K312" s="30">
        <v>0.10250476792737201</v>
      </c>
      <c r="L312" s="30">
        <v>0.10680966891090539</v>
      </c>
      <c r="N312" s="1"/>
      <c r="O312" s="1"/>
      <c r="P312" s="1"/>
      <c r="Q312" s="1"/>
      <c r="R312" s="1"/>
      <c r="S312" s="1"/>
      <c r="T312" s="64">
        <f t="shared" si="205"/>
        <v>0.95612470271767969</v>
      </c>
      <c r="U312" s="66">
        <f t="shared" si="206"/>
        <v>0.91033704731871701</v>
      </c>
      <c r="V312" s="62">
        <f t="shared" si="238"/>
        <v>0.90646147494827989</v>
      </c>
      <c r="W312" s="68">
        <f t="shared" si="239"/>
        <v>0.85748023318155153</v>
      </c>
      <c r="Y312" s="24"/>
      <c r="Z312" s="24"/>
      <c r="AA312" s="24"/>
      <c r="AB312" s="24"/>
      <c r="AC312" s="24"/>
      <c r="AD312" s="24"/>
      <c r="AE312" s="24">
        <f t="shared" si="220"/>
        <v>9.3940366376679893E-2</v>
      </c>
      <c r="AF312" s="24">
        <f t="shared" si="221"/>
        <v>9.8206748368450461E-2</v>
      </c>
      <c r="AG312" s="24">
        <f t="shared" si="222"/>
        <v>0.10250476792737201</v>
      </c>
      <c r="AH312" s="24">
        <f t="shared" si="223"/>
        <v>0.1068096689109054</v>
      </c>
      <c r="AL312" s="23">
        <f t="shared" si="209"/>
        <v>0</v>
      </c>
      <c r="AM312" s="23">
        <f t="shared" si="210"/>
        <v>0</v>
      </c>
      <c r="AN312" s="23">
        <f t="shared" si="211"/>
        <v>0</v>
      </c>
      <c r="AO312" s="23">
        <f t="shared" si="212"/>
        <v>0</v>
      </c>
      <c r="AP312" s="23">
        <f t="shared" si="213"/>
        <v>0</v>
      </c>
      <c r="AQ312" s="23">
        <f t="shared" si="214"/>
        <v>0</v>
      </c>
      <c r="AR312" s="23">
        <f t="shared" si="215"/>
        <v>12543.399190705606</v>
      </c>
      <c r="AS312" s="23">
        <f t="shared" si="216"/>
        <v>13884.633769644366</v>
      </c>
      <c r="AT312" s="23">
        <f t="shared" si="217"/>
        <v>15773.517377179258</v>
      </c>
      <c r="AU312" s="23">
        <f t="shared" si="218"/>
        <v>16766.868744738666</v>
      </c>
      <c r="AW312" s="25"/>
      <c r="AX312" s="25"/>
      <c r="AY312" s="25"/>
      <c r="AZ312" s="25"/>
      <c r="BA312" s="25"/>
      <c r="BB312" s="25"/>
      <c r="BC312" s="25">
        <f t="shared" si="225"/>
        <v>58968.419082267894</v>
      </c>
      <c r="BD312" s="25">
        <f t="shared" si="226"/>
        <v>46425.01989156229</v>
      </c>
      <c r="BE312" s="25">
        <f t="shared" si="227"/>
        <v>32540.386121917923</v>
      </c>
      <c r="BF312" s="25">
        <f t="shared" si="228"/>
        <v>16766.868744738666</v>
      </c>
      <c r="BG312" s="25">
        <f t="shared" si="229"/>
        <v>0</v>
      </c>
      <c r="BI312" s="25"/>
      <c r="BJ312" s="25"/>
      <c r="BK312" s="25"/>
      <c r="BL312" s="25"/>
      <c r="BM312" s="25"/>
      <c r="BN312" s="25"/>
      <c r="BO312" s="25">
        <f t="shared" si="233"/>
        <v>58968.419082267894</v>
      </c>
      <c r="BP312" s="25">
        <f t="shared" si="234"/>
        <v>46425.01989156229</v>
      </c>
      <c r="BQ312" s="25">
        <f t="shared" si="235"/>
        <v>32540.386121917923</v>
      </c>
      <c r="BR312" s="25">
        <f t="shared" si="236"/>
        <v>16766.868744738666</v>
      </c>
      <c r="BS312" s="25">
        <f t="shared" si="237"/>
        <v>0</v>
      </c>
    </row>
    <row r="313" spans="1:71" x14ac:dyDescent="0.2">
      <c r="A313" s="29">
        <f t="shared" si="230"/>
        <v>3.049999999999979</v>
      </c>
      <c r="B313" s="30">
        <v>6.6597278518165395E-2</v>
      </c>
      <c r="C313" s="30">
        <v>6.9798904095979789E-2</v>
      </c>
      <c r="D313" s="30">
        <v>7.3180344011853943E-2</v>
      </c>
      <c r="E313" s="30">
        <v>7.6795046643390444E-2</v>
      </c>
      <c r="F313" s="30">
        <v>8.0631517936129812E-2</v>
      </c>
      <c r="G313" s="30">
        <v>8.4646396815267991E-2</v>
      </c>
      <c r="H313" s="30">
        <v>8.8792812781942426E-2</v>
      </c>
      <c r="I313" s="30">
        <v>9.303028932835368E-2</v>
      </c>
      <c r="J313" s="30">
        <v>9.7325432656099276E-2</v>
      </c>
      <c r="K313" s="30">
        <v>0.1016501023265817</v>
      </c>
      <c r="L313" s="30">
        <v>0.10597962089870529</v>
      </c>
      <c r="N313" s="1"/>
      <c r="O313" s="1"/>
      <c r="P313" s="1"/>
      <c r="Q313" s="1"/>
      <c r="R313" s="1"/>
      <c r="S313" s="1"/>
      <c r="T313" s="64">
        <f t="shared" si="205"/>
        <v>0.9565746899854336</v>
      </c>
      <c r="U313" s="66">
        <f t="shared" si="206"/>
        <v>0.91116590127499641</v>
      </c>
      <c r="V313" s="62">
        <f t="shared" si="238"/>
        <v>0.90726070582442597</v>
      </c>
      <c r="W313" s="68">
        <f t="shared" si="239"/>
        <v>0.85858022641366583</v>
      </c>
      <c r="Y313" s="24"/>
      <c r="Z313" s="24"/>
      <c r="AA313" s="24"/>
      <c r="AB313" s="24"/>
      <c r="AC313" s="24"/>
      <c r="AD313" s="24"/>
      <c r="AE313" s="24">
        <f t="shared" si="220"/>
        <v>9.303028932835368E-2</v>
      </c>
      <c r="AF313" s="24">
        <f t="shared" si="221"/>
        <v>9.7325432656099276E-2</v>
      </c>
      <c r="AG313" s="24">
        <f t="shared" si="222"/>
        <v>0.1016501023265817</v>
      </c>
      <c r="AH313" s="24">
        <f t="shared" si="223"/>
        <v>0.1059796208987053</v>
      </c>
      <c r="AL313" s="23">
        <f t="shared" si="209"/>
        <v>0</v>
      </c>
      <c r="AM313" s="23">
        <f t="shared" si="210"/>
        <v>0</v>
      </c>
      <c r="AN313" s="23">
        <f t="shared" si="211"/>
        <v>0</v>
      </c>
      <c r="AO313" s="23">
        <f t="shared" si="212"/>
        <v>0</v>
      </c>
      <c r="AP313" s="23">
        <f t="shared" si="213"/>
        <v>0</v>
      </c>
      <c r="AQ313" s="23">
        <f t="shared" si="214"/>
        <v>0</v>
      </c>
      <c r="AR313" s="23">
        <f t="shared" si="215"/>
        <v>12114.02423811942</v>
      </c>
      <c r="AS313" s="23">
        <f t="shared" si="216"/>
        <v>13495.763195137239</v>
      </c>
      <c r="AT313" s="23">
        <f t="shared" si="217"/>
        <v>15399.722695356937</v>
      </c>
      <c r="AU313" s="23">
        <f t="shared" si="218"/>
        <v>16432.046222768877</v>
      </c>
      <c r="AW313" s="25"/>
      <c r="AX313" s="25"/>
      <c r="AY313" s="25"/>
      <c r="AZ313" s="25"/>
      <c r="BA313" s="25"/>
      <c r="BB313" s="25"/>
      <c r="BC313" s="25">
        <f t="shared" si="225"/>
        <v>57441.556351382467</v>
      </c>
      <c r="BD313" s="25">
        <f t="shared" si="226"/>
        <v>45327.532113263049</v>
      </c>
      <c r="BE313" s="25">
        <f t="shared" si="227"/>
        <v>31831.768918125814</v>
      </c>
      <c r="BF313" s="25">
        <f t="shared" si="228"/>
        <v>16432.046222768877</v>
      </c>
      <c r="BG313" s="25">
        <f t="shared" si="229"/>
        <v>0</v>
      </c>
      <c r="BI313" s="25"/>
      <c r="BJ313" s="25"/>
      <c r="BK313" s="25"/>
      <c r="BL313" s="25"/>
      <c r="BM313" s="25"/>
      <c r="BN313" s="25"/>
      <c r="BO313" s="25">
        <f t="shared" si="233"/>
        <v>57441.556351382467</v>
      </c>
      <c r="BP313" s="25">
        <f t="shared" si="234"/>
        <v>45327.532113263049</v>
      </c>
      <c r="BQ313" s="25">
        <f t="shared" si="235"/>
        <v>31831.768918125814</v>
      </c>
      <c r="BR313" s="25">
        <f t="shared" si="236"/>
        <v>16432.046222768877</v>
      </c>
      <c r="BS313" s="25">
        <f t="shared" si="237"/>
        <v>0</v>
      </c>
    </row>
    <row r="314" spans="1:71" x14ac:dyDescent="0.2">
      <c r="A314" s="29">
        <f t="shared" si="230"/>
        <v>3.0599999999999787</v>
      </c>
      <c r="B314" s="30">
        <v>6.5623917486371322E-2</v>
      </c>
      <c r="C314" s="30">
        <v>6.8827431269590122E-2</v>
      </c>
      <c r="D314" s="30">
        <v>7.2211473067120044E-2</v>
      </c>
      <c r="E314" s="30">
        <v>7.5828223913638984E-2</v>
      </c>
      <c r="F314" s="30">
        <v>7.9665581091934556E-2</v>
      </c>
      <c r="G314" s="30">
        <v>8.3680139690186464E-2</v>
      </c>
      <c r="H314" s="30">
        <v>8.7825181566283467E-2</v>
      </c>
      <c r="I314" s="30">
        <v>9.206039487267853E-2</v>
      </c>
      <c r="J314" s="30">
        <v>9.6352512771283413E-2</v>
      </c>
      <c r="K314" s="30">
        <v>0.10067348517802549</v>
      </c>
      <c r="L314" s="30">
        <v>0.10499870180607417</v>
      </c>
      <c r="N314" s="1"/>
      <c r="O314" s="1"/>
      <c r="P314" s="1"/>
      <c r="Q314" s="1"/>
      <c r="R314" s="1"/>
      <c r="S314" s="1"/>
      <c r="T314" s="64">
        <f t="shared" si="205"/>
        <v>0.95703760772488711</v>
      </c>
      <c r="U314" s="66">
        <f t="shared" si="206"/>
        <v>0.91205006473415096</v>
      </c>
      <c r="V314" s="62">
        <f t="shared" si="238"/>
        <v>0.90814382733941434</v>
      </c>
      <c r="W314" s="68">
        <f t="shared" si="239"/>
        <v>0.85983890438222821</v>
      </c>
      <c r="Y314" s="24"/>
      <c r="Z314" s="24"/>
      <c r="AA314" s="24"/>
      <c r="AB314" s="24"/>
      <c r="AC314" s="24"/>
      <c r="AD314" s="24"/>
      <c r="AE314" s="24">
        <f t="shared" si="220"/>
        <v>9.2060394872678517E-2</v>
      </c>
      <c r="AF314" s="24">
        <f t="shared" si="221"/>
        <v>9.6352512771283413E-2</v>
      </c>
      <c r="AG314" s="24">
        <f t="shared" si="222"/>
        <v>0.10067348517802549</v>
      </c>
      <c r="AH314" s="24">
        <f t="shared" si="223"/>
        <v>0.10499870180607415</v>
      </c>
      <c r="AL314" s="23">
        <f t="shared" si="209"/>
        <v>0</v>
      </c>
      <c r="AM314" s="23">
        <f t="shared" si="210"/>
        <v>0</v>
      </c>
      <c r="AN314" s="23">
        <f t="shared" si="211"/>
        <v>0</v>
      </c>
      <c r="AO314" s="23">
        <f t="shared" si="212"/>
        <v>0</v>
      </c>
      <c r="AP314" s="23">
        <f t="shared" si="213"/>
        <v>0</v>
      </c>
      <c r="AQ314" s="23">
        <f t="shared" si="214"/>
        <v>0</v>
      </c>
      <c r="AR314" s="23">
        <f t="shared" si="215"/>
        <v>11655.773875356144</v>
      </c>
      <c r="AS314" s="23">
        <f t="shared" si="216"/>
        <v>13065.183188824478</v>
      </c>
      <c r="AT314" s="23">
        <f t="shared" si="217"/>
        <v>14971.258265066252</v>
      </c>
      <c r="AU314" s="23">
        <f t="shared" si="218"/>
        <v>16034.419391270638</v>
      </c>
      <c r="AW314" s="25"/>
      <c r="AX314" s="25"/>
      <c r="AY314" s="25"/>
      <c r="AZ314" s="25"/>
      <c r="BA314" s="25"/>
      <c r="BB314" s="25"/>
      <c r="BC314" s="25">
        <f t="shared" si="225"/>
        <v>55726.634720517512</v>
      </c>
      <c r="BD314" s="25">
        <f t="shared" si="226"/>
        <v>44070.860845161369</v>
      </c>
      <c r="BE314" s="25">
        <f t="shared" si="227"/>
        <v>31005.677656336891</v>
      </c>
      <c r="BF314" s="25">
        <f t="shared" si="228"/>
        <v>16034.419391270638</v>
      </c>
      <c r="BG314" s="25">
        <f t="shared" si="229"/>
        <v>0</v>
      </c>
      <c r="BI314" s="25"/>
      <c r="BJ314" s="25"/>
      <c r="BK314" s="25"/>
      <c r="BL314" s="25"/>
      <c r="BM314" s="25"/>
      <c r="BN314" s="25"/>
      <c r="BO314" s="25">
        <f t="shared" si="233"/>
        <v>55726.634720517512</v>
      </c>
      <c r="BP314" s="25">
        <f t="shared" si="234"/>
        <v>44070.860845161369</v>
      </c>
      <c r="BQ314" s="25">
        <f t="shared" si="235"/>
        <v>31005.677656336891</v>
      </c>
      <c r="BR314" s="25">
        <f t="shared" si="236"/>
        <v>16034.419391270638</v>
      </c>
      <c r="BS314" s="25">
        <f t="shared" si="237"/>
        <v>0</v>
      </c>
    </row>
    <row r="315" spans="1:71" x14ac:dyDescent="0.2">
      <c r="A315" s="29">
        <f t="shared" si="230"/>
        <v>3.0699999999999785</v>
      </c>
      <c r="B315" s="30">
        <v>6.4830103796328142E-2</v>
      </c>
      <c r="C315" s="30">
        <v>6.8073052561650596E-2</v>
      </c>
      <c r="D315" s="30">
        <v>7.149783726523426E-2</v>
      </c>
      <c r="E315" s="30">
        <v>7.5155285178932066E-2</v>
      </c>
      <c r="F315" s="30">
        <v>7.9032596625789653E-2</v>
      </c>
      <c r="G315" s="30">
        <v>8.308622718734214E-2</v>
      </c>
      <c r="H315" s="30">
        <v>8.7269511730795848E-2</v>
      </c>
      <c r="I315" s="30">
        <v>9.1542202721353647E-2</v>
      </c>
      <c r="J315" s="30">
        <v>9.5871059955622007E-2</v>
      </c>
      <c r="K315" s="30">
        <v>0.10022802364654423</v>
      </c>
      <c r="L315" s="30">
        <v>0.10458845083855749</v>
      </c>
      <c r="N315" s="1"/>
      <c r="O315" s="1"/>
      <c r="P315" s="1"/>
      <c r="Q315" s="1"/>
      <c r="R315" s="1"/>
      <c r="S315" s="1"/>
      <c r="T315" s="64">
        <f t="shared" si="205"/>
        <v>0.9573035431312672</v>
      </c>
      <c r="U315" s="66">
        <f t="shared" si="206"/>
        <v>0.9125228043937238</v>
      </c>
      <c r="V315" s="62">
        <f t="shared" si="238"/>
        <v>0.90858116101142861</v>
      </c>
      <c r="W315" s="68">
        <f t="shared" si="239"/>
        <v>0.8604136341085924</v>
      </c>
      <c r="Y315" s="24"/>
      <c r="Z315" s="24"/>
      <c r="AA315" s="24"/>
      <c r="AB315" s="24"/>
      <c r="AC315" s="24"/>
      <c r="AD315" s="24"/>
      <c r="AE315" s="24">
        <f t="shared" si="220"/>
        <v>9.1542202721353647E-2</v>
      </c>
      <c r="AF315" s="24">
        <f t="shared" si="221"/>
        <v>9.5871059955622007E-2</v>
      </c>
      <c r="AG315" s="24">
        <f t="shared" si="222"/>
        <v>0.10022802364654423</v>
      </c>
      <c r="AH315" s="24">
        <f t="shared" si="223"/>
        <v>0.10458845083855747</v>
      </c>
      <c r="AL315" s="23">
        <f t="shared" si="209"/>
        <v>0</v>
      </c>
      <c r="AM315" s="23">
        <f t="shared" si="210"/>
        <v>0</v>
      </c>
      <c r="AN315" s="23">
        <f t="shared" si="211"/>
        <v>0</v>
      </c>
      <c r="AO315" s="23">
        <f t="shared" si="212"/>
        <v>0</v>
      </c>
      <c r="AP315" s="23">
        <f t="shared" si="213"/>
        <v>0</v>
      </c>
      <c r="AQ315" s="23">
        <f t="shared" si="214"/>
        <v>0</v>
      </c>
      <c r="AR315" s="23">
        <f t="shared" si="215"/>
        <v>11410.97911499831</v>
      </c>
      <c r="AS315" s="23">
        <f t="shared" si="216"/>
        <v>12852.286881898068</v>
      </c>
      <c r="AT315" s="23">
        <f t="shared" si="217"/>
        <v>14776.098977205855</v>
      </c>
      <c r="AU315" s="23">
        <f t="shared" si="218"/>
        <v>15868.64428419829</v>
      </c>
      <c r="AW315" s="25"/>
      <c r="AX315" s="25"/>
      <c r="AY315" s="25"/>
      <c r="AZ315" s="25"/>
      <c r="BA315" s="25"/>
      <c r="BB315" s="25"/>
      <c r="BC315" s="25">
        <f t="shared" si="225"/>
        <v>54908.009258300517</v>
      </c>
      <c r="BD315" s="25">
        <f t="shared" si="226"/>
        <v>43497.03014330221</v>
      </c>
      <c r="BE315" s="25">
        <f t="shared" si="227"/>
        <v>30644.743261404146</v>
      </c>
      <c r="BF315" s="25">
        <f t="shared" si="228"/>
        <v>15868.64428419829</v>
      </c>
      <c r="BG315" s="25">
        <f t="shared" si="229"/>
        <v>0</v>
      </c>
      <c r="BI315" s="25"/>
      <c r="BJ315" s="25"/>
      <c r="BK315" s="25"/>
      <c r="BL315" s="25"/>
      <c r="BM315" s="25"/>
      <c r="BN315" s="25"/>
      <c r="BO315" s="25">
        <f t="shared" si="233"/>
        <v>54908.009258300517</v>
      </c>
      <c r="BP315" s="25">
        <f t="shared" si="234"/>
        <v>43497.03014330221</v>
      </c>
      <c r="BQ315" s="25">
        <f t="shared" si="235"/>
        <v>30644.743261404146</v>
      </c>
      <c r="BR315" s="25">
        <f t="shared" si="236"/>
        <v>15868.64428419829</v>
      </c>
      <c r="BS315" s="25">
        <f t="shared" si="237"/>
        <v>0</v>
      </c>
    </row>
    <row r="316" spans="1:71" x14ac:dyDescent="0.2">
      <c r="A316" s="29">
        <f t="shared" si="230"/>
        <v>3.0799999999999783</v>
      </c>
      <c r="B316" s="30">
        <v>6.5746233005499574E-2</v>
      </c>
      <c r="C316" s="30">
        <v>6.8940519915186099E-2</v>
      </c>
      <c r="D316" s="30">
        <v>7.2318725520699415E-2</v>
      </c>
      <c r="E316" s="30">
        <v>7.5930444746379888E-2</v>
      </c>
      <c r="F316" s="30">
        <v>7.9762300383843965E-2</v>
      </c>
      <c r="G316" s="30">
        <v>8.3770720637552129E-2</v>
      </c>
      <c r="H316" s="30">
        <v>8.7909201889347699E-2</v>
      </c>
      <c r="I316" s="30">
        <v>9.2137668442873091E-2</v>
      </c>
      <c r="J316" s="30">
        <v>9.6423014281926706E-2</v>
      </c>
      <c r="K316" s="30">
        <v>0.10073727773640359</v>
      </c>
      <c r="L316" s="30">
        <v>0.10505589123479221</v>
      </c>
      <c r="N316" s="1"/>
      <c r="O316" s="1"/>
      <c r="P316" s="1"/>
      <c r="Q316" s="1"/>
      <c r="R316" s="1"/>
      <c r="S316" s="1"/>
      <c r="T316" s="64">
        <f t="shared" si="205"/>
        <v>0.95699740326489802</v>
      </c>
      <c r="U316" s="66">
        <f t="shared" si="206"/>
        <v>0.91197959009240148</v>
      </c>
      <c r="V316" s="62">
        <f t="shared" si="238"/>
        <v>0.90807980408460021</v>
      </c>
      <c r="W316" s="68">
        <f t="shared" si="239"/>
        <v>0.8597566313333419</v>
      </c>
      <c r="Y316" s="24"/>
      <c r="Z316" s="24"/>
      <c r="AA316" s="24"/>
      <c r="AB316" s="24"/>
      <c r="AC316" s="24"/>
      <c r="AD316" s="24"/>
      <c r="AE316" s="24">
        <f t="shared" si="220"/>
        <v>9.2137668442873091E-2</v>
      </c>
      <c r="AF316" s="24">
        <f t="shared" si="221"/>
        <v>9.6423014281926706E-2</v>
      </c>
      <c r="AG316" s="24">
        <f t="shared" si="222"/>
        <v>0.10073727773640359</v>
      </c>
      <c r="AH316" s="24">
        <f t="shared" si="223"/>
        <v>0.10505589123479223</v>
      </c>
      <c r="AL316" s="23">
        <f t="shared" si="209"/>
        <v>0</v>
      </c>
      <c r="AM316" s="23">
        <f t="shared" si="210"/>
        <v>0</v>
      </c>
      <c r="AN316" s="23">
        <f t="shared" si="211"/>
        <v>0</v>
      </c>
      <c r="AO316" s="23">
        <f t="shared" si="212"/>
        <v>0</v>
      </c>
      <c r="AP316" s="23">
        <f t="shared" si="213"/>
        <v>0</v>
      </c>
      <c r="AQ316" s="23">
        <f t="shared" si="214"/>
        <v>0</v>
      </c>
      <c r="AR316" s="23">
        <f t="shared" si="215"/>
        <v>11692.25952770669</v>
      </c>
      <c r="AS316" s="23">
        <f t="shared" si="216"/>
        <v>13096.321603869354</v>
      </c>
      <c r="AT316" s="23">
        <f t="shared" si="217"/>
        <v>14999.167172905522</v>
      </c>
      <c r="AU316" s="23">
        <f t="shared" si="218"/>
        <v>16057.469645015353</v>
      </c>
      <c r="AW316" s="25"/>
      <c r="AX316" s="25"/>
      <c r="AY316" s="25"/>
      <c r="AZ316" s="25"/>
      <c r="BA316" s="25"/>
      <c r="BB316" s="25"/>
      <c r="BC316" s="25">
        <f t="shared" si="225"/>
        <v>55845.217949496917</v>
      </c>
      <c r="BD316" s="25">
        <f t="shared" si="226"/>
        <v>44152.95842179023</v>
      </c>
      <c r="BE316" s="25">
        <f t="shared" si="227"/>
        <v>31056.636817920873</v>
      </c>
      <c r="BF316" s="25">
        <f t="shared" si="228"/>
        <v>16057.469645015353</v>
      </c>
      <c r="BG316" s="25">
        <f t="shared" si="229"/>
        <v>0</v>
      </c>
      <c r="BI316" s="25"/>
      <c r="BJ316" s="25"/>
      <c r="BK316" s="25"/>
      <c r="BL316" s="25"/>
      <c r="BM316" s="25"/>
      <c r="BN316" s="25"/>
      <c r="BO316" s="25">
        <f t="shared" si="233"/>
        <v>55845.217949496917</v>
      </c>
      <c r="BP316" s="25">
        <f t="shared" si="234"/>
        <v>44152.95842179023</v>
      </c>
      <c r="BQ316" s="25">
        <f t="shared" si="235"/>
        <v>31056.636817920873</v>
      </c>
      <c r="BR316" s="25">
        <f t="shared" si="236"/>
        <v>16057.469645015353</v>
      </c>
      <c r="BS316" s="25">
        <f t="shared" si="237"/>
        <v>0</v>
      </c>
    </row>
    <row r="317" spans="1:71" x14ac:dyDescent="0.2">
      <c r="A317" s="29">
        <f t="shared" si="230"/>
        <v>3.0899999999999781</v>
      </c>
      <c r="B317" s="30">
        <v>6.5972465113436407E-2</v>
      </c>
      <c r="C317" s="30">
        <v>6.9153501524186145E-2</v>
      </c>
      <c r="D317" s="30">
        <v>7.2518702247041031E-2</v>
      </c>
      <c r="E317" s="30">
        <v>7.6116482432163013E-2</v>
      </c>
      <c r="F317" s="30">
        <v>7.9932937819838776E-2</v>
      </c>
      <c r="G317" s="30">
        <v>8.3924512492300929E-2</v>
      </c>
      <c r="H317" s="30">
        <v>8.8044904029518228E-2</v>
      </c>
      <c r="I317" s="30">
        <v>9.2254247297560155E-2</v>
      </c>
      <c r="J317" s="30">
        <v>9.6519609223024619E-2</v>
      </c>
      <c r="K317" s="30">
        <v>0.10081316527511286</v>
      </c>
      <c r="L317" s="30">
        <v>0.10511046251990863</v>
      </c>
      <c r="N317" s="1"/>
      <c r="O317" s="1"/>
      <c r="P317" s="1"/>
      <c r="Q317" s="1"/>
      <c r="R317" s="1"/>
      <c r="S317" s="1"/>
      <c r="T317" s="64">
        <f t="shared" si="205"/>
        <v>0.95693247216986477</v>
      </c>
      <c r="U317" s="66">
        <f t="shared" si="206"/>
        <v>0.91187327875323798</v>
      </c>
      <c r="V317" s="62">
        <f t="shared" si="238"/>
        <v>0.90799209240573286</v>
      </c>
      <c r="W317" s="68">
        <f t="shared" si="239"/>
        <v>0.85965876968134614</v>
      </c>
      <c r="Y317" s="24"/>
      <c r="Z317" s="24"/>
      <c r="AA317" s="24"/>
      <c r="AB317" s="24"/>
      <c r="AC317" s="24"/>
      <c r="AD317" s="24"/>
      <c r="AE317" s="24">
        <f t="shared" si="220"/>
        <v>9.2254247297560155E-2</v>
      </c>
      <c r="AF317" s="24">
        <f t="shared" si="221"/>
        <v>9.6519609223024619E-2</v>
      </c>
      <c r="AG317" s="24">
        <f t="shared" si="222"/>
        <v>0.10081316527511286</v>
      </c>
      <c r="AH317" s="24">
        <f t="shared" si="223"/>
        <v>0.10511046251990863</v>
      </c>
      <c r="AL317" s="23">
        <f t="shared" si="209"/>
        <v>0</v>
      </c>
      <c r="AM317" s="23">
        <f t="shared" si="210"/>
        <v>0</v>
      </c>
      <c r="AN317" s="23">
        <f t="shared" si="211"/>
        <v>0</v>
      </c>
      <c r="AO317" s="23">
        <f t="shared" si="212"/>
        <v>0</v>
      </c>
      <c r="AP317" s="23">
        <f t="shared" si="213"/>
        <v>0</v>
      </c>
      <c r="AQ317" s="23">
        <f t="shared" si="214"/>
        <v>0</v>
      </c>
      <c r="AR317" s="23">
        <f t="shared" si="215"/>
        <v>11747.245268108845</v>
      </c>
      <c r="AS317" s="23">
        <f t="shared" si="216"/>
        <v>13138.836111511293</v>
      </c>
      <c r="AT317" s="23">
        <f t="shared" si="217"/>
        <v>15032.171041739242</v>
      </c>
      <c r="AU317" s="23">
        <f t="shared" si="218"/>
        <v>16079.098248181932</v>
      </c>
      <c r="AW317" s="25"/>
      <c r="AX317" s="25"/>
      <c r="AY317" s="25"/>
      <c r="AZ317" s="25"/>
      <c r="BA317" s="25"/>
      <c r="BB317" s="25"/>
      <c r="BC317" s="25">
        <f t="shared" si="225"/>
        <v>55997.350669541316</v>
      </c>
      <c r="BD317" s="25">
        <f t="shared" si="226"/>
        <v>44250.105401432469</v>
      </c>
      <c r="BE317" s="25">
        <f t="shared" si="227"/>
        <v>31111.269289921176</v>
      </c>
      <c r="BF317" s="25">
        <f t="shared" si="228"/>
        <v>16079.098248181932</v>
      </c>
      <c r="BG317" s="25">
        <f t="shared" si="229"/>
        <v>0</v>
      </c>
      <c r="BI317" s="25"/>
      <c r="BJ317" s="25"/>
      <c r="BK317" s="25"/>
      <c r="BL317" s="25"/>
      <c r="BM317" s="25"/>
      <c r="BN317" s="25"/>
      <c r="BO317" s="25">
        <f t="shared" si="233"/>
        <v>55997.350669541316</v>
      </c>
      <c r="BP317" s="25">
        <f t="shared" si="234"/>
        <v>44250.105401432469</v>
      </c>
      <c r="BQ317" s="25">
        <f t="shared" si="235"/>
        <v>31111.269289921176</v>
      </c>
      <c r="BR317" s="25">
        <f t="shared" si="236"/>
        <v>16079.098248181932</v>
      </c>
      <c r="BS317" s="25">
        <f t="shared" si="237"/>
        <v>0</v>
      </c>
    </row>
    <row r="318" spans="1:71" x14ac:dyDescent="0.2">
      <c r="A318" s="29">
        <f t="shared" si="230"/>
        <v>3.0999999999999779</v>
      </c>
      <c r="B318" s="30">
        <v>6.6013202169089485E-2</v>
      </c>
      <c r="C318" s="30">
        <v>6.9276335506653033E-2</v>
      </c>
      <c r="D318" s="30">
        <v>7.2716800991659475E-2</v>
      </c>
      <c r="E318" s="30">
        <v>7.6382074117015655E-2</v>
      </c>
      <c r="F318" s="30">
        <v>8.0257961492726973E-2</v>
      </c>
      <c r="G318" s="30">
        <v>8.4301153847671548E-2</v>
      </c>
      <c r="H318" s="30">
        <v>8.846577720969602E-2</v>
      </c>
      <c r="I318" s="30">
        <v>9.271240331737074E-2</v>
      </c>
      <c r="J318" s="30">
        <v>9.7008498386489644E-2</v>
      </c>
      <c r="K318" s="30">
        <v>0.10132660163799233</v>
      </c>
      <c r="L318" s="30">
        <v>0.10564260161752703</v>
      </c>
      <c r="N318" s="1"/>
      <c r="O318" s="1"/>
      <c r="P318" s="1"/>
      <c r="Q318" s="1"/>
      <c r="R318" s="1"/>
      <c r="S318" s="1"/>
      <c r="T318" s="64">
        <f t="shared" si="205"/>
        <v>0.95673111975017733</v>
      </c>
      <c r="U318" s="66">
        <f t="shared" si="206"/>
        <v>0.91145559421092281</v>
      </c>
      <c r="V318" s="62">
        <f t="shared" si="238"/>
        <v>0.90754829340434451</v>
      </c>
      <c r="W318" s="68">
        <f t="shared" si="239"/>
        <v>0.8589969544560262</v>
      </c>
      <c r="Y318" s="24"/>
      <c r="Z318" s="24"/>
      <c r="AA318" s="24"/>
      <c r="AB318" s="24"/>
      <c r="AC318" s="24"/>
      <c r="AD318" s="24"/>
      <c r="AE318" s="24">
        <f t="shared" si="220"/>
        <v>9.271240331737074E-2</v>
      </c>
      <c r="AF318" s="24">
        <f t="shared" si="221"/>
        <v>9.7008498386489644E-2</v>
      </c>
      <c r="AG318" s="24">
        <f t="shared" si="222"/>
        <v>0.10132660163799233</v>
      </c>
      <c r="AH318" s="24">
        <f t="shared" si="223"/>
        <v>0.10564260161752703</v>
      </c>
      <c r="AL318" s="23">
        <f t="shared" si="209"/>
        <v>0</v>
      </c>
      <c r="AM318" s="23">
        <f t="shared" si="210"/>
        <v>0</v>
      </c>
      <c r="AN318" s="23">
        <f t="shared" si="211"/>
        <v>0</v>
      </c>
      <c r="AO318" s="23">
        <f t="shared" si="212"/>
        <v>0</v>
      </c>
      <c r="AP318" s="23">
        <f t="shared" si="213"/>
        <v>0</v>
      </c>
      <c r="AQ318" s="23">
        <f t="shared" si="214"/>
        <v>0</v>
      </c>
      <c r="AR318" s="23">
        <f t="shared" si="215"/>
        <v>11963.939538885188</v>
      </c>
      <c r="AS318" s="23">
        <f t="shared" si="216"/>
        <v>13355.61823490401</v>
      </c>
      <c r="AT318" s="23">
        <f t="shared" si="217"/>
        <v>15257.807919811612</v>
      </c>
      <c r="AU318" s="23">
        <f t="shared" si="218"/>
        <v>16295.27255703646</v>
      </c>
      <c r="AW318" s="25"/>
      <c r="AX318" s="25"/>
      <c r="AY318" s="25"/>
      <c r="AZ318" s="25"/>
      <c r="BA318" s="25"/>
      <c r="BB318" s="25"/>
      <c r="BC318" s="25">
        <f t="shared" si="225"/>
        <v>56872.638250637276</v>
      </c>
      <c r="BD318" s="25">
        <f t="shared" si="226"/>
        <v>44908.698711752077</v>
      </c>
      <c r="BE318" s="25">
        <f t="shared" si="227"/>
        <v>31553.080476848074</v>
      </c>
      <c r="BF318" s="25">
        <f t="shared" si="228"/>
        <v>16295.27255703646</v>
      </c>
      <c r="BG318" s="25">
        <f t="shared" si="229"/>
        <v>0</v>
      </c>
      <c r="BI318" s="25"/>
      <c r="BJ318" s="25"/>
      <c r="BK318" s="25"/>
      <c r="BL318" s="25"/>
      <c r="BM318" s="25"/>
      <c r="BN318" s="25"/>
      <c r="BO318" s="25">
        <f t="shared" si="233"/>
        <v>56872.638250637276</v>
      </c>
      <c r="BP318" s="25">
        <f t="shared" si="234"/>
        <v>44908.698711752077</v>
      </c>
      <c r="BQ318" s="25">
        <f t="shared" si="235"/>
        <v>31553.080476848074</v>
      </c>
      <c r="BR318" s="25">
        <f t="shared" si="236"/>
        <v>16295.27255703646</v>
      </c>
      <c r="BS318" s="25">
        <f t="shared" si="237"/>
        <v>0</v>
      </c>
    </row>
    <row r="319" spans="1:71" x14ac:dyDescent="0.2">
      <c r="A319" s="29">
        <f t="shared" si="230"/>
        <v>3.1099999999999777</v>
      </c>
      <c r="B319" s="30">
        <v>6.7559635139360114E-2</v>
      </c>
      <c r="C319" s="30">
        <v>7.0721988867250493E-2</v>
      </c>
      <c r="D319" s="30">
        <v>7.4071179302715617E-2</v>
      </c>
      <c r="E319" s="30">
        <v>7.7653162353863478E-2</v>
      </c>
      <c r="F319" s="30">
        <v>8.1452873277873469E-2</v>
      </c>
      <c r="G319" s="30">
        <v>8.542666014821064E-2</v>
      </c>
      <c r="H319" s="30">
        <v>8.9528484671008685E-2</v>
      </c>
      <c r="I319" s="30">
        <v>9.3718761767589531E-2</v>
      </c>
      <c r="J319" s="30">
        <v>9.796476329411076E-2</v>
      </c>
      <c r="K319" s="30">
        <v>0.10223879883972355</v>
      </c>
      <c r="L319" s="30">
        <v>0.10651650527400422</v>
      </c>
      <c r="N319" s="1"/>
      <c r="O319" s="1"/>
      <c r="P319" s="1"/>
      <c r="Q319" s="1"/>
      <c r="R319" s="1"/>
      <c r="S319" s="1"/>
      <c r="T319" s="64">
        <f t="shared" si="205"/>
        <v>0.95622289213673994</v>
      </c>
      <c r="U319" s="66">
        <f t="shared" si="206"/>
        <v>0.91053880455857006</v>
      </c>
      <c r="V319" s="62">
        <f t="shared" si="238"/>
        <v>0.90668085163755308</v>
      </c>
      <c r="W319" s="68">
        <f t="shared" si="239"/>
        <v>0.85782239628356305</v>
      </c>
      <c r="Y319" s="24"/>
      <c r="Z319" s="24"/>
      <c r="AA319" s="24"/>
      <c r="AB319" s="24"/>
      <c r="AC319" s="24"/>
      <c r="AD319" s="24"/>
      <c r="AE319" s="24">
        <f t="shared" si="220"/>
        <v>9.3718761767589531E-2</v>
      </c>
      <c r="AF319" s="24">
        <f t="shared" si="221"/>
        <v>9.796476329411076E-2</v>
      </c>
      <c r="AG319" s="24">
        <f t="shared" si="222"/>
        <v>0.10223879883972355</v>
      </c>
      <c r="AH319" s="24">
        <f t="shared" si="223"/>
        <v>0.10651650527400422</v>
      </c>
      <c r="AL319" s="23">
        <f t="shared" si="209"/>
        <v>0</v>
      </c>
      <c r="AM319" s="23">
        <f t="shared" si="210"/>
        <v>0</v>
      </c>
      <c r="AN319" s="23">
        <f t="shared" si="211"/>
        <v>0</v>
      </c>
      <c r="AO319" s="23">
        <f t="shared" si="212"/>
        <v>0</v>
      </c>
      <c r="AP319" s="23">
        <f t="shared" si="213"/>
        <v>0</v>
      </c>
      <c r="AQ319" s="23">
        <f t="shared" si="214"/>
        <v>0</v>
      </c>
      <c r="AR319" s="23">
        <f t="shared" si="215"/>
        <v>12438.73563750611</v>
      </c>
      <c r="AS319" s="23">
        <f t="shared" si="216"/>
        <v>13777.542609280776</v>
      </c>
      <c r="AT319" s="23">
        <f t="shared" si="217"/>
        <v>15656.760255365605</v>
      </c>
      <c r="AU319" s="23">
        <f t="shared" si="218"/>
        <v>16647.818115676331</v>
      </c>
      <c r="AW319" s="25"/>
      <c r="AX319" s="25"/>
      <c r="AY319" s="25"/>
      <c r="AZ319" s="25"/>
      <c r="BA319" s="25"/>
      <c r="BB319" s="25"/>
      <c r="BC319" s="25">
        <f t="shared" si="225"/>
        <v>58520.856617828824</v>
      </c>
      <c r="BD319" s="25">
        <f t="shared" si="226"/>
        <v>46082.12098032271</v>
      </c>
      <c r="BE319" s="25">
        <f t="shared" si="227"/>
        <v>32304.578371041935</v>
      </c>
      <c r="BF319" s="25">
        <f t="shared" si="228"/>
        <v>16647.818115676331</v>
      </c>
      <c r="BG319" s="25">
        <f t="shared" si="229"/>
        <v>0</v>
      </c>
      <c r="BI319" s="25"/>
      <c r="BJ319" s="25"/>
      <c r="BK319" s="25"/>
      <c r="BL319" s="25"/>
      <c r="BM319" s="25"/>
      <c r="BN319" s="25"/>
      <c r="BO319" s="25">
        <f t="shared" si="233"/>
        <v>58520.856617828824</v>
      </c>
      <c r="BP319" s="25">
        <f t="shared" si="234"/>
        <v>46082.12098032271</v>
      </c>
      <c r="BQ319" s="25">
        <f t="shared" si="235"/>
        <v>32304.578371041935</v>
      </c>
      <c r="BR319" s="25">
        <f t="shared" si="236"/>
        <v>16647.818115676331</v>
      </c>
      <c r="BS319" s="25">
        <f t="shared" si="237"/>
        <v>0</v>
      </c>
    </row>
    <row r="320" spans="1:71" x14ac:dyDescent="0.2">
      <c r="A320" s="29">
        <f t="shared" si="230"/>
        <v>3.1199999999999775</v>
      </c>
      <c r="B320" s="30">
        <v>6.6090720978135439E-2</v>
      </c>
      <c r="C320" s="30">
        <v>6.9355386523959658E-2</v>
      </c>
      <c r="D320" s="30">
        <v>7.2800875497767467E-2</v>
      </c>
      <c r="E320" s="30">
        <v>7.6472146846635933E-2</v>
      </c>
      <c r="F320" s="30">
        <v>8.0353784707995132E-2</v>
      </c>
      <c r="G320" s="30">
        <v>8.4402307725699482E-2</v>
      </c>
      <c r="H320" s="30">
        <v>8.8572023093387534E-2</v>
      </c>
      <c r="I320" s="30">
        <v>9.2823697823413417E-2</v>
      </c>
      <c r="J320" s="30">
        <v>9.7124918365983789E-2</v>
      </c>
      <c r="K320" s="30">
        <v>0.10144827389670417</v>
      </c>
      <c r="L320" s="30">
        <v>0.10576965905357104</v>
      </c>
      <c r="N320" s="1"/>
      <c r="O320" s="1"/>
      <c r="P320" s="1"/>
      <c r="Q320" s="1"/>
      <c r="R320" s="1"/>
      <c r="S320" s="1"/>
      <c r="T320" s="64">
        <f t="shared" si="205"/>
        <v>0.95668029672848698</v>
      </c>
      <c r="U320" s="66">
        <f t="shared" si="206"/>
        <v>0.91135415985543322</v>
      </c>
      <c r="V320" s="62">
        <f t="shared" si="238"/>
        <v>0.90744264280067621</v>
      </c>
      <c r="W320" s="68">
        <f t="shared" si="239"/>
        <v>0.85884019461194161</v>
      </c>
      <c r="Y320" s="24"/>
      <c r="Z320" s="24"/>
      <c r="AA320" s="24"/>
      <c r="AB320" s="24"/>
      <c r="AC320" s="24"/>
      <c r="AD320" s="24"/>
      <c r="AE320" s="24">
        <f t="shared" si="220"/>
        <v>9.2823697823413417E-2</v>
      </c>
      <c r="AF320" s="24">
        <f t="shared" si="221"/>
        <v>9.7124918365983789E-2</v>
      </c>
      <c r="AG320" s="24">
        <f t="shared" si="222"/>
        <v>0.10144827389670417</v>
      </c>
      <c r="AH320" s="24">
        <f t="shared" si="223"/>
        <v>0.10576965905357102</v>
      </c>
      <c r="AL320" s="23">
        <f t="shared" si="209"/>
        <v>0</v>
      </c>
      <c r="AM320" s="23">
        <f t="shared" si="210"/>
        <v>0</v>
      </c>
      <c r="AN320" s="23">
        <f t="shared" si="211"/>
        <v>0</v>
      </c>
      <c r="AO320" s="23">
        <f t="shared" si="212"/>
        <v>0</v>
      </c>
      <c r="AP320" s="23">
        <f t="shared" si="213"/>
        <v>0</v>
      </c>
      <c r="AQ320" s="23">
        <f t="shared" si="214"/>
        <v>0</v>
      </c>
      <c r="AR320" s="23">
        <f t="shared" si="215"/>
        <v>12016.540626634496</v>
      </c>
      <c r="AS320" s="23">
        <f t="shared" si="216"/>
        <v>13407.181826982192</v>
      </c>
      <c r="AT320" s="23">
        <f t="shared" si="217"/>
        <v>15311.237007522153</v>
      </c>
      <c r="AU320" s="23">
        <f t="shared" si="218"/>
        <v>16346.859821034051</v>
      </c>
      <c r="AW320" s="25"/>
      <c r="AX320" s="25"/>
      <c r="AY320" s="25"/>
      <c r="AZ320" s="25"/>
      <c r="BA320" s="25"/>
      <c r="BB320" s="25"/>
      <c r="BC320" s="25">
        <f t="shared" si="225"/>
        <v>57081.819282172895</v>
      </c>
      <c r="BD320" s="25">
        <f t="shared" si="226"/>
        <v>45065.278655538394</v>
      </c>
      <c r="BE320" s="25">
        <f t="shared" si="227"/>
        <v>31658.096828556205</v>
      </c>
      <c r="BF320" s="25">
        <f t="shared" si="228"/>
        <v>16346.859821034051</v>
      </c>
      <c r="BG320" s="25">
        <f t="shared" si="229"/>
        <v>0</v>
      </c>
      <c r="BI320" s="25"/>
      <c r="BJ320" s="25"/>
      <c r="BK320" s="25"/>
      <c r="BL320" s="25"/>
      <c r="BM320" s="25"/>
      <c r="BN320" s="25"/>
      <c r="BO320" s="25">
        <f t="shared" si="233"/>
        <v>57081.819282172895</v>
      </c>
      <c r="BP320" s="25">
        <f t="shared" si="234"/>
        <v>45065.278655538394</v>
      </c>
      <c r="BQ320" s="25">
        <f t="shared" si="235"/>
        <v>31658.096828556205</v>
      </c>
      <c r="BR320" s="25">
        <f t="shared" si="236"/>
        <v>16346.859821034051</v>
      </c>
      <c r="BS320" s="25">
        <f t="shared" si="237"/>
        <v>0</v>
      </c>
    </row>
    <row r="321" spans="1:71" x14ac:dyDescent="0.2">
      <c r="A321" s="29">
        <f t="shared" si="230"/>
        <v>3.1299999999999772</v>
      </c>
      <c r="B321" s="30">
        <v>6.662515045764586E-2</v>
      </c>
      <c r="C321" s="30">
        <v>6.9802699726740275E-2</v>
      </c>
      <c r="D321" s="30">
        <v>7.3171545567513124E-2</v>
      </c>
      <c r="E321" s="30">
        <v>7.6775072947561585E-2</v>
      </c>
      <c r="F321" s="30">
        <v>8.0596935383094676E-2</v>
      </c>
      <c r="G321" s="30">
        <v>8.4593235651423904E-2</v>
      </c>
      <c r="H321" s="30">
        <v>8.8718036630488648E-2</v>
      </c>
      <c r="I321" s="30">
        <v>9.2931866738461058E-2</v>
      </c>
      <c r="J321" s="30">
        <v>9.7202036384170368E-2</v>
      </c>
      <c r="K321" s="30">
        <v>0.10150082395804122</v>
      </c>
      <c r="L321" s="30">
        <v>0.10580379171946898</v>
      </c>
      <c r="N321" s="1"/>
      <c r="O321" s="1"/>
      <c r="P321" s="1"/>
      <c r="Q321" s="1"/>
      <c r="R321" s="1"/>
      <c r="S321" s="1"/>
      <c r="T321" s="64">
        <f t="shared" si="205"/>
        <v>0.9566104551409722</v>
      </c>
      <c r="U321" s="66">
        <f t="shared" si="206"/>
        <v>0.91125558499620141</v>
      </c>
      <c r="V321" s="62">
        <f t="shared" si="238"/>
        <v>0.90737266532074246</v>
      </c>
      <c r="W321" s="68">
        <f t="shared" si="239"/>
        <v>0.85877249912266995</v>
      </c>
      <c r="Y321" s="24"/>
      <c r="Z321" s="24"/>
      <c r="AA321" s="24"/>
      <c r="AB321" s="24"/>
      <c r="AC321" s="24"/>
      <c r="AD321" s="24"/>
      <c r="AE321" s="24">
        <f t="shared" si="220"/>
        <v>9.2931866738461058E-2</v>
      </c>
      <c r="AF321" s="24">
        <f t="shared" si="221"/>
        <v>9.7202036384170368E-2</v>
      </c>
      <c r="AG321" s="24">
        <f t="shared" si="222"/>
        <v>0.10150082395804122</v>
      </c>
      <c r="AH321" s="24">
        <f t="shared" si="223"/>
        <v>0.10580379171946899</v>
      </c>
      <c r="AL321" s="23">
        <f t="shared" si="209"/>
        <v>0</v>
      </c>
      <c r="AM321" s="23">
        <f t="shared" si="210"/>
        <v>0</v>
      </c>
      <c r="AN321" s="23">
        <f t="shared" si="211"/>
        <v>0</v>
      </c>
      <c r="AO321" s="23">
        <f t="shared" si="212"/>
        <v>0</v>
      </c>
      <c r="AP321" s="23">
        <f t="shared" si="213"/>
        <v>0</v>
      </c>
      <c r="AQ321" s="23">
        <f t="shared" si="214"/>
        <v>0</v>
      </c>
      <c r="AR321" s="23">
        <f t="shared" si="215"/>
        <v>12067.401127385336</v>
      </c>
      <c r="AS321" s="23">
        <f t="shared" si="216"/>
        <v>13440.868777490932</v>
      </c>
      <c r="AT321" s="23">
        <f t="shared" si="217"/>
        <v>15333.897525405469</v>
      </c>
      <c r="AU321" s="23">
        <f t="shared" si="218"/>
        <v>16360.227426485535</v>
      </c>
      <c r="AW321" s="25"/>
      <c r="AX321" s="25"/>
      <c r="AY321" s="25"/>
      <c r="AZ321" s="25"/>
      <c r="BA321" s="25"/>
      <c r="BB321" s="25"/>
      <c r="BC321" s="25">
        <f t="shared" si="225"/>
        <v>57202.394856767271</v>
      </c>
      <c r="BD321" s="25">
        <f t="shared" si="226"/>
        <v>45134.993729381938</v>
      </c>
      <c r="BE321" s="25">
        <f t="shared" si="227"/>
        <v>31694.124951891004</v>
      </c>
      <c r="BF321" s="25">
        <f t="shared" si="228"/>
        <v>16360.227426485535</v>
      </c>
      <c r="BG321" s="25">
        <f t="shared" si="229"/>
        <v>0</v>
      </c>
      <c r="BI321" s="25"/>
      <c r="BJ321" s="25"/>
      <c r="BK321" s="25"/>
      <c r="BL321" s="25"/>
      <c r="BM321" s="25"/>
      <c r="BN321" s="25"/>
      <c r="BO321" s="25">
        <f t="shared" si="233"/>
        <v>57202.394856767271</v>
      </c>
      <c r="BP321" s="25">
        <f t="shared" si="234"/>
        <v>45134.993729381938</v>
      </c>
      <c r="BQ321" s="25">
        <f t="shared" si="235"/>
        <v>31694.124951891004</v>
      </c>
      <c r="BR321" s="25">
        <f t="shared" si="236"/>
        <v>16360.227426485535</v>
      </c>
      <c r="BS321" s="25">
        <f t="shared" si="237"/>
        <v>0</v>
      </c>
    </row>
    <row r="322" spans="1:71" x14ac:dyDescent="0.2">
      <c r="A322" s="29">
        <f t="shared" si="230"/>
        <v>3.139999999999977</v>
      </c>
      <c r="B322" s="30">
        <v>6.7136454543062274E-2</v>
      </c>
      <c r="C322" s="30">
        <v>7.0276294722016297E-2</v>
      </c>
      <c r="D322" s="30">
        <v>7.3613996596006356E-2</v>
      </c>
      <c r="E322" s="30">
        <v>7.719151434587028E-2</v>
      </c>
      <c r="F322" s="30">
        <v>8.0991711487245002E-2</v>
      </c>
      <c r="G322" s="30">
        <v>8.4970408687471383E-2</v>
      </c>
      <c r="H322" s="30">
        <v>8.9081554948775343E-2</v>
      </c>
      <c r="I322" s="30">
        <v>9.328556967175855E-2</v>
      </c>
      <c r="J322" s="30">
        <v>9.7549616854552129E-2</v>
      </c>
      <c r="K322" s="30">
        <v>0.10184579399608686</v>
      </c>
      <c r="L322" s="30">
        <v>0.10614946109382853</v>
      </c>
      <c r="N322" s="1"/>
      <c r="O322" s="1"/>
      <c r="P322" s="1"/>
      <c r="Q322" s="1"/>
      <c r="R322" s="1"/>
      <c r="S322" s="1"/>
      <c r="T322" s="64">
        <f t="shared" si="205"/>
        <v>0.95643659822953975</v>
      </c>
      <c r="U322" s="66">
        <f t="shared" si="206"/>
        <v>0.91093332821774808</v>
      </c>
      <c r="V322" s="62">
        <f t="shared" si="238"/>
        <v>0.90705733510740527</v>
      </c>
      <c r="W322" s="68">
        <f t="shared" si="239"/>
        <v>0.85832823790264801</v>
      </c>
      <c r="Y322" s="24"/>
      <c r="Z322" s="24"/>
      <c r="AA322" s="24"/>
      <c r="AB322" s="24"/>
      <c r="AC322" s="24"/>
      <c r="AD322" s="24"/>
      <c r="AE322" s="24">
        <f t="shared" si="220"/>
        <v>9.3285569671758564E-2</v>
      </c>
      <c r="AF322" s="24">
        <f t="shared" si="221"/>
        <v>9.7549616854552129E-2</v>
      </c>
      <c r="AG322" s="24">
        <f t="shared" si="222"/>
        <v>0.10184579399608686</v>
      </c>
      <c r="AH322" s="24">
        <f t="shared" si="223"/>
        <v>0.10614946109382853</v>
      </c>
      <c r="AL322" s="23">
        <f t="shared" si="209"/>
        <v>0</v>
      </c>
      <c r="AM322" s="23">
        <f t="shared" si="210"/>
        <v>0</v>
      </c>
      <c r="AN322" s="23">
        <f t="shared" si="211"/>
        <v>0</v>
      </c>
      <c r="AO322" s="23">
        <f t="shared" si="212"/>
        <v>0</v>
      </c>
      <c r="AP322" s="23">
        <f t="shared" si="213"/>
        <v>0</v>
      </c>
      <c r="AQ322" s="23">
        <f t="shared" si="214"/>
        <v>0</v>
      </c>
      <c r="AR322" s="23">
        <f t="shared" si="215"/>
        <v>12234.355181176436</v>
      </c>
      <c r="AS322" s="23">
        <f t="shared" si="216"/>
        <v>13594.426860798409</v>
      </c>
      <c r="AT322" s="23">
        <f t="shared" si="217"/>
        <v>15485.022489945102</v>
      </c>
      <c r="AU322" s="23">
        <f t="shared" si="218"/>
        <v>16500.112826491717</v>
      </c>
      <c r="AW322" s="25"/>
      <c r="AX322" s="25"/>
      <c r="AY322" s="25"/>
      <c r="AZ322" s="25"/>
      <c r="BA322" s="25"/>
      <c r="BB322" s="25"/>
      <c r="BC322" s="25">
        <f t="shared" si="225"/>
        <v>57813.917358411665</v>
      </c>
      <c r="BD322" s="25">
        <f t="shared" si="226"/>
        <v>45579.562177235232</v>
      </c>
      <c r="BE322" s="25">
        <f t="shared" si="227"/>
        <v>31985.135316436819</v>
      </c>
      <c r="BF322" s="25">
        <f t="shared" si="228"/>
        <v>16500.112826491717</v>
      </c>
      <c r="BG322" s="25">
        <f t="shared" si="229"/>
        <v>0</v>
      </c>
      <c r="BI322" s="25"/>
      <c r="BJ322" s="25"/>
      <c r="BK322" s="25"/>
      <c r="BL322" s="25"/>
      <c r="BM322" s="25"/>
      <c r="BN322" s="25"/>
      <c r="BO322" s="25">
        <f t="shared" si="233"/>
        <v>57813.917358411665</v>
      </c>
      <c r="BP322" s="25">
        <f t="shared" si="234"/>
        <v>45579.562177235232</v>
      </c>
      <c r="BQ322" s="25">
        <f t="shared" si="235"/>
        <v>31985.135316436819</v>
      </c>
      <c r="BR322" s="25">
        <f t="shared" si="236"/>
        <v>16500.112826491717</v>
      </c>
      <c r="BS322" s="25">
        <f t="shared" si="237"/>
        <v>0</v>
      </c>
    </row>
    <row r="323" spans="1:71" x14ac:dyDescent="0.2">
      <c r="A323" s="29">
        <f t="shared" si="230"/>
        <v>3.1499999999999768</v>
      </c>
      <c r="B323" s="30">
        <v>6.8635422741724905E-2</v>
      </c>
      <c r="C323" s="30">
        <v>7.1706044026865992E-2</v>
      </c>
      <c r="D323" s="30">
        <v>7.4979692835945549E-2</v>
      </c>
      <c r="E323" s="30">
        <v>7.849703653975966E-2</v>
      </c>
      <c r="F323" s="30">
        <v>8.2240289972179137E-2</v>
      </c>
      <c r="G323" s="30">
        <v>8.6165126216253204E-2</v>
      </c>
      <c r="H323" s="30">
        <v>9.0225511656651103E-2</v>
      </c>
      <c r="I323" s="30">
        <v>9.4381887089535321E-2</v>
      </c>
      <c r="J323" s="30">
        <v>9.8601400573716899E-2</v>
      </c>
      <c r="K323" s="30">
        <v>0.10285609945021788</v>
      </c>
      <c r="L323" s="30">
        <v>0.10712127240952071</v>
      </c>
      <c r="N323" s="1"/>
      <c r="O323" s="1"/>
      <c r="P323" s="1"/>
      <c r="Q323" s="1"/>
      <c r="R323" s="1"/>
      <c r="S323" s="1"/>
      <c r="T323" s="64">
        <f t="shared" si="205"/>
        <v>0.95588969362214737</v>
      </c>
      <c r="U323" s="66">
        <f t="shared" si="206"/>
        <v>0.90993520337438649</v>
      </c>
      <c r="V323" s="62">
        <f t="shared" si="238"/>
        <v>0.90610380850976913</v>
      </c>
      <c r="W323" s="68">
        <f t="shared" si="239"/>
        <v>0.85702846247877318</v>
      </c>
      <c r="Y323" s="24"/>
      <c r="Z323" s="24"/>
      <c r="AA323" s="24"/>
      <c r="AB323" s="24"/>
      <c r="AC323" s="24"/>
      <c r="AD323" s="24"/>
      <c r="AE323" s="24">
        <f t="shared" si="220"/>
        <v>9.4381887089535321E-2</v>
      </c>
      <c r="AF323" s="24">
        <f t="shared" si="221"/>
        <v>9.8601400573716899E-2</v>
      </c>
      <c r="AG323" s="24">
        <f t="shared" si="222"/>
        <v>0.10285609945021788</v>
      </c>
      <c r="AH323" s="24">
        <f t="shared" si="223"/>
        <v>0.10712127240952071</v>
      </c>
      <c r="AL323" s="23">
        <f t="shared" si="209"/>
        <v>0</v>
      </c>
      <c r="AM323" s="23">
        <f t="shared" si="210"/>
        <v>0</v>
      </c>
      <c r="AN323" s="23">
        <f t="shared" si="211"/>
        <v>0</v>
      </c>
      <c r="AO323" s="23">
        <f t="shared" si="212"/>
        <v>0</v>
      </c>
      <c r="AP323" s="23">
        <f t="shared" si="213"/>
        <v>0</v>
      </c>
      <c r="AQ323" s="23">
        <f t="shared" si="214"/>
        <v>0</v>
      </c>
      <c r="AR323" s="23">
        <f t="shared" si="215"/>
        <v>12751.338656043683</v>
      </c>
      <c r="AS323" s="23">
        <f t="shared" si="216"/>
        <v>14058.058736715138</v>
      </c>
      <c r="AT323" s="23">
        <f t="shared" si="217"/>
        <v>15926.464967415592</v>
      </c>
      <c r="AU323" s="23">
        <f t="shared" si="218"/>
        <v>16891.561511995042</v>
      </c>
      <c r="AW323" s="25"/>
      <c r="AX323" s="25"/>
      <c r="AY323" s="25"/>
      <c r="AZ323" s="25"/>
      <c r="BA323" s="25"/>
      <c r="BB323" s="25"/>
      <c r="BC323" s="25">
        <f t="shared" si="225"/>
        <v>59627.423872169456</v>
      </c>
      <c r="BD323" s="25">
        <f t="shared" si="226"/>
        <v>46876.085216125772</v>
      </c>
      <c r="BE323" s="25">
        <f t="shared" si="227"/>
        <v>32818.026479410633</v>
      </c>
      <c r="BF323" s="25">
        <f t="shared" si="228"/>
        <v>16891.561511995042</v>
      </c>
      <c r="BG323" s="25">
        <f t="shared" si="229"/>
        <v>0</v>
      </c>
      <c r="BI323" s="25"/>
      <c r="BJ323" s="25"/>
      <c r="BK323" s="25"/>
      <c r="BL323" s="25"/>
      <c r="BM323" s="25"/>
      <c r="BN323" s="25"/>
      <c r="BO323" s="25">
        <f t="shared" si="233"/>
        <v>59627.423872169456</v>
      </c>
      <c r="BP323" s="25">
        <f t="shared" si="234"/>
        <v>46876.085216125772</v>
      </c>
      <c r="BQ323" s="25">
        <f t="shared" si="235"/>
        <v>32818.026479410633</v>
      </c>
      <c r="BR323" s="25">
        <f t="shared" si="236"/>
        <v>16891.561511995042</v>
      </c>
      <c r="BS323" s="25">
        <f t="shared" si="237"/>
        <v>0</v>
      </c>
    </row>
    <row r="324" spans="1:71" x14ac:dyDescent="0.2">
      <c r="A324" s="29">
        <f t="shared" si="230"/>
        <v>3.1599999999999766</v>
      </c>
      <c r="B324" s="30">
        <v>6.793467499712269E-2</v>
      </c>
      <c r="C324" s="30">
        <v>7.0947925824787789E-2</v>
      </c>
      <c r="D324" s="30">
        <v>7.417472462589611E-2</v>
      </c>
      <c r="E324" s="30">
        <v>7.7654144990157895E-2</v>
      </c>
      <c r="F324" s="30">
        <v>8.1367443358017599E-2</v>
      </c>
      <c r="G324" s="30">
        <v>8.5269828793957864E-2</v>
      </c>
      <c r="H324" s="30">
        <v>8.9314965411743899E-2</v>
      </c>
      <c r="I324" s="30">
        <v>9.3462994922791739E-2</v>
      </c>
      <c r="J324" s="30">
        <v>9.7680729028610899E-2</v>
      </c>
      <c r="K324" s="30">
        <v>0.1019398447557235</v>
      </c>
      <c r="L324" s="30">
        <v>0.10621523955078067</v>
      </c>
      <c r="N324" s="1"/>
      <c r="O324" s="1"/>
      <c r="P324" s="1"/>
      <c r="Q324" s="1"/>
      <c r="R324" s="1"/>
      <c r="S324" s="1"/>
      <c r="T324" s="64">
        <f t="shared" ref="T324:T358" si="240">EXP(-H324*($T$7-$S$7))</f>
        <v>0.95632498358807627</v>
      </c>
      <c r="U324" s="66">
        <f t="shared" ref="U324:U357" si="241">EXP(-I324*($U$7-$S$7))</f>
        <v>0.91077171998042949</v>
      </c>
      <c r="V324" s="62">
        <f t="shared" si="238"/>
        <v>0.90693841664420294</v>
      </c>
      <c r="W324" s="68">
        <f t="shared" si="239"/>
        <v>0.85820715680948689</v>
      </c>
      <c r="Y324" s="24"/>
      <c r="Z324" s="24"/>
      <c r="AA324" s="24"/>
      <c r="AB324" s="24"/>
      <c r="AC324" s="24"/>
      <c r="AD324" s="24"/>
      <c r="AE324" s="24">
        <f t="shared" si="220"/>
        <v>9.3462994922791739E-2</v>
      </c>
      <c r="AF324" s="24">
        <f t="shared" si="221"/>
        <v>9.7680729028610899E-2</v>
      </c>
      <c r="AG324" s="24">
        <f t="shared" si="222"/>
        <v>0.1019398447557235</v>
      </c>
      <c r="AH324" s="24">
        <f t="shared" si="223"/>
        <v>0.10621523955078067</v>
      </c>
      <c r="AL324" s="23">
        <f t="shared" si="209"/>
        <v>0</v>
      </c>
      <c r="AM324" s="23">
        <f t="shared" si="210"/>
        <v>0</v>
      </c>
      <c r="AN324" s="23">
        <f t="shared" si="211"/>
        <v>0</v>
      </c>
      <c r="AO324" s="23">
        <f t="shared" si="212"/>
        <v>0</v>
      </c>
      <c r="AP324" s="23">
        <f t="shared" si="213"/>
        <v>0</v>
      </c>
      <c r="AQ324" s="23">
        <f t="shared" si="214"/>
        <v>0</v>
      </c>
      <c r="AR324" s="23">
        <f t="shared" si="215"/>
        <v>12317.765551377559</v>
      </c>
      <c r="AS324" s="23">
        <f t="shared" si="216"/>
        <v>13651.721710300639</v>
      </c>
      <c r="AT324" s="23">
        <f t="shared" si="217"/>
        <v>15525.641471586683</v>
      </c>
      <c r="AU324" s="23">
        <f t="shared" si="218"/>
        <v>16526.01098972253</v>
      </c>
      <c r="AW324" s="25"/>
      <c r="AX324" s="25"/>
      <c r="AY324" s="25"/>
      <c r="AZ324" s="25"/>
      <c r="BA324" s="25"/>
      <c r="BB324" s="25"/>
      <c r="BC324" s="25">
        <f t="shared" si="225"/>
        <v>58021.139722987413</v>
      </c>
      <c r="BD324" s="25">
        <f t="shared" si="226"/>
        <v>45703.374171609852</v>
      </c>
      <c r="BE324" s="25">
        <f t="shared" si="227"/>
        <v>32051.652461309212</v>
      </c>
      <c r="BF324" s="25">
        <f t="shared" si="228"/>
        <v>16526.01098972253</v>
      </c>
      <c r="BG324" s="25">
        <f t="shared" si="229"/>
        <v>0</v>
      </c>
      <c r="BI324" s="25"/>
      <c r="BJ324" s="25"/>
      <c r="BK324" s="25"/>
      <c r="BL324" s="25"/>
      <c r="BM324" s="25"/>
      <c r="BN324" s="25"/>
      <c r="BO324" s="25">
        <f t="shared" si="233"/>
        <v>58021.139722987413</v>
      </c>
      <c r="BP324" s="25">
        <f t="shared" si="234"/>
        <v>45703.374171609852</v>
      </c>
      <c r="BQ324" s="25">
        <f t="shared" si="235"/>
        <v>32051.652461309212</v>
      </c>
      <c r="BR324" s="25">
        <f t="shared" si="236"/>
        <v>16526.01098972253</v>
      </c>
      <c r="BS324" s="25">
        <f t="shared" si="237"/>
        <v>0</v>
      </c>
    </row>
    <row r="325" spans="1:71" x14ac:dyDescent="0.2">
      <c r="A325" s="29">
        <f t="shared" si="230"/>
        <v>3.1699999999999764</v>
      </c>
      <c r="B325" s="30">
        <v>6.7595986263441279E-2</v>
      </c>
      <c r="C325" s="30">
        <v>7.0511774955332923E-2</v>
      </c>
      <c r="D325" s="30">
        <v>7.3649883741486954E-2</v>
      </c>
      <c r="E325" s="30">
        <v>7.7047970564759885E-2</v>
      </c>
      <c r="F325" s="30">
        <v>8.0686508786145889E-2</v>
      </c>
      <c r="G325" s="30">
        <v>8.4520412112993201E-2</v>
      </c>
      <c r="H325" s="30">
        <v>8.8503207878365076E-2</v>
      </c>
      <c r="I325" s="30">
        <v>9.2594903389958891E-2</v>
      </c>
      <c r="J325" s="30">
        <v>9.6762138739317535E-2</v>
      </c>
      <c r="K325" s="30">
        <v>0.10097638564635557</v>
      </c>
      <c r="L325" s="30">
        <v>0.10521231553991638</v>
      </c>
      <c r="N325" s="1"/>
      <c r="O325" s="1"/>
      <c r="P325" s="1"/>
      <c r="Q325" s="1"/>
      <c r="R325" s="1"/>
      <c r="S325" s="1"/>
      <c r="T325" s="64">
        <f t="shared" si="240"/>
        <v>0.95671321437495604</v>
      </c>
      <c r="U325" s="66">
        <f t="shared" si="241"/>
        <v>0.91156269646921229</v>
      </c>
      <c r="V325" s="62">
        <f t="shared" si="238"/>
        <v>0.90777190422490961</v>
      </c>
      <c r="W325" s="68">
        <f t="shared" si="239"/>
        <v>0.85944832470878318</v>
      </c>
      <c r="Y325" s="24"/>
      <c r="Z325" s="24"/>
      <c r="AA325" s="24"/>
      <c r="AB325" s="24"/>
      <c r="AC325" s="24"/>
      <c r="AD325" s="24"/>
      <c r="AE325" s="24">
        <f t="shared" si="220"/>
        <v>9.2594903389958891E-2</v>
      </c>
      <c r="AF325" s="24">
        <f t="shared" si="221"/>
        <v>9.6762138739317535E-2</v>
      </c>
      <c r="AG325" s="24">
        <f t="shared" si="222"/>
        <v>0.10097638564635557</v>
      </c>
      <c r="AH325" s="24">
        <f t="shared" si="223"/>
        <v>0.10521231553991636</v>
      </c>
      <c r="AL325" s="23">
        <f t="shared" si="209"/>
        <v>0</v>
      </c>
      <c r="AM325" s="23">
        <f t="shared" si="210"/>
        <v>0</v>
      </c>
      <c r="AN325" s="23">
        <f t="shared" si="211"/>
        <v>0</v>
      </c>
      <c r="AO325" s="23">
        <f t="shared" si="212"/>
        <v>0</v>
      </c>
      <c r="AP325" s="23">
        <f t="shared" si="213"/>
        <v>0</v>
      </c>
      <c r="AQ325" s="23">
        <f t="shared" si="214"/>
        <v>0</v>
      </c>
      <c r="AR325" s="23">
        <f t="shared" si="215"/>
        <v>11907.508765230506</v>
      </c>
      <c r="AS325" s="23">
        <f t="shared" si="216"/>
        <v>13244.901479137447</v>
      </c>
      <c r="AT325" s="23">
        <f t="shared" si="217"/>
        <v>15102.609172237968</v>
      </c>
      <c r="AU325" s="23">
        <f t="shared" si="218"/>
        <v>16118.930779177386</v>
      </c>
      <c r="AW325" s="25"/>
      <c r="AX325" s="25"/>
      <c r="AY325" s="25"/>
      <c r="AZ325" s="25"/>
      <c r="BA325" s="25"/>
      <c r="BB325" s="25"/>
      <c r="BC325" s="25">
        <f t="shared" si="225"/>
        <v>56373.950195783313</v>
      </c>
      <c r="BD325" s="25">
        <f t="shared" si="226"/>
        <v>44466.441430552804</v>
      </c>
      <c r="BE325" s="25">
        <f t="shared" si="227"/>
        <v>31221.539951415354</v>
      </c>
      <c r="BF325" s="25">
        <f t="shared" si="228"/>
        <v>16118.930779177386</v>
      </c>
      <c r="BG325" s="25">
        <f t="shared" si="229"/>
        <v>0</v>
      </c>
      <c r="BI325" s="25"/>
      <c r="BJ325" s="25"/>
      <c r="BK325" s="25"/>
      <c r="BL325" s="25"/>
      <c r="BM325" s="25"/>
      <c r="BN325" s="25"/>
      <c r="BO325" s="25">
        <f t="shared" si="233"/>
        <v>56373.950195783313</v>
      </c>
      <c r="BP325" s="25">
        <f t="shared" si="234"/>
        <v>44466.441430552804</v>
      </c>
      <c r="BQ325" s="25">
        <f t="shared" si="235"/>
        <v>31221.539951415354</v>
      </c>
      <c r="BR325" s="25">
        <f t="shared" si="236"/>
        <v>16118.930779177386</v>
      </c>
      <c r="BS325" s="25">
        <f t="shared" si="237"/>
        <v>0</v>
      </c>
    </row>
    <row r="326" spans="1:71" x14ac:dyDescent="0.2">
      <c r="A326" s="29">
        <f t="shared" si="230"/>
        <v>3.1799999999999762</v>
      </c>
      <c r="B326" s="30">
        <v>6.6025517256285721E-2</v>
      </c>
      <c r="C326" s="30">
        <v>6.8931510521519745E-2</v>
      </c>
      <c r="D326" s="30">
        <v>7.2069644923620294E-2</v>
      </c>
      <c r="E326" s="30">
        <v>7.5475963673869439E-2</v>
      </c>
      <c r="F326" s="30">
        <v>7.9129955072188646E-2</v>
      </c>
      <c r="G326" s="30">
        <v>8.2986028904251621E-2</v>
      </c>
      <c r="H326" s="30">
        <v>8.6997364033890537E-2</v>
      </c>
      <c r="I326" s="30">
        <v>9.1123620884890399E-2</v>
      </c>
      <c r="J326" s="30">
        <v>9.5331055528825898E-2</v>
      </c>
      <c r="K326" s="30">
        <v>9.9590722228711223E-2</v>
      </c>
      <c r="L326" s="30">
        <v>0.10387685446181458</v>
      </c>
      <c r="N326" s="1"/>
      <c r="O326" s="1"/>
      <c r="P326" s="1"/>
      <c r="Q326" s="1"/>
      <c r="R326" s="1"/>
      <c r="S326" s="1"/>
      <c r="T326" s="64">
        <f t="shared" si="240"/>
        <v>0.95743381597168087</v>
      </c>
      <c r="U326" s="66">
        <f t="shared" si="241"/>
        <v>0.91290484981806097</v>
      </c>
      <c r="V326" s="62">
        <f t="shared" si="238"/>
        <v>0.9090719313576322</v>
      </c>
      <c r="W326" s="68">
        <f t="shared" si="239"/>
        <v>0.86123654161942786</v>
      </c>
      <c r="Y326" s="24"/>
      <c r="Z326" s="24"/>
      <c r="AA326" s="24"/>
      <c r="AB326" s="24"/>
      <c r="AC326" s="24"/>
      <c r="AD326" s="24"/>
      <c r="AE326" s="24">
        <f t="shared" si="220"/>
        <v>9.1123620884890386E-2</v>
      </c>
      <c r="AF326" s="24">
        <f t="shared" si="221"/>
        <v>9.5331055528825898E-2</v>
      </c>
      <c r="AG326" s="24">
        <f t="shared" si="222"/>
        <v>9.9590722228711223E-2</v>
      </c>
      <c r="AH326" s="24">
        <f t="shared" si="223"/>
        <v>0.10387685446181458</v>
      </c>
      <c r="AL326" s="23">
        <f t="shared" si="209"/>
        <v>0</v>
      </c>
      <c r="AM326" s="23">
        <f t="shared" si="210"/>
        <v>0</v>
      </c>
      <c r="AN326" s="23">
        <f t="shared" si="211"/>
        <v>0</v>
      </c>
      <c r="AO326" s="23">
        <f t="shared" si="212"/>
        <v>0</v>
      </c>
      <c r="AP326" s="23">
        <f t="shared" si="213"/>
        <v>0</v>
      </c>
      <c r="AQ326" s="23">
        <f t="shared" si="214"/>
        <v>0</v>
      </c>
      <c r="AR326" s="23">
        <f t="shared" si="215"/>
        <v>11212.149753998538</v>
      </c>
      <c r="AS326" s="23">
        <f t="shared" si="216"/>
        <v>12611.181411757701</v>
      </c>
      <c r="AT326" s="23">
        <f t="shared" si="217"/>
        <v>14494.403875459515</v>
      </c>
      <c r="AU326" s="23">
        <f t="shared" si="218"/>
        <v>15577.394800230322</v>
      </c>
      <c r="AW326" s="25"/>
      <c r="AX326" s="25"/>
      <c r="AY326" s="25"/>
      <c r="AZ326" s="25"/>
      <c r="BA326" s="25"/>
      <c r="BB326" s="25"/>
      <c r="BC326" s="25">
        <f t="shared" si="225"/>
        <v>53895.129841446076</v>
      </c>
      <c r="BD326" s="25">
        <f t="shared" si="226"/>
        <v>42682.98008744754</v>
      </c>
      <c r="BE326" s="25">
        <f t="shared" si="227"/>
        <v>30071.798675689839</v>
      </c>
      <c r="BF326" s="25">
        <f t="shared" si="228"/>
        <v>15577.394800230322</v>
      </c>
      <c r="BG326" s="25">
        <f t="shared" si="229"/>
        <v>0</v>
      </c>
      <c r="BI326" s="25"/>
      <c r="BJ326" s="25"/>
      <c r="BK326" s="25"/>
      <c r="BL326" s="25"/>
      <c r="BM326" s="25"/>
      <c r="BN326" s="25"/>
      <c r="BO326" s="25">
        <f t="shared" si="233"/>
        <v>53895.129841446076</v>
      </c>
      <c r="BP326" s="25">
        <f t="shared" si="234"/>
        <v>42682.98008744754</v>
      </c>
      <c r="BQ326" s="25">
        <f t="shared" si="235"/>
        <v>30071.798675689839</v>
      </c>
      <c r="BR326" s="25">
        <f t="shared" si="236"/>
        <v>15577.394800230322</v>
      </c>
      <c r="BS326" s="25">
        <f t="shared" si="237"/>
        <v>0</v>
      </c>
    </row>
    <row r="327" spans="1:71" x14ac:dyDescent="0.2">
      <c r="A327" s="29">
        <f t="shared" si="230"/>
        <v>3.189999999999976</v>
      </c>
      <c r="B327" s="30">
        <v>6.7154797103859437E-2</v>
      </c>
      <c r="C327" s="30">
        <v>6.9898546502420458E-2</v>
      </c>
      <c r="D327" s="30">
        <v>7.2889241192134926E-2</v>
      </c>
      <c r="E327" s="30">
        <v>7.6161308039915804E-2</v>
      </c>
      <c r="F327" s="30">
        <v>7.9693245701195126E-2</v>
      </c>
      <c r="G327" s="30">
        <v>8.343894894281631E-2</v>
      </c>
      <c r="H327" s="30">
        <v>8.7351233984882121E-2</v>
      </c>
      <c r="I327" s="30">
        <v>9.1389399418339429E-2</v>
      </c>
      <c r="J327" s="30">
        <v>9.5519302419851404E-2</v>
      </c>
      <c r="K327" s="30">
        <v>9.9711565179433706E-2</v>
      </c>
      <c r="L327" s="30">
        <v>0.10393996882160647</v>
      </c>
      <c r="N327" s="1"/>
      <c r="O327" s="1"/>
      <c r="P327" s="1"/>
      <c r="Q327" s="1"/>
      <c r="R327" s="1"/>
      <c r="S327" s="1"/>
      <c r="T327" s="64">
        <f t="shared" si="240"/>
        <v>0.95726442742873374</v>
      </c>
      <c r="U327" s="66">
        <f t="shared" si="241"/>
        <v>0.91266225154603231</v>
      </c>
      <c r="V327" s="62">
        <f t="shared" si="238"/>
        <v>0.90890081749916674</v>
      </c>
      <c r="W327" s="68">
        <f t="shared" si="239"/>
        <v>0.86108044421986907</v>
      </c>
      <c r="Y327" s="24"/>
      <c r="Z327" s="24"/>
      <c r="AA327" s="24"/>
      <c r="AB327" s="24"/>
      <c r="AC327" s="24"/>
      <c r="AD327" s="24"/>
      <c r="AE327" s="24">
        <f t="shared" si="220"/>
        <v>9.1389399418339429E-2</v>
      </c>
      <c r="AF327" s="24">
        <f t="shared" si="221"/>
        <v>9.5519302419851404E-2</v>
      </c>
      <c r="AG327" s="24">
        <f t="shared" si="222"/>
        <v>9.9711565179433706E-2</v>
      </c>
      <c r="AH327" s="24">
        <f t="shared" si="223"/>
        <v>0.10393996882160647</v>
      </c>
      <c r="AL327" s="23">
        <f t="shared" si="209"/>
        <v>0</v>
      </c>
      <c r="AM327" s="23">
        <f t="shared" si="210"/>
        <v>0</v>
      </c>
      <c r="AN327" s="23">
        <f t="shared" si="211"/>
        <v>0</v>
      </c>
      <c r="AO327" s="23">
        <f t="shared" si="212"/>
        <v>0</v>
      </c>
      <c r="AP327" s="23">
        <f t="shared" si="213"/>
        <v>0</v>
      </c>
      <c r="AQ327" s="23">
        <f t="shared" si="214"/>
        <v>0</v>
      </c>
      <c r="AR327" s="23">
        <f t="shared" si="215"/>
        <v>11337.376275872379</v>
      </c>
      <c r="AS327" s="23">
        <f t="shared" si="216"/>
        <v>12693.732991538265</v>
      </c>
      <c r="AT327" s="23">
        <f t="shared" si="217"/>
        <v>14546.592734145228</v>
      </c>
      <c r="AU327" s="23">
        <f t="shared" si="218"/>
        <v>15601.744699081257</v>
      </c>
      <c r="AW327" s="25"/>
      <c r="AX327" s="25"/>
      <c r="AY327" s="25"/>
      <c r="AZ327" s="25"/>
      <c r="BA327" s="25"/>
      <c r="BB327" s="25"/>
      <c r="BC327" s="25">
        <f t="shared" si="225"/>
        <v>54179.446700637127</v>
      </c>
      <c r="BD327" s="25">
        <f t="shared" si="226"/>
        <v>42842.070424764752</v>
      </c>
      <c r="BE327" s="25">
        <f t="shared" si="227"/>
        <v>30148.337433226487</v>
      </c>
      <c r="BF327" s="25">
        <f t="shared" si="228"/>
        <v>15601.744699081257</v>
      </c>
      <c r="BG327" s="25">
        <f t="shared" si="229"/>
        <v>0</v>
      </c>
      <c r="BI327" s="25"/>
      <c r="BJ327" s="25"/>
      <c r="BK327" s="25"/>
      <c r="BL327" s="25"/>
      <c r="BM327" s="25"/>
      <c r="BN327" s="25"/>
      <c r="BO327" s="25">
        <f t="shared" si="233"/>
        <v>54179.446700637127</v>
      </c>
      <c r="BP327" s="25">
        <f t="shared" si="234"/>
        <v>42842.070424764752</v>
      </c>
      <c r="BQ327" s="25">
        <f t="shared" si="235"/>
        <v>30148.337433226487</v>
      </c>
      <c r="BR327" s="25">
        <f t="shared" si="236"/>
        <v>15601.744699081257</v>
      </c>
      <c r="BS327" s="25">
        <f t="shared" si="237"/>
        <v>0</v>
      </c>
    </row>
    <row r="328" spans="1:71" x14ac:dyDescent="0.2">
      <c r="A328" s="29">
        <f t="shared" si="230"/>
        <v>3.1999999999999758</v>
      </c>
      <c r="B328" s="30">
        <v>6.6877889581949068E-2</v>
      </c>
      <c r="C328" s="30">
        <v>6.9605387483746659E-2</v>
      </c>
      <c r="D328" s="30">
        <v>7.2583792045861378E-2</v>
      </c>
      <c r="E328" s="30">
        <v>7.584627501553233E-2</v>
      </c>
      <c r="F328" s="30">
        <v>7.9370703586912922E-2</v>
      </c>
      <c r="G328" s="30">
        <v>8.3110809246215875E-2</v>
      </c>
      <c r="H328" s="30">
        <v>8.7019394276730014E-2</v>
      </c>
      <c r="I328" s="30">
        <v>9.1055743386020238E-2</v>
      </c>
      <c r="J328" s="30">
        <v>9.5185662882974045E-2</v>
      </c>
      <c r="K328" s="30">
        <v>9.937969116971121E-2</v>
      </c>
      <c r="L328" s="30">
        <v>0.10361150551643754</v>
      </c>
      <c r="N328" s="1"/>
      <c r="O328" s="1"/>
      <c r="P328" s="1"/>
      <c r="Q328" s="1"/>
      <c r="R328" s="1"/>
      <c r="S328" s="1"/>
      <c r="T328" s="64">
        <f t="shared" si="240"/>
        <v>0.95742326978003045</v>
      </c>
      <c r="U328" s="66">
        <f t="shared" si="241"/>
        <v>0.91296681761905885</v>
      </c>
      <c r="V328" s="62">
        <f t="shared" si="238"/>
        <v>0.90920411333991313</v>
      </c>
      <c r="W328" s="68">
        <f t="shared" si="239"/>
        <v>0.86150920626182348</v>
      </c>
      <c r="Y328" s="24"/>
      <c r="Z328" s="24"/>
      <c r="AA328" s="24"/>
      <c r="AB328" s="24"/>
      <c r="AC328" s="24"/>
      <c r="AD328" s="24"/>
      <c r="AE328" s="24">
        <f t="shared" si="220"/>
        <v>9.1055743386020252E-2</v>
      </c>
      <c r="AF328" s="24">
        <f t="shared" si="221"/>
        <v>9.5185662882974045E-2</v>
      </c>
      <c r="AG328" s="24">
        <f t="shared" si="222"/>
        <v>9.937969116971121E-2</v>
      </c>
      <c r="AH328" s="24">
        <f t="shared" si="223"/>
        <v>0.10361150551643754</v>
      </c>
      <c r="AL328" s="23">
        <f t="shared" ref="AL328:AL391" si="242">N*(Y328-fix)*N328*time</f>
        <v>0</v>
      </c>
      <c r="AM328" s="23">
        <f t="shared" ref="AM328:AM391" si="243">N*(Z328-fix)*O328*time</f>
        <v>0</v>
      </c>
      <c r="AN328" s="23">
        <f t="shared" ref="AN328:AN391" si="244">N*(AA328-fix)*P328*time</f>
        <v>0</v>
      </c>
      <c r="AO328" s="23">
        <f t="shared" ref="AO328:AO391" si="245">N*(AB328-fix)*Q328*time</f>
        <v>0</v>
      </c>
      <c r="AP328" s="23">
        <f t="shared" ref="AP328:AP391" si="246">N*(AC328-fix)*R328*time</f>
        <v>0</v>
      </c>
      <c r="AQ328" s="23">
        <f t="shared" ref="AQ328:AQ391" si="247">N*(AD328-fix)*S328*time</f>
        <v>0</v>
      </c>
      <c r="AR328" s="23">
        <f t="shared" ref="AR328:AR391" si="248">N*(AE328-fix)*T328*time</f>
        <v>11179.532503031453</v>
      </c>
      <c r="AS328" s="23">
        <f t="shared" ref="AS328:AS391" si="249">N*(AF328-fix)*U328*time</f>
        <v>12545.66812566819</v>
      </c>
      <c r="AT328" s="23">
        <f t="shared" ref="AT328:AT391" si="250">N*(AG328-fix)*V328*time</f>
        <v>14400.576254952552</v>
      </c>
      <c r="AU328" s="23">
        <f t="shared" ref="AU328:AU391" si="251">N*(AH328-fix)*W328*time</f>
        <v>15468.02627227837</v>
      </c>
      <c r="AW328" s="25"/>
      <c r="AX328" s="25"/>
      <c r="AY328" s="25"/>
      <c r="AZ328" s="25"/>
      <c r="BA328" s="25"/>
      <c r="BB328" s="25"/>
      <c r="BC328" s="25">
        <f t="shared" si="225"/>
        <v>53593.803155930567</v>
      </c>
      <c r="BD328" s="25">
        <f t="shared" si="226"/>
        <v>42414.270652899111</v>
      </c>
      <c r="BE328" s="25">
        <f t="shared" si="227"/>
        <v>29868.60252723092</v>
      </c>
      <c r="BF328" s="25">
        <f t="shared" si="228"/>
        <v>15468.02627227837</v>
      </c>
      <c r="BG328" s="25">
        <f t="shared" si="229"/>
        <v>0</v>
      </c>
      <c r="BI328" s="25"/>
      <c r="BJ328" s="25"/>
      <c r="BK328" s="25"/>
      <c r="BL328" s="25"/>
      <c r="BM328" s="25"/>
      <c r="BN328" s="25"/>
      <c r="BO328" s="25">
        <f t="shared" si="233"/>
        <v>53593.803155930567</v>
      </c>
      <c r="BP328" s="25">
        <f t="shared" si="234"/>
        <v>42414.270652899111</v>
      </c>
      <c r="BQ328" s="25">
        <f t="shared" si="235"/>
        <v>29868.60252723092</v>
      </c>
      <c r="BR328" s="25">
        <f t="shared" si="236"/>
        <v>15468.02627227837</v>
      </c>
      <c r="BS328" s="25">
        <f t="shared" si="237"/>
        <v>0</v>
      </c>
    </row>
    <row r="329" spans="1:71" x14ac:dyDescent="0.2">
      <c r="A329" s="29">
        <f t="shared" si="230"/>
        <v>3.2099999999999755</v>
      </c>
      <c r="B329" s="30">
        <v>6.7378778298429351E-2</v>
      </c>
      <c r="C329" s="30">
        <v>7.0256228559644696E-2</v>
      </c>
      <c r="D329" s="30">
        <v>7.3367869565449384E-2</v>
      </c>
      <c r="E329" s="30">
        <v>7.6746491243029596E-2</v>
      </c>
      <c r="F329" s="30">
        <v>8.037019951532616E-2</v>
      </c>
      <c r="G329" s="30">
        <v>8.4193426401250493E-2</v>
      </c>
      <c r="H329" s="30">
        <v>8.8169821074799259E-2</v>
      </c>
      <c r="I329" s="30">
        <v>9.2259514446920488E-2</v>
      </c>
      <c r="J329" s="30">
        <v>9.6429122126776748E-2</v>
      </c>
      <c r="K329" s="30">
        <v>0.10064995915371662</v>
      </c>
      <c r="L329" s="30">
        <v>0.10489645958049919</v>
      </c>
      <c r="N329" s="1"/>
      <c r="O329" s="1"/>
      <c r="P329" s="1"/>
      <c r="Q329" s="1"/>
      <c r="R329" s="1"/>
      <c r="S329" s="1"/>
      <c r="T329" s="64">
        <f t="shared" si="240"/>
        <v>0.95687270544787628</v>
      </c>
      <c r="U329" s="66">
        <f t="shared" si="241"/>
        <v>0.91186847579313013</v>
      </c>
      <c r="V329" s="62">
        <f t="shared" si="238"/>
        <v>0.9080742576909836</v>
      </c>
      <c r="W329" s="68">
        <f t="shared" si="239"/>
        <v>0.85986924780406948</v>
      </c>
      <c r="Y329" s="24"/>
      <c r="Z329" s="24"/>
      <c r="AA329" s="24"/>
      <c r="AB329" s="24"/>
      <c r="AC329" s="24"/>
      <c r="AD329" s="24"/>
      <c r="AE329" s="24">
        <f t="shared" ref="AE329:AE358" si="252">(I329*$AE$7-H329*$X$7)/($AE$7-$X$7)</f>
        <v>9.2259514446920488E-2</v>
      </c>
      <c r="AF329" s="24">
        <f t="shared" ref="AF329:AF392" si="253">(J329*$AF$7-I329*$X$7)/($AF$7-$X$7)</f>
        <v>9.6429122126776748E-2</v>
      </c>
      <c r="AG329" s="24">
        <f t="shared" ref="AG329:AG392" si="254">(K329*$AG$7-J329*$X$7)/($AG$7-$X$7)</f>
        <v>0.10064995915371662</v>
      </c>
      <c r="AH329" s="24">
        <f t="shared" ref="AH329:AH392" si="255">(L329*$AH$7-K329*$X$7)/($AH$7-$X$7)</f>
        <v>0.10489645958049917</v>
      </c>
      <c r="AL329" s="23">
        <f t="shared" si="242"/>
        <v>0</v>
      </c>
      <c r="AM329" s="23">
        <f t="shared" si="243"/>
        <v>0</v>
      </c>
      <c r="AN329" s="23">
        <f t="shared" si="244"/>
        <v>0</v>
      </c>
      <c r="AO329" s="23">
        <f t="shared" si="245"/>
        <v>0</v>
      </c>
      <c r="AP329" s="23">
        <f t="shared" si="246"/>
        <v>0</v>
      </c>
      <c r="AQ329" s="23">
        <f t="shared" si="247"/>
        <v>0</v>
      </c>
      <c r="AR329" s="23">
        <f t="shared" si="248"/>
        <v>11749.031571166433</v>
      </c>
      <c r="AS329" s="23">
        <f t="shared" si="249"/>
        <v>13097.510742214081</v>
      </c>
      <c r="AT329" s="23">
        <f t="shared" si="250"/>
        <v>14959.429682021277</v>
      </c>
      <c r="AU329" s="23">
        <f t="shared" si="251"/>
        <v>15991.027767665795</v>
      </c>
      <c r="AW329" s="25"/>
      <c r="AX329" s="25"/>
      <c r="AY329" s="25"/>
      <c r="AZ329" s="25"/>
      <c r="BA329" s="25"/>
      <c r="BB329" s="25"/>
      <c r="BC329" s="25">
        <f t="shared" ref="BC329:BC358" si="256">SUM(AR329:AU329)</f>
        <v>55796.999763067586</v>
      </c>
      <c r="BD329" s="25">
        <f t="shared" ref="BD329:BD392" si="257">SUM(AS329:AU329)</f>
        <v>44047.968191901149</v>
      </c>
      <c r="BE329" s="25">
        <f t="shared" ref="BE329:BE392" si="258">SUM(AT329:AU329)</f>
        <v>30950.45744968707</v>
      </c>
      <c r="BF329" s="25">
        <f t="shared" ref="BF329:BF392" si="259">SUM(AU329)</f>
        <v>15991.027767665795</v>
      </c>
      <c r="BG329" s="25">
        <f t="shared" ref="BG329:BG392" si="260">SUM(AV329)</f>
        <v>0</v>
      </c>
      <c r="BI329" s="25"/>
      <c r="BJ329" s="25"/>
      <c r="BK329" s="25"/>
      <c r="BL329" s="25"/>
      <c r="BM329" s="25"/>
      <c r="BN329" s="25"/>
      <c r="BO329" s="25">
        <f t="shared" si="233"/>
        <v>55796.999763067586</v>
      </c>
      <c r="BP329" s="25">
        <f t="shared" si="234"/>
        <v>44047.968191901149</v>
      </c>
      <c r="BQ329" s="25">
        <f t="shared" si="235"/>
        <v>30950.45744968707</v>
      </c>
      <c r="BR329" s="25">
        <f t="shared" si="236"/>
        <v>15991.027767665795</v>
      </c>
      <c r="BS329" s="25">
        <f t="shared" si="237"/>
        <v>0</v>
      </c>
    </row>
    <row r="330" spans="1:71" x14ac:dyDescent="0.2">
      <c r="A330" s="29">
        <f t="shared" ref="A330:A393" si="261">A329+0.01</f>
        <v>3.2199999999999753</v>
      </c>
      <c r="B330" s="30">
        <v>6.6595738911572597E-2</v>
      </c>
      <c r="C330" s="30">
        <v>6.9543345797036998E-2</v>
      </c>
      <c r="D330" s="30">
        <v>7.2723207884700228E-2</v>
      </c>
      <c r="E330" s="30">
        <v>7.6167060776939979E-2</v>
      </c>
      <c r="F330" s="30">
        <v>7.9852573445830258E-2</v>
      </c>
      <c r="G330" s="30">
        <v>8.3734196454409007E-2</v>
      </c>
      <c r="H330" s="30">
        <v>8.7765740937901765E-2</v>
      </c>
      <c r="I330" s="30">
        <v>9.1907498356845183E-2</v>
      </c>
      <c r="J330" s="30">
        <v>9.6126208051683523E-2</v>
      </c>
      <c r="K330" s="30">
        <v>0.10039327638616824</v>
      </c>
      <c r="L330" s="30">
        <v>0.10468320909294646</v>
      </c>
      <c r="N330" s="1"/>
      <c r="O330" s="1"/>
      <c r="P330" s="1"/>
      <c r="Q330" s="1"/>
      <c r="R330" s="1"/>
      <c r="S330" s="1"/>
      <c r="T330" s="64">
        <f t="shared" si="240"/>
        <v>0.95706605160595959</v>
      </c>
      <c r="U330" s="66">
        <f t="shared" si="241"/>
        <v>0.91218952467251213</v>
      </c>
      <c r="V330" s="62">
        <f t="shared" si="238"/>
        <v>0.90834936783013109</v>
      </c>
      <c r="W330" s="68">
        <f t="shared" si="239"/>
        <v>0.8602003819746894</v>
      </c>
      <c r="Y330" s="24"/>
      <c r="Z330" s="24"/>
      <c r="AA330" s="24"/>
      <c r="AB330" s="24"/>
      <c r="AC330" s="24"/>
      <c r="AD330" s="24"/>
      <c r="AE330" s="24">
        <f t="shared" si="252"/>
        <v>9.1907498356845183E-2</v>
      </c>
      <c r="AF330" s="24">
        <f t="shared" si="253"/>
        <v>9.6126208051683523E-2</v>
      </c>
      <c r="AG330" s="24">
        <f t="shared" si="254"/>
        <v>0.10039327638616824</v>
      </c>
      <c r="AH330" s="24">
        <f t="shared" si="255"/>
        <v>0.10468320909294646</v>
      </c>
      <c r="AL330" s="23">
        <f t="shared" si="242"/>
        <v>0</v>
      </c>
      <c r="AM330" s="23">
        <f t="shared" si="243"/>
        <v>0</v>
      </c>
      <c r="AN330" s="23">
        <f t="shared" si="244"/>
        <v>0</v>
      </c>
      <c r="AO330" s="23">
        <f t="shared" si="245"/>
        <v>0</v>
      </c>
      <c r="AP330" s="23">
        <f t="shared" si="246"/>
        <v>0</v>
      </c>
      <c r="AQ330" s="23">
        <f t="shared" si="247"/>
        <v>0</v>
      </c>
      <c r="AR330" s="23">
        <f t="shared" si="248"/>
        <v>11582.954261409206</v>
      </c>
      <c r="AS330" s="23">
        <f t="shared" si="249"/>
        <v>12963.96456523372</v>
      </c>
      <c r="AT330" s="23">
        <f t="shared" si="250"/>
        <v>14847.382975394625</v>
      </c>
      <c r="AU330" s="23">
        <f t="shared" si="251"/>
        <v>15905.466809572123</v>
      </c>
      <c r="AW330" s="25"/>
      <c r="AX330" s="25"/>
      <c r="AY330" s="25"/>
      <c r="AZ330" s="25"/>
      <c r="BA330" s="25"/>
      <c r="BB330" s="25"/>
      <c r="BC330" s="25">
        <f t="shared" si="256"/>
        <v>55299.768611609674</v>
      </c>
      <c r="BD330" s="25">
        <f t="shared" si="257"/>
        <v>43716.814350200468</v>
      </c>
      <c r="BE330" s="25">
        <f t="shared" si="258"/>
        <v>30752.849784966747</v>
      </c>
      <c r="BF330" s="25">
        <f t="shared" si="259"/>
        <v>15905.466809572123</v>
      </c>
      <c r="BG330" s="25">
        <f t="shared" si="260"/>
        <v>0</v>
      </c>
      <c r="BI330" s="25"/>
      <c r="BJ330" s="25"/>
      <c r="BK330" s="25"/>
      <c r="BL330" s="25"/>
      <c r="BM330" s="25"/>
      <c r="BN330" s="25"/>
      <c r="BO330" s="25">
        <f t="shared" si="233"/>
        <v>55299.768611609674</v>
      </c>
      <c r="BP330" s="25">
        <f t="shared" si="234"/>
        <v>43716.814350200468</v>
      </c>
      <c r="BQ330" s="25">
        <f t="shared" si="235"/>
        <v>30752.849784966747</v>
      </c>
      <c r="BR330" s="25">
        <f t="shared" si="236"/>
        <v>15905.466809572123</v>
      </c>
      <c r="BS330" s="25">
        <f t="shared" si="237"/>
        <v>0</v>
      </c>
    </row>
    <row r="331" spans="1:71" x14ac:dyDescent="0.2">
      <c r="A331" s="29">
        <f t="shared" si="261"/>
        <v>3.2299999999999751</v>
      </c>
      <c r="B331" s="30">
        <v>6.6454206062701804E-2</v>
      </c>
      <c r="C331" s="30">
        <v>6.9319930003829633E-2</v>
      </c>
      <c r="D331" s="30">
        <v>7.2434213373121156E-2</v>
      </c>
      <c r="E331" s="30">
        <v>7.5826997514044883E-2</v>
      </c>
      <c r="F331" s="30">
        <v>7.9474771276128273E-2</v>
      </c>
      <c r="G331" s="30">
        <v>8.3331254353298273E-2</v>
      </c>
      <c r="H331" s="30">
        <v>8.7349667532196931E-2</v>
      </c>
      <c r="I331" s="30">
        <v>9.1489709805003802E-2</v>
      </c>
      <c r="J331" s="30">
        <v>9.5717491313727684E-2</v>
      </c>
      <c r="K331" s="30">
        <v>0.10000375707205306</v>
      </c>
      <c r="L331" s="30">
        <v>0.10432233202662963</v>
      </c>
      <c r="N331" s="1"/>
      <c r="O331" s="1"/>
      <c r="P331" s="1"/>
      <c r="Q331" s="1"/>
      <c r="R331" s="1"/>
      <c r="S331" s="1"/>
      <c r="T331" s="64">
        <f t="shared" si="240"/>
        <v>0.95726517718374382</v>
      </c>
      <c r="U331" s="66">
        <f t="shared" si="241"/>
        <v>0.91257070663421525</v>
      </c>
      <c r="V331" s="62">
        <f t="shared" si="238"/>
        <v>0.908720701300608</v>
      </c>
      <c r="W331" s="68">
        <f t="shared" si="239"/>
        <v>0.86070312582589981</v>
      </c>
      <c r="Y331" s="24"/>
      <c r="Z331" s="24"/>
      <c r="AA331" s="24"/>
      <c r="AB331" s="24"/>
      <c r="AC331" s="24"/>
      <c r="AD331" s="24"/>
      <c r="AE331" s="24">
        <f t="shared" si="252"/>
        <v>9.1489709805003802E-2</v>
      </c>
      <c r="AF331" s="24">
        <f t="shared" si="253"/>
        <v>9.5717491313727684E-2</v>
      </c>
      <c r="AG331" s="24">
        <f t="shared" si="254"/>
        <v>0.10000375707205306</v>
      </c>
      <c r="AH331" s="24">
        <f t="shared" si="255"/>
        <v>0.10432233202662963</v>
      </c>
      <c r="AL331" s="23">
        <f t="shared" si="242"/>
        <v>0</v>
      </c>
      <c r="AM331" s="23">
        <f t="shared" si="243"/>
        <v>0</v>
      </c>
      <c r="AN331" s="23">
        <f t="shared" si="244"/>
        <v>0</v>
      </c>
      <c r="AO331" s="23">
        <f t="shared" si="245"/>
        <v>0</v>
      </c>
      <c r="AP331" s="23">
        <f t="shared" si="246"/>
        <v>0</v>
      </c>
      <c r="AQ331" s="23">
        <f t="shared" si="247"/>
        <v>0</v>
      </c>
      <c r="AR331" s="23">
        <f t="shared" si="248"/>
        <v>11385.396975639433</v>
      </c>
      <c r="AS331" s="23">
        <f t="shared" si="249"/>
        <v>12782.890431600672</v>
      </c>
      <c r="AT331" s="23">
        <f t="shared" si="250"/>
        <v>14676.470457477039</v>
      </c>
      <c r="AU331" s="23">
        <f t="shared" si="251"/>
        <v>15759.45874529496</v>
      </c>
      <c r="AW331" s="25"/>
      <c r="AX331" s="25"/>
      <c r="AY331" s="25"/>
      <c r="AZ331" s="25"/>
      <c r="BA331" s="25"/>
      <c r="BB331" s="25"/>
      <c r="BC331" s="25">
        <f t="shared" si="256"/>
        <v>54604.216610012096</v>
      </c>
      <c r="BD331" s="25">
        <f t="shared" si="257"/>
        <v>43218.819634372674</v>
      </c>
      <c r="BE331" s="25">
        <f t="shared" si="258"/>
        <v>30435.929202772</v>
      </c>
      <c r="BF331" s="25">
        <f t="shared" si="259"/>
        <v>15759.45874529496</v>
      </c>
      <c r="BG331" s="25">
        <f t="shared" si="260"/>
        <v>0</v>
      </c>
      <c r="BI331" s="25"/>
      <c r="BJ331" s="25"/>
      <c r="BK331" s="25"/>
      <c r="BL331" s="25"/>
      <c r="BM331" s="25"/>
      <c r="BN331" s="25"/>
      <c r="BO331" s="25">
        <f t="shared" si="233"/>
        <v>54604.216610012096</v>
      </c>
      <c r="BP331" s="25">
        <f t="shared" si="234"/>
        <v>43218.819634372674</v>
      </c>
      <c r="BQ331" s="25">
        <f t="shared" si="235"/>
        <v>30435.929202772</v>
      </c>
      <c r="BR331" s="25">
        <f t="shared" si="236"/>
        <v>15759.45874529496</v>
      </c>
      <c r="BS331" s="25">
        <f t="shared" si="237"/>
        <v>0</v>
      </c>
    </row>
    <row r="332" spans="1:71" x14ac:dyDescent="0.2">
      <c r="A332" s="29">
        <f t="shared" si="261"/>
        <v>3.2399999999999749</v>
      </c>
      <c r="B332" s="30">
        <v>6.6206314348193171E-2</v>
      </c>
      <c r="C332" s="30">
        <v>6.8922768528130562E-2</v>
      </c>
      <c r="D332" s="30">
        <v>7.1903617640506262E-2</v>
      </c>
      <c r="E332" s="30">
        <v>7.5177162619150556E-2</v>
      </c>
      <c r="F332" s="30">
        <v>7.8718862742656853E-2</v>
      </c>
      <c r="G332" s="30">
        <v>8.248185121279536E-2</v>
      </c>
      <c r="H332" s="30">
        <v>8.6418899991772921E-2</v>
      </c>
      <c r="I332" s="30">
        <v>9.0489256435354146E-2</v>
      </c>
      <c r="J332" s="30">
        <v>9.4658542410623506E-2</v>
      </c>
      <c r="K332" s="30">
        <v>9.8896982759023616E-2</v>
      </c>
      <c r="L332" s="30">
        <v>0.10317786302604608</v>
      </c>
      <c r="N332" s="1"/>
      <c r="O332" s="1"/>
      <c r="P332" s="1"/>
      <c r="Q332" s="1"/>
      <c r="R332" s="1"/>
      <c r="S332" s="1"/>
      <c r="T332" s="64">
        <f t="shared" si="240"/>
        <v>0.95771077654030612</v>
      </c>
      <c r="U332" s="66">
        <f t="shared" si="241"/>
        <v>0.91348414792423016</v>
      </c>
      <c r="V332" s="62">
        <f t="shared" si="238"/>
        <v>0.90968349977770269</v>
      </c>
      <c r="W332" s="68">
        <f t="shared" si="239"/>
        <v>0.8621332187562416</v>
      </c>
      <c r="Y332" s="24"/>
      <c r="Z332" s="24"/>
      <c r="AA332" s="24"/>
      <c r="AB332" s="24"/>
      <c r="AC332" s="24"/>
      <c r="AD332" s="24"/>
      <c r="AE332" s="24">
        <f t="shared" si="252"/>
        <v>9.0489256435354146E-2</v>
      </c>
      <c r="AF332" s="24">
        <f t="shared" si="253"/>
        <v>9.4658542410623506E-2</v>
      </c>
      <c r="AG332" s="24">
        <f t="shared" si="254"/>
        <v>9.8896982759023616E-2</v>
      </c>
      <c r="AH332" s="24">
        <f t="shared" si="255"/>
        <v>0.10317786302604608</v>
      </c>
      <c r="AL332" s="23">
        <f t="shared" si="242"/>
        <v>0</v>
      </c>
      <c r="AM332" s="23">
        <f t="shared" si="243"/>
        <v>0</v>
      </c>
      <c r="AN332" s="23">
        <f t="shared" si="244"/>
        <v>0</v>
      </c>
      <c r="AO332" s="23">
        <f t="shared" si="245"/>
        <v>0</v>
      </c>
      <c r="AP332" s="23">
        <f t="shared" si="246"/>
        <v>0</v>
      </c>
      <c r="AQ332" s="23">
        <f t="shared" si="247"/>
        <v>0</v>
      </c>
      <c r="AR332" s="23">
        <f t="shared" si="248"/>
        <v>10911.624300967162</v>
      </c>
      <c r="AS332" s="23">
        <f t="shared" si="249"/>
        <v>12312.018998558939</v>
      </c>
      <c r="AT332" s="23">
        <f t="shared" si="250"/>
        <v>14188.613156301748</v>
      </c>
      <c r="AU332" s="23">
        <f t="shared" si="251"/>
        <v>15292.301349494704</v>
      </c>
      <c r="AW332" s="25"/>
      <c r="AX332" s="25"/>
      <c r="AY332" s="25"/>
      <c r="AZ332" s="25"/>
      <c r="BA332" s="25"/>
      <c r="BB332" s="25"/>
      <c r="BC332" s="25">
        <f t="shared" si="256"/>
        <v>52704.557805322547</v>
      </c>
      <c r="BD332" s="25">
        <f t="shared" si="257"/>
        <v>41792.933504355387</v>
      </c>
      <c r="BE332" s="25">
        <f t="shared" si="258"/>
        <v>29480.914505796452</v>
      </c>
      <c r="BF332" s="25">
        <f t="shared" si="259"/>
        <v>15292.301349494704</v>
      </c>
      <c r="BG332" s="25">
        <f t="shared" si="260"/>
        <v>0</v>
      </c>
      <c r="BI332" s="25"/>
      <c r="BJ332" s="25"/>
      <c r="BK332" s="25"/>
      <c r="BL332" s="25"/>
      <c r="BM332" s="25"/>
      <c r="BN332" s="25"/>
      <c r="BO332" s="25">
        <f t="shared" si="233"/>
        <v>52704.557805322547</v>
      </c>
      <c r="BP332" s="25">
        <f t="shared" si="234"/>
        <v>41792.933504355387</v>
      </c>
      <c r="BQ332" s="25">
        <f t="shared" si="235"/>
        <v>29480.914505796452</v>
      </c>
      <c r="BR332" s="25">
        <f t="shared" si="236"/>
        <v>15292.301349494704</v>
      </c>
      <c r="BS332" s="25">
        <f t="shared" si="237"/>
        <v>0</v>
      </c>
    </row>
    <row r="333" spans="1:71" x14ac:dyDescent="0.2">
      <c r="A333" s="29">
        <f t="shared" si="261"/>
        <v>3.2499999999999747</v>
      </c>
      <c r="B333" s="30">
        <v>6.452403345341276E-2</v>
      </c>
      <c r="C333" s="30">
        <v>6.7183011608881765E-2</v>
      </c>
      <c r="D333" s="30">
        <v>7.0112928473536326E-2</v>
      </c>
      <c r="E333" s="30">
        <v>7.3340813225829166E-2</v>
      </c>
      <c r="F333" s="30">
        <v>7.6841460872481712E-2</v>
      </c>
      <c r="G333" s="30">
        <v>8.0567777313948458E-2</v>
      </c>
      <c r="H333" s="30">
        <v>8.4472442069247963E-2</v>
      </c>
      <c r="I333" s="30">
        <v>8.851460656244628E-2</v>
      </c>
      <c r="J333" s="30">
        <v>9.2659760185243745E-2</v>
      </c>
      <c r="K333" s="30">
        <v>9.687796365974935E-2</v>
      </c>
      <c r="L333" s="30">
        <v>0.10114231938865471</v>
      </c>
      <c r="N333" s="1"/>
      <c r="O333" s="1"/>
      <c r="P333" s="1"/>
      <c r="Q333" s="1"/>
      <c r="R333" s="1"/>
      <c r="S333" s="1"/>
      <c r="T333" s="64">
        <f t="shared" si="240"/>
        <v>0.95864330211138937</v>
      </c>
      <c r="U333" s="66">
        <f t="shared" si="241"/>
        <v>0.91528974140159358</v>
      </c>
      <c r="V333" s="62">
        <f t="shared" si="238"/>
        <v>0.91150357735117704</v>
      </c>
      <c r="W333" s="68">
        <f t="shared" si="239"/>
        <v>0.86474817163959228</v>
      </c>
      <c r="Y333" s="24"/>
      <c r="Z333" s="24"/>
      <c r="AA333" s="24"/>
      <c r="AB333" s="24"/>
      <c r="AC333" s="24"/>
      <c r="AD333" s="24"/>
      <c r="AE333" s="24">
        <f t="shared" si="252"/>
        <v>8.851460656244628E-2</v>
      </c>
      <c r="AF333" s="24">
        <f t="shared" si="253"/>
        <v>9.2659760185243745E-2</v>
      </c>
      <c r="AG333" s="24">
        <f t="shared" si="254"/>
        <v>9.687796365974935E-2</v>
      </c>
      <c r="AH333" s="24">
        <f t="shared" si="255"/>
        <v>0.10114231938865473</v>
      </c>
      <c r="AL333" s="23">
        <f t="shared" si="242"/>
        <v>0</v>
      </c>
      <c r="AM333" s="23">
        <f t="shared" si="243"/>
        <v>0</v>
      </c>
      <c r="AN333" s="23">
        <f t="shared" si="244"/>
        <v>0</v>
      </c>
      <c r="AO333" s="23">
        <f t="shared" si="245"/>
        <v>0</v>
      </c>
      <c r="AP333" s="23">
        <f t="shared" si="246"/>
        <v>0</v>
      </c>
      <c r="AQ333" s="23">
        <f t="shared" si="247"/>
        <v>0</v>
      </c>
      <c r="AR333" s="23">
        <f t="shared" si="248"/>
        <v>9975.7565416957423</v>
      </c>
      <c r="AS333" s="23">
        <f t="shared" si="249"/>
        <v>11421.622511795729</v>
      </c>
      <c r="AT333" s="23">
        <f t="shared" si="250"/>
        <v>13296.829899789751</v>
      </c>
      <c r="AU333" s="23">
        <f t="shared" si="251"/>
        <v>14458.568404112217</v>
      </c>
      <c r="AW333" s="25"/>
      <c r="AX333" s="25"/>
      <c r="AY333" s="25"/>
      <c r="AZ333" s="25"/>
      <c r="BA333" s="25"/>
      <c r="BB333" s="25"/>
      <c r="BC333" s="25">
        <f t="shared" si="256"/>
        <v>49152.777357393439</v>
      </c>
      <c r="BD333" s="25">
        <f t="shared" si="257"/>
        <v>39177.020815697695</v>
      </c>
      <c r="BE333" s="25">
        <f t="shared" si="258"/>
        <v>27755.398303901966</v>
      </c>
      <c r="BF333" s="25">
        <f t="shared" si="259"/>
        <v>14458.568404112217</v>
      </c>
      <c r="BG333" s="25">
        <f t="shared" si="260"/>
        <v>0</v>
      </c>
      <c r="BI333" s="25"/>
      <c r="BJ333" s="25"/>
      <c r="BK333" s="25"/>
      <c r="BL333" s="25"/>
      <c r="BM333" s="25"/>
      <c r="BN333" s="25"/>
      <c r="BO333" s="25">
        <f t="shared" si="233"/>
        <v>49152.777357393439</v>
      </c>
      <c r="BP333" s="25">
        <f t="shared" si="234"/>
        <v>39177.020815697695</v>
      </c>
      <c r="BQ333" s="25">
        <f t="shared" si="235"/>
        <v>27755.398303901966</v>
      </c>
      <c r="BR333" s="25">
        <f t="shared" si="236"/>
        <v>14458.568404112217</v>
      </c>
      <c r="BS333" s="25">
        <f t="shared" si="237"/>
        <v>0</v>
      </c>
    </row>
    <row r="334" spans="1:71" x14ac:dyDescent="0.2">
      <c r="A334" s="29">
        <f t="shared" si="261"/>
        <v>3.2599999999999745</v>
      </c>
      <c r="B334" s="30">
        <v>6.4445340812918805E-2</v>
      </c>
      <c r="C334" s="30">
        <v>6.7146430476282923E-2</v>
      </c>
      <c r="D334" s="30">
        <v>7.0113865244715731E-2</v>
      </c>
      <c r="E334" s="30">
        <v>7.3373860383292785E-2</v>
      </c>
      <c r="F334" s="30">
        <v>7.690100105860509E-2</v>
      </c>
      <c r="G334" s="30">
        <v>8.064841425928429E-2</v>
      </c>
      <c r="H334" s="30">
        <v>8.4569132683720794E-2</v>
      </c>
      <c r="I334" s="30">
        <v>8.8622656785738774E-2</v>
      </c>
      <c r="J334" s="30">
        <v>9.2774788541105768E-2</v>
      </c>
      <c r="K334" s="30">
        <v>9.6995869864458184E-2</v>
      </c>
      <c r="L334" s="30">
        <v>0.10125926553144039</v>
      </c>
      <c r="N334" s="1"/>
      <c r="O334" s="1"/>
      <c r="P334" s="1"/>
      <c r="Q334" s="1"/>
      <c r="R334" s="1"/>
      <c r="S334" s="1"/>
      <c r="T334" s="64">
        <f t="shared" si="240"/>
        <v>0.95859695732670414</v>
      </c>
      <c r="U334" s="66">
        <f t="shared" si="241"/>
        <v>0.91519084948340101</v>
      </c>
      <c r="V334" s="62">
        <f t="shared" si="238"/>
        <v>0.91139873462337084</v>
      </c>
      <c r="W334" s="68">
        <f t="shared" si="239"/>
        <v>0.8645952464006964</v>
      </c>
      <c r="Y334" s="24"/>
      <c r="Z334" s="24"/>
      <c r="AA334" s="24"/>
      <c r="AB334" s="24"/>
      <c r="AC334" s="24"/>
      <c r="AD334" s="24"/>
      <c r="AE334" s="24">
        <f t="shared" si="252"/>
        <v>8.8622656785738774E-2</v>
      </c>
      <c r="AF334" s="24">
        <f t="shared" si="253"/>
        <v>9.2774788541105768E-2</v>
      </c>
      <c r="AG334" s="24">
        <f t="shared" si="254"/>
        <v>9.6995869864458184E-2</v>
      </c>
      <c r="AH334" s="24">
        <f t="shared" si="255"/>
        <v>0.10125926553144041</v>
      </c>
      <c r="AL334" s="23">
        <f t="shared" si="242"/>
        <v>0</v>
      </c>
      <c r="AM334" s="23">
        <f t="shared" si="243"/>
        <v>0</v>
      </c>
      <c r="AN334" s="23">
        <f t="shared" si="244"/>
        <v>0</v>
      </c>
      <c r="AO334" s="23">
        <f t="shared" si="245"/>
        <v>0</v>
      </c>
      <c r="AP334" s="23">
        <f t="shared" si="246"/>
        <v>0</v>
      </c>
      <c r="AQ334" s="23">
        <f t="shared" si="247"/>
        <v>0</v>
      </c>
      <c r="AR334" s="23">
        <f t="shared" si="248"/>
        <v>10027.06257998197</v>
      </c>
      <c r="AS334" s="23">
        <f t="shared" si="249"/>
        <v>11473.024918961457</v>
      </c>
      <c r="AT334" s="23">
        <f t="shared" si="250"/>
        <v>13349.03025816142</v>
      </c>
      <c r="AU334" s="23">
        <f t="shared" si="251"/>
        <v>14506.567037404839</v>
      </c>
      <c r="AW334" s="25"/>
      <c r="AX334" s="25"/>
      <c r="AY334" s="25"/>
      <c r="AZ334" s="25"/>
      <c r="BA334" s="25"/>
      <c r="BB334" s="25"/>
      <c r="BC334" s="25">
        <f t="shared" si="256"/>
        <v>49355.684794509682</v>
      </c>
      <c r="BD334" s="25">
        <f t="shared" si="257"/>
        <v>39328.622214527713</v>
      </c>
      <c r="BE334" s="25">
        <f t="shared" si="258"/>
        <v>27855.597295566258</v>
      </c>
      <c r="BF334" s="25">
        <f t="shared" si="259"/>
        <v>14506.567037404839</v>
      </c>
      <c r="BG334" s="25">
        <f t="shared" si="260"/>
        <v>0</v>
      </c>
      <c r="BI334" s="25"/>
      <c r="BJ334" s="25"/>
      <c r="BK334" s="25"/>
      <c r="BL334" s="25"/>
      <c r="BM334" s="25"/>
      <c r="BN334" s="25"/>
      <c r="BO334" s="25">
        <f t="shared" si="233"/>
        <v>49355.684794509682</v>
      </c>
      <c r="BP334" s="25">
        <f t="shared" si="234"/>
        <v>39328.622214527713</v>
      </c>
      <c r="BQ334" s="25">
        <f t="shared" si="235"/>
        <v>27855.597295566258</v>
      </c>
      <c r="BR334" s="25">
        <f t="shared" si="236"/>
        <v>14506.567037404839</v>
      </c>
      <c r="BS334" s="25">
        <f t="shared" si="237"/>
        <v>0</v>
      </c>
    </row>
    <row r="335" spans="1:71" x14ac:dyDescent="0.2">
      <c r="A335" s="29">
        <f t="shared" si="261"/>
        <v>3.2699999999999743</v>
      </c>
      <c r="B335" s="30">
        <v>6.4300650130842116E-2</v>
      </c>
      <c r="C335" s="30">
        <v>6.6954877408413285E-2</v>
      </c>
      <c r="D335" s="30">
        <v>6.9882382092796527E-2</v>
      </c>
      <c r="E335" s="30">
        <v>7.3108089639627533E-2</v>
      </c>
      <c r="F335" s="30">
        <v>7.6605896016405328E-2</v>
      </c>
      <c r="G335" s="30">
        <v>8.0328663964234923E-2</v>
      </c>
      <c r="H335" s="30">
        <v>8.4229291300358652E-2</v>
      </c>
      <c r="I335" s="30">
        <v>8.8267138801917305E-2</v>
      </c>
      <c r="J335" s="30">
        <v>9.2407832423387182E-2</v>
      </c>
      <c r="K335" s="30">
        <v>9.6621506918012884E-2</v>
      </c>
      <c r="L335" s="30">
        <v>0.10088130128281192</v>
      </c>
      <c r="N335" s="1"/>
      <c r="O335" s="1"/>
      <c r="P335" s="1"/>
      <c r="Q335" s="1"/>
      <c r="R335" s="1"/>
      <c r="S335" s="1"/>
      <c r="T335" s="64">
        <f t="shared" si="240"/>
        <v>0.95875985662432517</v>
      </c>
      <c r="U335" s="66">
        <f t="shared" si="241"/>
        <v>0.91551627413275116</v>
      </c>
      <c r="V335" s="62">
        <f t="shared" si="238"/>
        <v>0.91173323933524353</v>
      </c>
      <c r="W335" s="68">
        <f t="shared" si="239"/>
        <v>0.86508089137943633</v>
      </c>
      <c r="Y335" s="24"/>
      <c r="Z335" s="24"/>
      <c r="AA335" s="24"/>
      <c r="AB335" s="24"/>
      <c r="AC335" s="24"/>
      <c r="AD335" s="24"/>
      <c r="AE335" s="24">
        <f t="shared" si="252"/>
        <v>8.8267138801917305E-2</v>
      </c>
      <c r="AF335" s="24">
        <f t="shared" si="253"/>
        <v>9.2407832423387182E-2</v>
      </c>
      <c r="AG335" s="24">
        <f t="shared" si="254"/>
        <v>9.6621506918012884E-2</v>
      </c>
      <c r="AH335" s="24">
        <f t="shared" si="255"/>
        <v>0.10088130128281192</v>
      </c>
      <c r="AL335" s="23">
        <f t="shared" si="242"/>
        <v>0</v>
      </c>
      <c r="AM335" s="23">
        <f t="shared" si="243"/>
        <v>0</v>
      </c>
      <c r="AN335" s="23">
        <f t="shared" si="244"/>
        <v>0</v>
      </c>
      <c r="AO335" s="23">
        <f t="shared" si="245"/>
        <v>0</v>
      </c>
      <c r="AP335" s="23">
        <f t="shared" si="246"/>
        <v>0</v>
      </c>
      <c r="AQ335" s="23">
        <f t="shared" si="247"/>
        <v>0</v>
      </c>
      <c r="AR335" s="23">
        <f t="shared" si="248"/>
        <v>9858.3383445571653</v>
      </c>
      <c r="AS335" s="23">
        <f t="shared" si="249"/>
        <v>11309.127361958172</v>
      </c>
      <c r="AT335" s="23">
        <f t="shared" si="250"/>
        <v>13183.270094434176</v>
      </c>
      <c r="AU335" s="23">
        <f t="shared" si="251"/>
        <v>14351.230582238246</v>
      </c>
      <c r="AW335" s="25"/>
      <c r="AX335" s="25"/>
      <c r="AY335" s="25"/>
      <c r="AZ335" s="25"/>
      <c r="BA335" s="25"/>
      <c r="BB335" s="25"/>
      <c r="BC335" s="25">
        <f t="shared" si="256"/>
        <v>48701.966383187762</v>
      </c>
      <c r="BD335" s="25">
        <f t="shared" si="257"/>
        <v>38843.628038630595</v>
      </c>
      <c r="BE335" s="25">
        <f t="shared" si="258"/>
        <v>27534.500676672422</v>
      </c>
      <c r="BF335" s="25">
        <f t="shared" si="259"/>
        <v>14351.230582238246</v>
      </c>
      <c r="BG335" s="25">
        <f t="shared" si="260"/>
        <v>0</v>
      </c>
      <c r="BI335" s="25"/>
      <c r="BJ335" s="25"/>
      <c r="BK335" s="25"/>
      <c r="BL335" s="25"/>
      <c r="BM335" s="25"/>
      <c r="BN335" s="25"/>
      <c r="BO335" s="25">
        <f t="shared" si="233"/>
        <v>48701.966383187762</v>
      </c>
      <c r="BP335" s="25">
        <f t="shared" si="234"/>
        <v>38843.628038630595</v>
      </c>
      <c r="BQ335" s="25">
        <f t="shared" si="235"/>
        <v>27534.500676672422</v>
      </c>
      <c r="BR335" s="25">
        <f t="shared" si="236"/>
        <v>14351.230582238246</v>
      </c>
      <c r="BS335" s="25">
        <f t="shared" si="237"/>
        <v>0</v>
      </c>
    </row>
    <row r="336" spans="1:71" x14ac:dyDescent="0.2">
      <c r="A336" s="29">
        <f t="shared" si="261"/>
        <v>3.279999999999974</v>
      </c>
      <c r="B336" s="30">
        <v>6.4521352713556954E-2</v>
      </c>
      <c r="C336" s="30">
        <v>6.7059598242435459E-2</v>
      </c>
      <c r="D336" s="30">
        <v>6.988036350616135E-2</v>
      </c>
      <c r="E336" s="30">
        <v>7.3007286366226637E-2</v>
      </c>
      <c r="F336" s="30">
        <v>7.6413572293158954E-2</v>
      </c>
      <c r="G336" s="30">
        <v>8.0051812570953548E-2</v>
      </c>
      <c r="H336" s="30">
        <v>8.3874760242883262E-2</v>
      </c>
      <c r="I336" s="30">
        <v>8.7841625885602556E-2</v>
      </c>
      <c r="J336" s="30">
        <v>9.1917849012583777E-2</v>
      </c>
      <c r="K336" s="30">
        <v>9.6073347046424354E-2</v>
      </c>
      <c r="L336" s="30">
        <v>0.10028102323705283</v>
      </c>
      <c r="N336" s="1"/>
      <c r="O336" s="1"/>
      <c r="P336" s="1"/>
      <c r="Q336" s="1"/>
      <c r="R336" s="1"/>
      <c r="S336" s="1"/>
      <c r="T336" s="64">
        <f t="shared" si="240"/>
        <v>0.95892982676172023</v>
      </c>
      <c r="U336" s="66">
        <f t="shared" si="241"/>
        <v>0.91590592102650492</v>
      </c>
      <c r="V336" s="62">
        <f t="shared" si="238"/>
        <v>0.91218008296163788</v>
      </c>
      <c r="W336" s="68">
        <f t="shared" si="239"/>
        <v>0.86579248783631035</v>
      </c>
      <c r="Y336" s="24"/>
      <c r="Z336" s="24"/>
      <c r="AA336" s="24"/>
      <c r="AB336" s="24"/>
      <c r="AC336" s="24"/>
      <c r="AD336" s="24"/>
      <c r="AE336" s="24">
        <f t="shared" si="252"/>
        <v>8.7841625885602556E-2</v>
      </c>
      <c r="AF336" s="24">
        <f t="shared" si="253"/>
        <v>9.1917849012583777E-2</v>
      </c>
      <c r="AG336" s="24">
        <f t="shared" si="254"/>
        <v>9.6073347046424354E-2</v>
      </c>
      <c r="AH336" s="24">
        <f t="shared" si="255"/>
        <v>0.10028102323705283</v>
      </c>
      <c r="AL336" s="23">
        <f t="shared" si="242"/>
        <v>0</v>
      </c>
      <c r="AM336" s="23">
        <f t="shared" si="243"/>
        <v>0</v>
      </c>
      <c r="AN336" s="23">
        <f t="shared" si="244"/>
        <v>0</v>
      </c>
      <c r="AO336" s="23">
        <f t="shared" si="245"/>
        <v>0</v>
      </c>
      <c r="AP336" s="23">
        <f t="shared" si="246"/>
        <v>0</v>
      </c>
      <c r="AQ336" s="23">
        <f t="shared" si="247"/>
        <v>0</v>
      </c>
      <c r="AR336" s="23">
        <f t="shared" si="248"/>
        <v>9656.0675294517714</v>
      </c>
      <c r="AS336" s="23">
        <f t="shared" si="249"/>
        <v>11089.551212110688</v>
      </c>
      <c r="AT336" s="23">
        <f t="shared" si="250"/>
        <v>12939.721002312575</v>
      </c>
      <c r="AU336" s="23">
        <f t="shared" si="251"/>
        <v>14103.177476599958</v>
      </c>
      <c r="AW336" s="25"/>
      <c r="AX336" s="25"/>
      <c r="AY336" s="25"/>
      <c r="AZ336" s="25"/>
      <c r="BA336" s="25"/>
      <c r="BB336" s="25"/>
      <c r="BC336" s="25">
        <f t="shared" si="256"/>
        <v>47788.517220474991</v>
      </c>
      <c r="BD336" s="25">
        <f t="shared" si="257"/>
        <v>38132.449691023219</v>
      </c>
      <c r="BE336" s="25">
        <f t="shared" si="258"/>
        <v>27042.898478912532</v>
      </c>
      <c r="BF336" s="25">
        <f t="shared" si="259"/>
        <v>14103.177476599958</v>
      </c>
      <c r="BG336" s="25">
        <f t="shared" si="260"/>
        <v>0</v>
      </c>
      <c r="BI336" s="25"/>
      <c r="BJ336" s="25"/>
      <c r="BK336" s="25"/>
      <c r="BL336" s="25"/>
      <c r="BM336" s="25"/>
      <c r="BN336" s="25"/>
      <c r="BO336" s="25">
        <f t="shared" si="233"/>
        <v>47788.517220474991</v>
      </c>
      <c r="BP336" s="25">
        <f t="shared" si="234"/>
        <v>38132.449691023219</v>
      </c>
      <c r="BQ336" s="25">
        <f t="shared" si="235"/>
        <v>27042.898478912532</v>
      </c>
      <c r="BR336" s="25">
        <f t="shared" si="236"/>
        <v>14103.177476599958</v>
      </c>
      <c r="BS336" s="25">
        <f t="shared" si="237"/>
        <v>0</v>
      </c>
    </row>
    <row r="337" spans="1:71" x14ac:dyDescent="0.2">
      <c r="A337" s="29">
        <f t="shared" si="261"/>
        <v>3.2899999999999738</v>
      </c>
      <c r="B337" s="30">
        <v>6.5515797803220671E-2</v>
      </c>
      <c r="C337" s="30">
        <v>6.792314585805323E-2</v>
      </c>
      <c r="D337" s="30">
        <v>7.062915599088293E-2</v>
      </c>
      <c r="E337" s="30">
        <v>7.3655831271122907E-2</v>
      </c>
      <c r="F337" s="30">
        <v>7.69753359132479E-2</v>
      </c>
      <c r="G337" s="30">
        <v>8.0539633137927502E-2</v>
      </c>
      <c r="H337" s="30">
        <v>8.4300971966056015E-2</v>
      </c>
      <c r="I337" s="30">
        <v>8.8218052909112554E-2</v>
      </c>
      <c r="J337" s="30">
        <v>9.2255769281893912E-2</v>
      </c>
      <c r="K337" s="30">
        <v>9.6383461668142795E-2</v>
      </c>
      <c r="L337" s="30">
        <v>0.10057343826174464</v>
      </c>
      <c r="N337" s="1"/>
      <c r="O337" s="1"/>
      <c r="P337" s="1"/>
      <c r="Q337" s="1"/>
      <c r="R337" s="1"/>
      <c r="S337" s="1"/>
      <c r="T337" s="64">
        <f t="shared" si="240"/>
        <v>0.95872549496771209</v>
      </c>
      <c r="U337" s="66">
        <f t="shared" si="241"/>
        <v>0.91556121416939618</v>
      </c>
      <c r="V337" s="62">
        <f t="shared" si="238"/>
        <v>0.91187189089744958</v>
      </c>
      <c r="W337" s="68">
        <f t="shared" si="239"/>
        <v>0.86538983912923151</v>
      </c>
      <c r="Y337" s="24"/>
      <c r="Z337" s="24"/>
      <c r="AA337" s="24"/>
      <c r="AB337" s="24"/>
      <c r="AC337" s="24"/>
      <c r="AD337" s="24"/>
      <c r="AE337" s="24">
        <f t="shared" si="252"/>
        <v>8.8218052909112554E-2</v>
      </c>
      <c r="AF337" s="24">
        <f t="shared" si="253"/>
        <v>9.2255769281893912E-2</v>
      </c>
      <c r="AG337" s="24">
        <f t="shared" si="254"/>
        <v>9.6383461668142795E-2</v>
      </c>
      <c r="AH337" s="24">
        <f t="shared" si="255"/>
        <v>0.10057343826174465</v>
      </c>
      <c r="AL337" s="23">
        <f t="shared" si="242"/>
        <v>0</v>
      </c>
      <c r="AM337" s="23">
        <f t="shared" si="243"/>
        <v>0</v>
      </c>
      <c r="AN337" s="23">
        <f t="shared" si="244"/>
        <v>0</v>
      </c>
      <c r="AO337" s="23">
        <f t="shared" si="245"/>
        <v>0</v>
      </c>
      <c r="AP337" s="23">
        <f t="shared" si="246"/>
        <v>0</v>
      </c>
      <c r="AQ337" s="23">
        <f t="shared" si="247"/>
        <v>0</v>
      </c>
      <c r="AR337" s="23">
        <f t="shared" si="248"/>
        <v>9834.4550763235675</v>
      </c>
      <c r="AS337" s="23">
        <f t="shared" si="249"/>
        <v>11240.07093696805</v>
      </c>
      <c r="AT337" s="23">
        <f t="shared" si="250"/>
        <v>13076.741550268209</v>
      </c>
      <c r="AU337" s="23">
        <f t="shared" si="251"/>
        <v>14223.145095487142</v>
      </c>
      <c r="AW337" s="25"/>
      <c r="AX337" s="25"/>
      <c r="AY337" s="25"/>
      <c r="AZ337" s="25"/>
      <c r="BA337" s="25"/>
      <c r="BB337" s="25"/>
      <c r="BC337" s="25">
        <f t="shared" si="256"/>
        <v>48374.412659046968</v>
      </c>
      <c r="BD337" s="25">
        <f t="shared" si="257"/>
        <v>38539.9575827234</v>
      </c>
      <c r="BE337" s="25">
        <f t="shared" si="258"/>
        <v>27299.886645755352</v>
      </c>
      <c r="BF337" s="25">
        <f t="shared" si="259"/>
        <v>14223.145095487142</v>
      </c>
      <c r="BG337" s="25">
        <f t="shared" si="260"/>
        <v>0</v>
      </c>
      <c r="BI337" s="25"/>
      <c r="BJ337" s="25"/>
      <c r="BK337" s="25"/>
      <c r="BL337" s="25"/>
      <c r="BM337" s="25"/>
      <c r="BN337" s="25"/>
      <c r="BO337" s="25">
        <f t="shared" si="233"/>
        <v>48374.412659046968</v>
      </c>
      <c r="BP337" s="25">
        <f t="shared" si="234"/>
        <v>38539.9575827234</v>
      </c>
      <c r="BQ337" s="25">
        <f t="shared" si="235"/>
        <v>27299.886645755352</v>
      </c>
      <c r="BR337" s="25">
        <f t="shared" si="236"/>
        <v>14223.145095487142</v>
      </c>
      <c r="BS337" s="25">
        <f t="shared" si="237"/>
        <v>0</v>
      </c>
    </row>
    <row r="338" spans="1:71" x14ac:dyDescent="0.2">
      <c r="A338" s="29">
        <f t="shared" si="261"/>
        <v>3.2999999999999736</v>
      </c>
      <c r="B338" s="30">
        <v>6.4183210027933771E-2</v>
      </c>
      <c r="C338" s="30">
        <v>6.6690333792084444E-2</v>
      </c>
      <c r="D338" s="30">
        <v>6.9486408917095899E-2</v>
      </c>
      <c r="E338" s="30">
        <v>7.259285249406805E-2</v>
      </c>
      <c r="F338" s="30">
        <v>7.5981832688322426E-2</v>
      </c>
      <c r="G338" s="30">
        <v>7.9605724081067003E-2</v>
      </c>
      <c r="H338" s="30">
        <v>8.3417308493006784E-2</v>
      </c>
      <c r="I338" s="30">
        <v>8.7375812590820667E-2</v>
      </c>
      <c r="J338" s="30">
        <v>9.1446619820871447E-2</v>
      </c>
      <c r="K338" s="30">
        <v>9.5599530506748492E-2</v>
      </c>
      <c r="L338" s="30">
        <v>9.9807294562714838E-2</v>
      </c>
      <c r="N338" s="1"/>
      <c r="O338" s="1"/>
      <c r="P338" s="1"/>
      <c r="Q338" s="1"/>
      <c r="R338" s="1"/>
      <c r="S338" s="1"/>
      <c r="T338" s="64">
        <f t="shared" si="240"/>
        <v>0.95914918391072224</v>
      </c>
      <c r="U338" s="66">
        <f t="shared" si="241"/>
        <v>0.91633266156428017</v>
      </c>
      <c r="V338" s="62">
        <f t="shared" si="238"/>
        <v>0.91261003013870234</v>
      </c>
      <c r="W338" s="68">
        <f t="shared" si="239"/>
        <v>0.86640804675789351</v>
      </c>
      <c r="Y338" s="24"/>
      <c r="Z338" s="24"/>
      <c r="AA338" s="24"/>
      <c r="AB338" s="24"/>
      <c r="AC338" s="24"/>
      <c r="AD338" s="24"/>
      <c r="AE338" s="24">
        <f t="shared" si="252"/>
        <v>8.7375812590820681E-2</v>
      </c>
      <c r="AF338" s="24">
        <f t="shared" si="253"/>
        <v>9.1446619820871447E-2</v>
      </c>
      <c r="AG338" s="24">
        <f t="shared" si="254"/>
        <v>9.5599530506748492E-2</v>
      </c>
      <c r="AH338" s="24">
        <f t="shared" si="255"/>
        <v>9.9807294562714838E-2</v>
      </c>
      <c r="AL338" s="23">
        <f t="shared" si="242"/>
        <v>0</v>
      </c>
      <c r="AM338" s="23">
        <f t="shared" si="243"/>
        <v>0</v>
      </c>
      <c r="AN338" s="23">
        <f t="shared" si="244"/>
        <v>0</v>
      </c>
      <c r="AO338" s="23">
        <f t="shared" si="245"/>
        <v>0</v>
      </c>
      <c r="AP338" s="23">
        <f t="shared" si="246"/>
        <v>0</v>
      </c>
      <c r="AQ338" s="23">
        <f t="shared" si="247"/>
        <v>0</v>
      </c>
      <c r="AR338" s="23">
        <f t="shared" si="248"/>
        <v>9434.8841537738899</v>
      </c>
      <c r="AS338" s="23">
        <f t="shared" si="249"/>
        <v>10878.816726077655</v>
      </c>
      <c r="AT338" s="23">
        <f t="shared" si="250"/>
        <v>12729.61515020777</v>
      </c>
      <c r="AU338" s="23">
        <f t="shared" si="251"/>
        <v>13907.98334982366</v>
      </c>
      <c r="AW338" s="25"/>
      <c r="AX338" s="25"/>
      <c r="AY338" s="25"/>
      <c r="AZ338" s="25"/>
      <c r="BA338" s="25"/>
      <c r="BB338" s="25"/>
      <c r="BC338" s="25">
        <f t="shared" si="256"/>
        <v>46951.299379882978</v>
      </c>
      <c r="BD338" s="25">
        <f t="shared" si="257"/>
        <v>37516.415226109086</v>
      </c>
      <c r="BE338" s="25">
        <f t="shared" si="258"/>
        <v>26637.598500031432</v>
      </c>
      <c r="BF338" s="25">
        <f t="shared" si="259"/>
        <v>13907.98334982366</v>
      </c>
      <c r="BG338" s="25">
        <f t="shared" si="260"/>
        <v>0</v>
      </c>
      <c r="BI338" s="25"/>
      <c r="BJ338" s="25"/>
      <c r="BK338" s="25"/>
      <c r="BL338" s="25"/>
      <c r="BM338" s="25"/>
      <c r="BN338" s="25"/>
      <c r="BO338" s="25">
        <f t="shared" si="233"/>
        <v>46951.299379882978</v>
      </c>
      <c r="BP338" s="25">
        <f t="shared" si="234"/>
        <v>37516.415226109086</v>
      </c>
      <c r="BQ338" s="25">
        <f t="shared" si="235"/>
        <v>26637.598500031432</v>
      </c>
      <c r="BR338" s="25">
        <f t="shared" si="236"/>
        <v>13907.98334982366</v>
      </c>
      <c r="BS338" s="25">
        <f t="shared" si="237"/>
        <v>0</v>
      </c>
    </row>
    <row r="339" spans="1:71" x14ac:dyDescent="0.2">
      <c r="A339" s="29">
        <f t="shared" si="261"/>
        <v>3.3099999999999734</v>
      </c>
      <c r="B339" s="30">
        <v>6.339999657702837E-2</v>
      </c>
      <c r="C339" s="30">
        <v>6.575302177130829E-2</v>
      </c>
      <c r="D339" s="30">
        <v>6.8411165281857991E-2</v>
      </c>
      <c r="E339" s="30">
        <v>7.1394269714254055E-2</v>
      </c>
      <c r="F339" s="30">
        <v>7.4673515027065401E-2</v>
      </c>
      <c r="G339" s="30">
        <v>7.8200689285030517E-2</v>
      </c>
      <c r="H339" s="30">
        <v>8.19281066699796E-2</v>
      </c>
      <c r="I339" s="30">
        <v>8.5814518977525386E-2</v>
      </c>
      <c r="J339" s="30">
        <v>8.9824798871969022E-2</v>
      </c>
      <c r="K339" s="30">
        <v>9.392820575056382E-2</v>
      </c>
      <c r="L339" s="30">
        <v>9.8096930777959321E-2</v>
      </c>
      <c r="N339" s="1"/>
      <c r="O339" s="1"/>
      <c r="P339" s="1"/>
      <c r="Q339" s="1"/>
      <c r="R339" s="1"/>
      <c r="S339" s="1"/>
      <c r="T339" s="64">
        <f t="shared" si="240"/>
        <v>0.95986363322413537</v>
      </c>
      <c r="U339" s="66">
        <f t="shared" si="241"/>
        <v>0.9177644433214438</v>
      </c>
      <c r="V339" s="62">
        <f t="shared" si="238"/>
        <v>0.9140913210734074</v>
      </c>
      <c r="W339" s="68">
        <f t="shared" si="239"/>
        <v>0.86858284554138654</v>
      </c>
      <c r="Y339" s="24"/>
      <c r="Z339" s="24"/>
      <c r="AA339" s="24"/>
      <c r="AB339" s="24"/>
      <c r="AC339" s="24"/>
      <c r="AD339" s="24"/>
      <c r="AE339" s="24">
        <f t="shared" si="252"/>
        <v>8.5814518977525386E-2</v>
      </c>
      <c r="AF339" s="24">
        <f t="shared" si="253"/>
        <v>8.9824798871969022E-2</v>
      </c>
      <c r="AG339" s="24">
        <f t="shared" si="254"/>
        <v>9.392820575056382E-2</v>
      </c>
      <c r="AH339" s="24">
        <f t="shared" si="255"/>
        <v>9.8096930777959321E-2</v>
      </c>
      <c r="AL339" s="23">
        <f t="shared" si="242"/>
        <v>0</v>
      </c>
      <c r="AM339" s="23">
        <f t="shared" si="243"/>
        <v>0</v>
      </c>
      <c r="AN339" s="23">
        <f t="shared" si="244"/>
        <v>0</v>
      </c>
      <c r="AO339" s="23">
        <f t="shared" si="245"/>
        <v>0</v>
      </c>
      <c r="AP339" s="23">
        <f t="shared" si="246"/>
        <v>0</v>
      </c>
      <c r="AQ339" s="23">
        <f t="shared" si="247"/>
        <v>0</v>
      </c>
      <c r="AR339" s="23">
        <f t="shared" si="248"/>
        <v>8692.5975131643245</v>
      </c>
      <c r="AS339" s="23">
        <f t="shared" si="249"/>
        <v>10151.590219194444</v>
      </c>
      <c r="AT339" s="23">
        <f t="shared" si="250"/>
        <v>11986.405329995918</v>
      </c>
      <c r="AU339" s="23">
        <f t="shared" si="251"/>
        <v>13200.097905884431</v>
      </c>
      <c r="AW339" s="25"/>
      <c r="AX339" s="25"/>
      <c r="AY339" s="25"/>
      <c r="AZ339" s="25"/>
      <c r="BA339" s="25"/>
      <c r="BB339" s="25"/>
      <c r="BC339" s="25">
        <f t="shared" si="256"/>
        <v>44030.69096823912</v>
      </c>
      <c r="BD339" s="25">
        <f t="shared" si="257"/>
        <v>35338.093455074792</v>
      </c>
      <c r="BE339" s="25">
        <f t="shared" si="258"/>
        <v>25186.503235880351</v>
      </c>
      <c r="BF339" s="25">
        <f t="shared" si="259"/>
        <v>13200.097905884431</v>
      </c>
      <c r="BG339" s="25">
        <f t="shared" si="260"/>
        <v>0</v>
      </c>
      <c r="BI339" s="25"/>
      <c r="BJ339" s="25"/>
      <c r="BK339" s="25"/>
      <c r="BL339" s="25"/>
      <c r="BM339" s="25"/>
      <c r="BN339" s="25"/>
      <c r="BO339" s="25">
        <f t="shared" si="233"/>
        <v>44030.69096823912</v>
      </c>
      <c r="BP339" s="25">
        <f t="shared" si="234"/>
        <v>35338.093455074792</v>
      </c>
      <c r="BQ339" s="25">
        <f t="shared" si="235"/>
        <v>25186.503235880351</v>
      </c>
      <c r="BR339" s="25">
        <f t="shared" si="236"/>
        <v>13200.097905884431</v>
      </c>
      <c r="BS339" s="25">
        <f t="shared" si="237"/>
        <v>0</v>
      </c>
    </row>
    <row r="340" spans="1:71" x14ac:dyDescent="0.2">
      <c r="A340" s="29">
        <f t="shared" si="261"/>
        <v>3.3199999999999732</v>
      </c>
      <c r="B340" s="30">
        <v>6.3615806836001154E-2</v>
      </c>
      <c r="C340" s="30">
        <v>6.5889491071082648E-2</v>
      </c>
      <c r="D340" s="30">
        <v>6.8478716439389797E-2</v>
      </c>
      <c r="E340" s="30">
        <v>7.1401951484307835E-2</v>
      </c>
      <c r="F340" s="30">
        <v>7.4629584689215281E-2</v>
      </c>
      <c r="G340" s="30">
        <v>7.811300867768961E-2</v>
      </c>
      <c r="H340" s="30">
        <v>8.1804258545798939E-2</v>
      </c>
      <c r="I340" s="30">
        <v>8.5661799197626481E-2</v>
      </c>
      <c r="J340" s="30">
        <v>8.9650180610282793E-2</v>
      </c>
      <c r="K340" s="30">
        <v>9.3738309595976205E-2</v>
      </c>
      <c r="L340" s="30">
        <v>9.7898007105703441E-2</v>
      </c>
      <c r="N340" s="1"/>
      <c r="O340" s="1"/>
      <c r="P340" s="1"/>
      <c r="Q340" s="1"/>
      <c r="R340" s="1"/>
      <c r="S340" s="1"/>
      <c r="T340" s="64">
        <f t="shared" si="240"/>
        <v>0.95992307371973684</v>
      </c>
      <c r="U340" s="66">
        <f t="shared" si="241"/>
        <v>0.91790461480843377</v>
      </c>
      <c r="V340" s="62">
        <f t="shared" si="238"/>
        <v>0.91425095204775164</v>
      </c>
      <c r="W340" s="68">
        <f t="shared" si="239"/>
        <v>0.86883029159496761</v>
      </c>
      <c r="Y340" s="24"/>
      <c r="Z340" s="24"/>
      <c r="AA340" s="24"/>
      <c r="AB340" s="24"/>
      <c r="AC340" s="24"/>
      <c r="AD340" s="24"/>
      <c r="AE340" s="24">
        <f t="shared" si="252"/>
        <v>8.5661799197626481E-2</v>
      </c>
      <c r="AF340" s="24">
        <f t="shared" si="253"/>
        <v>8.9650180610282793E-2</v>
      </c>
      <c r="AG340" s="24">
        <f t="shared" si="254"/>
        <v>9.3738309595976205E-2</v>
      </c>
      <c r="AH340" s="24">
        <f t="shared" si="255"/>
        <v>9.7898007105703441E-2</v>
      </c>
      <c r="AL340" s="23">
        <f t="shared" si="242"/>
        <v>0</v>
      </c>
      <c r="AM340" s="23">
        <f t="shared" si="243"/>
        <v>0</v>
      </c>
      <c r="AN340" s="23">
        <f t="shared" si="244"/>
        <v>0</v>
      </c>
      <c r="AO340" s="23">
        <f t="shared" si="245"/>
        <v>0</v>
      </c>
      <c r="AP340" s="23">
        <f t="shared" si="246"/>
        <v>0</v>
      </c>
      <c r="AQ340" s="23">
        <f t="shared" si="247"/>
        <v>0</v>
      </c>
      <c r="AR340" s="23">
        <f t="shared" si="248"/>
        <v>8619.8361905098918</v>
      </c>
      <c r="AS340" s="23">
        <f t="shared" si="249"/>
        <v>10072.999232093011</v>
      </c>
      <c r="AT340" s="23">
        <f t="shared" si="250"/>
        <v>11901.692187950139</v>
      </c>
      <c r="AU340" s="23">
        <f t="shared" si="251"/>
        <v>13117.442957101564</v>
      </c>
      <c r="AW340" s="25"/>
      <c r="AX340" s="25"/>
      <c r="AY340" s="25"/>
      <c r="AZ340" s="25"/>
      <c r="BA340" s="25"/>
      <c r="BB340" s="25"/>
      <c r="BC340" s="25">
        <f t="shared" si="256"/>
        <v>43711.970567654607</v>
      </c>
      <c r="BD340" s="25">
        <f t="shared" si="257"/>
        <v>35092.134377144714</v>
      </c>
      <c r="BE340" s="25">
        <f t="shared" si="258"/>
        <v>25019.135145051703</v>
      </c>
      <c r="BF340" s="25">
        <f t="shared" si="259"/>
        <v>13117.442957101564</v>
      </c>
      <c r="BG340" s="25">
        <f t="shared" si="260"/>
        <v>0</v>
      </c>
      <c r="BI340" s="25"/>
      <c r="BJ340" s="25"/>
      <c r="BK340" s="25"/>
      <c r="BL340" s="25"/>
      <c r="BM340" s="25"/>
      <c r="BN340" s="25"/>
      <c r="BO340" s="25">
        <f t="shared" si="233"/>
        <v>43711.970567654607</v>
      </c>
      <c r="BP340" s="25">
        <f t="shared" si="234"/>
        <v>35092.134377144714</v>
      </c>
      <c r="BQ340" s="25">
        <f t="shared" si="235"/>
        <v>25019.135145051703</v>
      </c>
      <c r="BR340" s="25">
        <f t="shared" si="236"/>
        <v>13117.442957101564</v>
      </c>
      <c r="BS340" s="25">
        <f t="shared" si="237"/>
        <v>0</v>
      </c>
    </row>
    <row r="341" spans="1:71" x14ac:dyDescent="0.2">
      <c r="A341" s="29">
        <f t="shared" si="261"/>
        <v>3.329999999999973</v>
      </c>
      <c r="B341" s="30">
        <v>6.204813000053111E-2</v>
      </c>
      <c r="C341" s="30">
        <v>6.4276788913723071E-2</v>
      </c>
      <c r="D341" s="30">
        <v>6.6830456002837324E-2</v>
      </c>
      <c r="E341" s="30">
        <v>6.9726229872625348E-2</v>
      </c>
      <c r="F341" s="30">
        <v>7.2933707923773447E-2</v>
      </c>
      <c r="G341" s="30">
        <v>7.640388213762371E-2</v>
      </c>
      <c r="H341" s="30">
        <v>8.0088500840184373E-2</v>
      </c>
      <c r="I341" s="30">
        <v>8.3945733799913533E-2</v>
      </c>
      <c r="J341" s="30">
        <v>8.7939800180591665E-2</v>
      </c>
      <c r="K341" s="30">
        <v>9.2039246328627533E-2</v>
      </c>
      <c r="L341" s="30">
        <v>9.6215515293764611E-2</v>
      </c>
      <c r="N341" s="1"/>
      <c r="O341" s="1"/>
      <c r="P341" s="1"/>
      <c r="Q341" s="1"/>
      <c r="R341" s="1"/>
      <c r="S341" s="1"/>
      <c r="T341" s="64">
        <f t="shared" si="240"/>
        <v>0.96074692475666745</v>
      </c>
      <c r="U341" s="66">
        <f t="shared" si="241"/>
        <v>0.91948115148943821</v>
      </c>
      <c r="V341" s="62">
        <f t="shared" si="238"/>
        <v>0.91581600702212596</v>
      </c>
      <c r="W341" s="68">
        <f t="shared" si="239"/>
        <v>0.87104741211693115</v>
      </c>
      <c r="Y341" s="24"/>
      <c r="Z341" s="24"/>
      <c r="AA341" s="24"/>
      <c r="AB341" s="24"/>
      <c r="AC341" s="24"/>
      <c r="AD341" s="24"/>
      <c r="AE341" s="24">
        <f t="shared" si="252"/>
        <v>8.3945733799913533E-2</v>
      </c>
      <c r="AF341" s="24">
        <f t="shared" si="253"/>
        <v>8.7939800180591665E-2</v>
      </c>
      <c r="AG341" s="24">
        <f t="shared" si="254"/>
        <v>9.2039246328627533E-2</v>
      </c>
      <c r="AH341" s="24">
        <f t="shared" si="255"/>
        <v>9.6215515293764611E-2</v>
      </c>
      <c r="AL341" s="23">
        <f t="shared" si="242"/>
        <v>0</v>
      </c>
      <c r="AM341" s="23">
        <f t="shared" si="243"/>
        <v>0</v>
      </c>
      <c r="AN341" s="23">
        <f t="shared" si="244"/>
        <v>0</v>
      </c>
      <c r="AO341" s="23">
        <f t="shared" si="245"/>
        <v>0</v>
      </c>
      <c r="AP341" s="23">
        <f t="shared" si="246"/>
        <v>0</v>
      </c>
      <c r="AQ341" s="23">
        <f t="shared" si="247"/>
        <v>0</v>
      </c>
      <c r="AR341" s="23">
        <f t="shared" si="248"/>
        <v>7802.8818617432298</v>
      </c>
      <c r="AS341" s="23">
        <f t="shared" si="249"/>
        <v>9303.9687144147538</v>
      </c>
      <c r="AT341" s="23">
        <f t="shared" si="250"/>
        <v>11144.051359299756</v>
      </c>
      <c r="AU341" s="23">
        <f t="shared" si="251"/>
        <v>12418.151573301458</v>
      </c>
      <c r="AW341" s="25"/>
      <c r="AX341" s="25"/>
      <c r="AY341" s="25"/>
      <c r="AZ341" s="25"/>
      <c r="BA341" s="25"/>
      <c r="BB341" s="25"/>
      <c r="BC341" s="25">
        <f t="shared" si="256"/>
        <v>40669.0535087592</v>
      </c>
      <c r="BD341" s="25">
        <f t="shared" si="257"/>
        <v>32866.171647015966</v>
      </c>
      <c r="BE341" s="25">
        <f t="shared" si="258"/>
        <v>23562.202932601213</v>
      </c>
      <c r="BF341" s="25">
        <f t="shared" si="259"/>
        <v>12418.151573301458</v>
      </c>
      <c r="BG341" s="25">
        <f t="shared" si="260"/>
        <v>0</v>
      </c>
      <c r="BI341" s="25"/>
      <c r="BJ341" s="25"/>
      <c r="BK341" s="25"/>
      <c r="BL341" s="25"/>
      <c r="BM341" s="25"/>
      <c r="BN341" s="25"/>
      <c r="BO341" s="25">
        <f t="shared" si="233"/>
        <v>40669.0535087592</v>
      </c>
      <c r="BP341" s="25">
        <f t="shared" si="234"/>
        <v>32866.171647015966</v>
      </c>
      <c r="BQ341" s="25">
        <f t="shared" si="235"/>
        <v>23562.202932601213</v>
      </c>
      <c r="BR341" s="25">
        <f t="shared" si="236"/>
        <v>12418.151573301458</v>
      </c>
      <c r="BS341" s="25">
        <f t="shared" si="237"/>
        <v>0</v>
      </c>
    </row>
    <row r="342" spans="1:71" x14ac:dyDescent="0.2">
      <c r="A342" s="29">
        <f t="shared" si="261"/>
        <v>3.3399999999999728</v>
      </c>
      <c r="B342" s="30">
        <v>6.1590008046278968E-2</v>
      </c>
      <c r="C342" s="30">
        <v>6.3787221879071376E-2</v>
      </c>
      <c r="D342" s="30">
        <v>6.6311865082892912E-2</v>
      </c>
      <c r="E342" s="30">
        <v>6.9180045163880571E-2</v>
      </c>
      <c r="F342" s="30">
        <v>7.2360943511737968E-2</v>
      </c>
      <c r="G342" s="30">
        <v>7.5805521005915713E-2</v>
      </c>
      <c r="H342" s="30">
        <v>7.9465606297951324E-2</v>
      </c>
      <c r="I342" s="30">
        <v>8.3299440570024072E-2</v>
      </c>
      <c r="J342" s="30">
        <v>8.7271278842435379E-2</v>
      </c>
      <c r="K342" s="30">
        <v>9.1349673909985801E-2</v>
      </c>
      <c r="L342" s="30">
        <v>9.5506058027001406E-2</v>
      </c>
      <c r="N342" s="1"/>
      <c r="O342" s="1"/>
      <c r="P342" s="1"/>
      <c r="Q342" s="1"/>
      <c r="R342" s="1"/>
      <c r="S342" s="1"/>
      <c r="T342" s="64">
        <f t="shared" si="240"/>
        <v>0.96104619336539321</v>
      </c>
      <c r="U342" s="66">
        <f t="shared" si="241"/>
        <v>0.92007559800534466</v>
      </c>
      <c r="V342" s="62">
        <f t="shared" si="238"/>
        <v>0.91642845425885888</v>
      </c>
      <c r="W342" s="68">
        <f t="shared" si="239"/>
        <v>0.87194885364956132</v>
      </c>
      <c r="Y342" s="24"/>
      <c r="Z342" s="24"/>
      <c r="AA342" s="24"/>
      <c r="AB342" s="24"/>
      <c r="AC342" s="24"/>
      <c r="AD342" s="24"/>
      <c r="AE342" s="24">
        <f t="shared" si="252"/>
        <v>8.3299440570024072E-2</v>
      </c>
      <c r="AF342" s="24">
        <f t="shared" si="253"/>
        <v>8.7271278842435379E-2</v>
      </c>
      <c r="AG342" s="24">
        <f t="shared" si="254"/>
        <v>9.1349673909985801E-2</v>
      </c>
      <c r="AH342" s="24">
        <f t="shared" si="255"/>
        <v>9.5506058027001406E-2</v>
      </c>
      <c r="AL342" s="23">
        <f t="shared" si="242"/>
        <v>0</v>
      </c>
      <c r="AM342" s="23">
        <f t="shared" si="243"/>
        <v>0</v>
      </c>
      <c r="AN342" s="23">
        <f t="shared" si="244"/>
        <v>0</v>
      </c>
      <c r="AO342" s="23">
        <f t="shared" si="245"/>
        <v>0</v>
      </c>
      <c r="AP342" s="23">
        <f t="shared" si="246"/>
        <v>0</v>
      </c>
      <c r="AQ342" s="23">
        <f t="shared" si="247"/>
        <v>0</v>
      </c>
      <c r="AR342" s="23">
        <f t="shared" si="248"/>
        <v>7494.7536022910999</v>
      </c>
      <c r="AS342" s="23">
        <f t="shared" si="249"/>
        <v>9002.4386649432399</v>
      </c>
      <c r="AT342" s="23">
        <f t="shared" si="250"/>
        <v>10835.531993378347</v>
      </c>
      <c r="AU342" s="23">
        <f t="shared" si="251"/>
        <v>12121.697815658265</v>
      </c>
      <c r="AW342" s="25"/>
      <c r="AX342" s="25"/>
      <c r="AY342" s="25"/>
      <c r="AZ342" s="25"/>
      <c r="BA342" s="25"/>
      <c r="BB342" s="25"/>
      <c r="BC342" s="25">
        <f t="shared" si="256"/>
        <v>39454.422076270952</v>
      </c>
      <c r="BD342" s="25">
        <f t="shared" si="257"/>
        <v>31959.668473979851</v>
      </c>
      <c r="BE342" s="25">
        <f t="shared" si="258"/>
        <v>22957.229809036609</v>
      </c>
      <c r="BF342" s="25">
        <f t="shared" si="259"/>
        <v>12121.697815658265</v>
      </c>
      <c r="BG342" s="25">
        <f t="shared" si="260"/>
        <v>0</v>
      </c>
      <c r="BI342" s="25"/>
      <c r="BJ342" s="25"/>
      <c r="BK342" s="25"/>
      <c r="BL342" s="25"/>
      <c r="BM342" s="25"/>
      <c r="BN342" s="25"/>
      <c r="BO342" s="25">
        <f t="shared" si="233"/>
        <v>39454.422076270952</v>
      </c>
      <c r="BP342" s="25">
        <f t="shared" si="234"/>
        <v>31959.668473979851</v>
      </c>
      <c r="BQ342" s="25">
        <f t="shared" si="235"/>
        <v>22957.229809036609</v>
      </c>
      <c r="BR342" s="25">
        <f t="shared" si="236"/>
        <v>12121.697815658265</v>
      </c>
      <c r="BS342" s="25">
        <f t="shared" si="237"/>
        <v>0</v>
      </c>
    </row>
    <row r="343" spans="1:71" x14ac:dyDescent="0.2">
      <c r="A343" s="29">
        <f t="shared" si="261"/>
        <v>3.3499999999999726</v>
      </c>
      <c r="B343" s="30">
        <v>6.2184480590871762E-2</v>
      </c>
      <c r="C343" s="30">
        <v>6.4301696959509852E-2</v>
      </c>
      <c r="D343" s="30">
        <v>6.6750130402650321E-2</v>
      </c>
      <c r="E343" s="30">
        <v>6.954491602012608E-2</v>
      </c>
      <c r="F343" s="30">
        <v>7.2654834079397684E-2</v>
      </c>
      <c r="G343" s="30">
        <v>7.6030823777130399E-2</v>
      </c>
      <c r="H343" s="30">
        <v>7.9624801102712625E-2</v>
      </c>
      <c r="I343" s="30">
        <v>8.339508513145856E-2</v>
      </c>
      <c r="J343" s="30">
        <v>8.730597334258576E-2</v>
      </c>
      <c r="K343" s="30">
        <v>9.1326031824968124E-2</v>
      </c>
      <c r="L343" s="30">
        <v>9.5426689073337026E-2</v>
      </c>
      <c r="N343" s="1"/>
      <c r="O343" s="1"/>
      <c r="P343" s="1"/>
      <c r="Q343" s="1"/>
      <c r="R343" s="1"/>
      <c r="S343" s="1"/>
      <c r="T343" s="64">
        <f t="shared" si="240"/>
        <v>0.96096969962922518</v>
      </c>
      <c r="U343" s="66">
        <f t="shared" si="241"/>
        <v>0.91998760198652429</v>
      </c>
      <c r="V343" s="62">
        <f t="shared" si="238"/>
        <v>0.91639665978326468</v>
      </c>
      <c r="W343" s="68">
        <f t="shared" si="239"/>
        <v>0.87197977623125744</v>
      </c>
      <c r="Y343" s="24"/>
      <c r="Z343" s="24"/>
      <c r="AA343" s="24"/>
      <c r="AB343" s="24"/>
      <c r="AC343" s="24"/>
      <c r="AD343" s="24"/>
      <c r="AE343" s="24">
        <f t="shared" si="252"/>
        <v>8.339508513145856E-2</v>
      </c>
      <c r="AF343" s="24">
        <f t="shared" si="253"/>
        <v>8.730597334258576E-2</v>
      </c>
      <c r="AG343" s="24">
        <f t="shared" si="254"/>
        <v>9.1326031824968124E-2</v>
      </c>
      <c r="AH343" s="24">
        <f t="shared" si="255"/>
        <v>9.5426689073337026E-2</v>
      </c>
      <c r="AL343" s="23">
        <f t="shared" si="242"/>
        <v>0</v>
      </c>
      <c r="AM343" s="23">
        <f t="shared" si="243"/>
        <v>0</v>
      </c>
      <c r="AN343" s="23">
        <f t="shared" si="244"/>
        <v>0</v>
      </c>
      <c r="AO343" s="23">
        <f t="shared" si="245"/>
        <v>0</v>
      </c>
      <c r="AP343" s="23">
        <f t="shared" si="246"/>
        <v>0</v>
      </c>
      <c r="AQ343" s="23">
        <f t="shared" si="247"/>
        <v>0</v>
      </c>
      <c r="AR343" s="23">
        <f t="shared" si="248"/>
        <v>7540.1128258511071</v>
      </c>
      <c r="AS343" s="23">
        <f t="shared" si="249"/>
        <v>9017.5369268183367</v>
      </c>
      <c r="AT343" s="23">
        <f t="shared" si="250"/>
        <v>10824.323302663053</v>
      </c>
      <c r="AU343" s="23">
        <f t="shared" si="251"/>
        <v>12087.523635368168</v>
      </c>
      <c r="AW343" s="25"/>
      <c r="AX343" s="25"/>
      <c r="AY343" s="25"/>
      <c r="AZ343" s="25"/>
      <c r="BA343" s="25"/>
      <c r="BB343" s="25"/>
      <c r="BC343" s="25">
        <f t="shared" si="256"/>
        <v>39469.496690700667</v>
      </c>
      <c r="BD343" s="25">
        <f t="shared" si="257"/>
        <v>31929.383864849558</v>
      </c>
      <c r="BE343" s="25">
        <f t="shared" si="258"/>
        <v>22911.846938031224</v>
      </c>
      <c r="BF343" s="25">
        <f t="shared" si="259"/>
        <v>12087.523635368168</v>
      </c>
      <c r="BG343" s="25">
        <f t="shared" si="260"/>
        <v>0</v>
      </c>
      <c r="BI343" s="25"/>
      <c r="BJ343" s="25"/>
      <c r="BK343" s="25"/>
      <c r="BL343" s="25"/>
      <c r="BM343" s="25"/>
      <c r="BN343" s="25"/>
      <c r="BO343" s="25">
        <f t="shared" si="233"/>
        <v>39469.496690700667</v>
      </c>
      <c r="BP343" s="25">
        <f t="shared" si="234"/>
        <v>31929.383864849558</v>
      </c>
      <c r="BQ343" s="25">
        <f t="shared" si="235"/>
        <v>22911.846938031224</v>
      </c>
      <c r="BR343" s="25">
        <f t="shared" si="236"/>
        <v>12087.523635368168</v>
      </c>
      <c r="BS343" s="25">
        <f t="shared" si="237"/>
        <v>0</v>
      </c>
    </row>
    <row r="344" spans="1:71" x14ac:dyDescent="0.2">
      <c r="A344" s="29">
        <f t="shared" si="261"/>
        <v>3.3599999999999723</v>
      </c>
      <c r="B344" s="30">
        <v>6.2190844076097228E-2</v>
      </c>
      <c r="C344" s="30">
        <v>6.424814770401692E-2</v>
      </c>
      <c r="D344" s="30">
        <v>6.6637071205796441E-2</v>
      </c>
      <c r="E344" s="30">
        <v>6.9371941233626985E-2</v>
      </c>
      <c r="F344" s="30">
        <v>7.242129705449632E-2</v>
      </c>
      <c r="G344" s="30">
        <v>7.5736210895678266E-2</v>
      </c>
      <c r="H344" s="30">
        <v>7.9268838428498925E-2</v>
      </c>
      <c r="I344" s="30">
        <v>8.2977728445704169E-2</v>
      </c>
      <c r="J344" s="30">
        <v>8.6827372835112021E-2</v>
      </c>
      <c r="K344" s="30">
        <v>9.0786503171577451E-2</v>
      </c>
      <c r="L344" s="30">
        <v>9.4826696570788835E-2</v>
      </c>
      <c r="N344" s="1"/>
      <c r="O344" s="1"/>
      <c r="P344" s="1"/>
      <c r="Q344" s="1"/>
      <c r="R344" s="1"/>
      <c r="S344" s="1"/>
      <c r="T344" s="64">
        <f t="shared" si="240"/>
        <v>0.96114074952267725</v>
      </c>
      <c r="U344" s="66">
        <f t="shared" si="241"/>
        <v>0.92037164509893021</v>
      </c>
      <c r="V344" s="62">
        <f t="shared" si="238"/>
        <v>0.91683535266062721</v>
      </c>
      <c r="W344" s="68">
        <f t="shared" si="239"/>
        <v>0.87268574897379891</v>
      </c>
      <c r="Y344" s="24"/>
      <c r="Z344" s="24"/>
      <c r="AA344" s="24"/>
      <c r="AB344" s="24"/>
      <c r="AC344" s="24"/>
      <c r="AD344" s="24"/>
      <c r="AE344" s="24">
        <f t="shared" si="252"/>
        <v>8.2977728445704169E-2</v>
      </c>
      <c r="AF344" s="24">
        <f t="shared" si="253"/>
        <v>8.6827372835112021E-2</v>
      </c>
      <c r="AG344" s="24">
        <f t="shared" si="254"/>
        <v>9.0786503171577451E-2</v>
      </c>
      <c r="AH344" s="24">
        <f t="shared" si="255"/>
        <v>9.4826696570788835E-2</v>
      </c>
      <c r="AL344" s="23">
        <f t="shared" si="242"/>
        <v>0</v>
      </c>
      <c r="AM344" s="23">
        <f t="shared" si="243"/>
        <v>0</v>
      </c>
      <c r="AN344" s="23">
        <f t="shared" si="244"/>
        <v>0</v>
      </c>
      <c r="AO344" s="23">
        <f t="shared" si="245"/>
        <v>0</v>
      </c>
      <c r="AP344" s="23">
        <f t="shared" si="246"/>
        <v>0</v>
      </c>
      <c r="AQ344" s="23">
        <f t="shared" si="247"/>
        <v>0</v>
      </c>
      <c r="AR344" s="23">
        <f t="shared" si="248"/>
        <v>7340.8856857641576</v>
      </c>
      <c r="AS344" s="23">
        <f t="shared" si="249"/>
        <v>8801.0560734157207</v>
      </c>
      <c r="AT344" s="23">
        <f t="shared" si="250"/>
        <v>10582.175597586926</v>
      </c>
      <c r="AU344" s="23">
        <f t="shared" si="251"/>
        <v>11835.507489621272</v>
      </c>
      <c r="AW344" s="25"/>
      <c r="AX344" s="25"/>
      <c r="AY344" s="25"/>
      <c r="AZ344" s="25"/>
      <c r="BA344" s="25"/>
      <c r="BB344" s="25"/>
      <c r="BC344" s="25">
        <f t="shared" si="256"/>
        <v>38559.624846388077</v>
      </c>
      <c r="BD344" s="25">
        <f t="shared" si="257"/>
        <v>31218.739160623918</v>
      </c>
      <c r="BE344" s="25">
        <f t="shared" si="258"/>
        <v>22417.683087208199</v>
      </c>
      <c r="BF344" s="25">
        <f t="shared" si="259"/>
        <v>11835.507489621272</v>
      </c>
      <c r="BG344" s="25">
        <f t="shared" si="260"/>
        <v>0</v>
      </c>
      <c r="BI344" s="25"/>
      <c r="BJ344" s="25"/>
      <c r="BK344" s="25"/>
      <c r="BL344" s="25"/>
      <c r="BM344" s="25"/>
      <c r="BN344" s="25"/>
      <c r="BO344" s="25">
        <f t="shared" si="233"/>
        <v>38559.624846388077</v>
      </c>
      <c r="BP344" s="25">
        <f t="shared" si="234"/>
        <v>31218.739160623918</v>
      </c>
      <c r="BQ344" s="25">
        <f t="shared" si="235"/>
        <v>22417.683087208199</v>
      </c>
      <c r="BR344" s="25">
        <f t="shared" si="236"/>
        <v>11835.507489621272</v>
      </c>
      <c r="BS344" s="25">
        <f t="shared" si="237"/>
        <v>0</v>
      </c>
    </row>
    <row r="345" spans="1:71" x14ac:dyDescent="0.2">
      <c r="A345" s="29">
        <f t="shared" si="261"/>
        <v>3.3699999999999721</v>
      </c>
      <c r="B345" s="30">
        <v>6.190825200426664E-2</v>
      </c>
      <c r="C345" s="30">
        <v>6.3991021612663707E-2</v>
      </c>
      <c r="D345" s="30">
        <v>6.6402779389020741E-2</v>
      </c>
      <c r="E345" s="30">
        <v>6.9157074701850618E-2</v>
      </c>
      <c r="F345" s="30">
        <v>7.2222233113309928E-2</v>
      </c>
      <c r="G345" s="30">
        <v>7.5549481829327636E-2</v>
      </c>
      <c r="H345" s="30">
        <v>7.9091235818897446E-2</v>
      </c>
      <c r="I345" s="30">
        <v>8.2806292701040299E-2</v>
      </c>
      <c r="J345" s="30">
        <v>8.6659358008742249E-2</v>
      </c>
      <c r="K345" s="30">
        <v>9.061934828055894E-2</v>
      </c>
      <c r="L345" s="30">
        <v>9.4658008918007977E-2</v>
      </c>
      <c r="N345" s="1"/>
      <c r="O345" s="1"/>
      <c r="P345" s="1"/>
      <c r="Q345" s="1"/>
      <c r="R345" s="1"/>
      <c r="S345" s="1"/>
      <c r="T345" s="64">
        <f t="shared" si="240"/>
        <v>0.96122610386506446</v>
      </c>
      <c r="U345" s="66">
        <f t="shared" si="241"/>
        <v>0.92052944322300823</v>
      </c>
      <c r="V345" s="62">
        <f t="shared" si="238"/>
        <v>0.91698940753460312</v>
      </c>
      <c r="W345" s="68">
        <f t="shared" si="239"/>
        <v>0.87290458694442508</v>
      </c>
      <c r="Y345" s="24"/>
      <c r="Z345" s="24"/>
      <c r="AA345" s="24"/>
      <c r="AB345" s="24"/>
      <c r="AC345" s="24"/>
      <c r="AD345" s="24"/>
      <c r="AE345" s="24">
        <f t="shared" si="252"/>
        <v>8.2806292701040299E-2</v>
      </c>
      <c r="AF345" s="24">
        <f t="shared" si="253"/>
        <v>8.6659358008742249E-2</v>
      </c>
      <c r="AG345" s="24">
        <f t="shared" si="254"/>
        <v>9.061934828055894E-2</v>
      </c>
      <c r="AH345" s="24">
        <f t="shared" si="255"/>
        <v>9.4658008918007977E-2</v>
      </c>
      <c r="AL345" s="23">
        <f t="shared" si="242"/>
        <v>0</v>
      </c>
      <c r="AM345" s="23">
        <f t="shared" si="243"/>
        <v>0</v>
      </c>
      <c r="AN345" s="23">
        <f t="shared" si="244"/>
        <v>0</v>
      </c>
      <c r="AO345" s="23">
        <f t="shared" si="245"/>
        <v>0</v>
      </c>
      <c r="AP345" s="23">
        <f t="shared" si="246"/>
        <v>0</v>
      </c>
      <c r="AQ345" s="23">
        <f t="shared" si="247"/>
        <v>0</v>
      </c>
      <c r="AR345" s="23">
        <f t="shared" si="248"/>
        <v>7259.1433384829825</v>
      </c>
      <c r="AS345" s="23">
        <f t="shared" si="249"/>
        <v>8725.2337210716632</v>
      </c>
      <c r="AT345" s="23">
        <f t="shared" si="250"/>
        <v>10507.314077112165</v>
      </c>
      <c r="AU345" s="23">
        <f t="shared" si="251"/>
        <v>11764.851293192258</v>
      </c>
      <c r="AW345" s="25"/>
      <c r="AX345" s="25"/>
      <c r="AY345" s="25"/>
      <c r="AZ345" s="25"/>
      <c r="BA345" s="25"/>
      <c r="BB345" s="25"/>
      <c r="BC345" s="25">
        <f t="shared" si="256"/>
        <v>38256.542429859066</v>
      </c>
      <c r="BD345" s="25">
        <f t="shared" si="257"/>
        <v>30997.399091376086</v>
      </c>
      <c r="BE345" s="25">
        <f t="shared" si="258"/>
        <v>22272.165370304421</v>
      </c>
      <c r="BF345" s="25">
        <f t="shared" si="259"/>
        <v>11764.851293192258</v>
      </c>
      <c r="BG345" s="25">
        <f t="shared" si="260"/>
        <v>0</v>
      </c>
      <c r="BI345" s="25"/>
      <c r="BJ345" s="25"/>
      <c r="BK345" s="25"/>
      <c r="BL345" s="25"/>
      <c r="BM345" s="25"/>
      <c r="BN345" s="25"/>
      <c r="BO345" s="25">
        <f t="shared" si="233"/>
        <v>38256.542429859066</v>
      </c>
      <c r="BP345" s="25">
        <f t="shared" si="234"/>
        <v>30997.399091376086</v>
      </c>
      <c r="BQ345" s="25">
        <f t="shared" si="235"/>
        <v>22272.165370304421</v>
      </c>
      <c r="BR345" s="25">
        <f t="shared" si="236"/>
        <v>11764.851293192258</v>
      </c>
      <c r="BS345" s="25">
        <f t="shared" si="237"/>
        <v>0</v>
      </c>
    </row>
    <row r="346" spans="1:71" x14ac:dyDescent="0.2">
      <c r="A346" s="29">
        <f t="shared" si="261"/>
        <v>3.3799999999999719</v>
      </c>
      <c r="B346" s="30">
        <v>6.3482885250346885E-2</v>
      </c>
      <c r="C346" s="30">
        <v>6.5493518371912973E-2</v>
      </c>
      <c r="D346" s="30">
        <v>6.7839870029814994E-2</v>
      </c>
      <c r="E346" s="30">
        <v>7.0534371075164776E-2</v>
      </c>
      <c r="F346" s="30">
        <v>7.3544788233657774E-2</v>
      </c>
      <c r="G346" s="30">
        <v>7.6822153270958718E-2</v>
      </c>
      <c r="H346" s="30">
        <v>8.0318787739001335E-2</v>
      </c>
      <c r="I346" s="30">
        <v>8.399338487415986E-2</v>
      </c>
      <c r="J346" s="30">
        <v>8.7810510775659351E-2</v>
      </c>
      <c r="K346" s="30">
        <v>9.1738914106898994E-2</v>
      </c>
      <c r="L346" s="30">
        <v>9.5750155902036366E-2</v>
      </c>
      <c r="N346" s="1"/>
      <c r="O346" s="1"/>
      <c r="P346" s="1"/>
      <c r="Q346" s="1"/>
      <c r="R346" s="1"/>
      <c r="S346" s="1"/>
      <c r="T346" s="64">
        <f t="shared" si="240"/>
        <v>0.96063630741029604</v>
      </c>
      <c r="U346" s="66">
        <f t="shared" si="241"/>
        <v>0.91943733826870222</v>
      </c>
      <c r="V346" s="62">
        <f t="shared" si="238"/>
        <v>0.91593441998330705</v>
      </c>
      <c r="W346" s="68">
        <f t="shared" si="239"/>
        <v>0.87143990592596432</v>
      </c>
      <c r="Y346" s="24"/>
      <c r="Z346" s="24"/>
      <c r="AA346" s="24"/>
      <c r="AB346" s="24"/>
      <c r="AC346" s="24"/>
      <c r="AD346" s="24"/>
      <c r="AE346" s="24">
        <f t="shared" si="252"/>
        <v>8.399338487415986E-2</v>
      </c>
      <c r="AF346" s="24">
        <f t="shared" si="253"/>
        <v>8.7810510775659351E-2</v>
      </c>
      <c r="AG346" s="24">
        <f t="shared" si="254"/>
        <v>9.1738914106898994E-2</v>
      </c>
      <c r="AH346" s="24">
        <f t="shared" si="255"/>
        <v>9.5750155902036366E-2</v>
      </c>
      <c r="AL346" s="23">
        <f t="shared" si="242"/>
        <v>0</v>
      </c>
      <c r="AM346" s="23">
        <f t="shared" si="243"/>
        <v>0</v>
      </c>
      <c r="AN346" s="23">
        <f t="shared" si="244"/>
        <v>0</v>
      </c>
      <c r="AO346" s="23">
        <f t="shared" si="245"/>
        <v>0</v>
      </c>
      <c r="AP346" s="23">
        <f t="shared" si="246"/>
        <v>0</v>
      </c>
      <c r="AQ346" s="23">
        <f t="shared" si="247"/>
        <v>0</v>
      </c>
      <c r="AR346" s="23">
        <f t="shared" si="248"/>
        <v>7824.871138737778</v>
      </c>
      <c r="AS346" s="23">
        <f t="shared" si="249"/>
        <v>9244.0886277048448</v>
      </c>
      <c r="AT346" s="23">
        <f t="shared" si="250"/>
        <v>11007.949950557524</v>
      </c>
      <c r="AU346" s="23">
        <f t="shared" si="251"/>
        <v>12220.980817917807</v>
      </c>
      <c r="AW346" s="25"/>
      <c r="AX346" s="25"/>
      <c r="AY346" s="25"/>
      <c r="AZ346" s="25"/>
      <c r="BA346" s="25"/>
      <c r="BB346" s="25"/>
      <c r="BC346" s="25">
        <f t="shared" si="256"/>
        <v>40297.890534917955</v>
      </c>
      <c r="BD346" s="25">
        <f t="shared" si="257"/>
        <v>32473.019396180178</v>
      </c>
      <c r="BE346" s="25">
        <f t="shared" si="258"/>
        <v>23228.930768475329</v>
      </c>
      <c r="BF346" s="25">
        <f t="shared" si="259"/>
        <v>12220.980817917807</v>
      </c>
      <c r="BG346" s="25">
        <f t="shared" si="260"/>
        <v>0</v>
      </c>
      <c r="BI346" s="25"/>
      <c r="BJ346" s="25"/>
      <c r="BK346" s="25"/>
      <c r="BL346" s="25"/>
      <c r="BM346" s="25"/>
      <c r="BN346" s="25"/>
      <c r="BO346" s="25">
        <f t="shared" si="233"/>
        <v>40297.890534917955</v>
      </c>
      <c r="BP346" s="25">
        <f t="shared" si="234"/>
        <v>32473.019396180178</v>
      </c>
      <c r="BQ346" s="25">
        <f t="shared" si="235"/>
        <v>23228.930768475329</v>
      </c>
      <c r="BR346" s="25">
        <f t="shared" si="236"/>
        <v>12220.980817917807</v>
      </c>
      <c r="BS346" s="25">
        <f t="shared" si="237"/>
        <v>0</v>
      </c>
    </row>
    <row r="347" spans="1:71" x14ac:dyDescent="0.2">
      <c r="A347" s="29">
        <f t="shared" si="261"/>
        <v>3.3899999999999717</v>
      </c>
      <c r="B347" s="30">
        <v>6.3561399012029632E-2</v>
      </c>
      <c r="C347" s="30">
        <v>6.5537027877505066E-2</v>
      </c>
      <c r="D347" s="30">
        <v>6.7849227075154395E-2</v>
      </c>
      <c r="E347" s="30">
        <v>7.0509581771002361E-2</v>
      </c>
      <c r="F347" s="30">
        <v>7.3485568760902453E-2</v>
      </c>
      <c r="G347" s="30">
        <v>7.6728288049414395E-2</v>
      </c>
      <c r="H347" s="30">
        <v>8.0190229190795465E-2</v>
      </c>
      <c r="I347" s="30">
        <v>8.3830241976446021E-2</v>
      </c>
      <c r="J347" s="30">
        <v>8.7613014141697476E-2</v>
      </c>
      <c r="K347" s="30">
        <v>9.1507387783643687E-2</v>
      </c>
      <c r="L347" s="30">
        <v>9.5485001062122238E-2</v>
      </c>
      <c r="N347" s="1"/>
      <c r="O347" s="1"/>
      <c r="P347" s="1"/>
      <c r="Q347" s="1"/>
      <c r="R347" s="1"/>
      <c r="S347" s="1"/>
      <c r="T347" s="64">
        <f t="shared" si="240"/>
        <v>0.96069805839944633</v>
      </c>
      <c r="U347" s="66">
        <f t="shared" si="241"/>
        <v>0.91958735017668969</v>
      </c>
      <c r="V347" s="62">
        <f t="shared" si="238"/>
        <v>0.91611533181233418</v>
      </c>
      <c r="W347" s="68">
        <f t="shared" si="239"/>
        <v>0.87174260040026152</v>
      </c>
      <c r="Y347" s="24"/>
      <c r="Z347" s="24"/>
      <c r="AA347" s="24"/>
      <c r="AB347" s="24"/>
      <c r="AC347" s="24"/>
      <c r="AD347" s="24"/>
      <c r="AE347" s="24">
        <f t="shared" si="252"/>
        <v>8.3830241976446021E-2</v>
      </c>
      <c r="AF347" s="24">
        <f t="shared" si="253"/>
        <v>8.7613014141697476E-2</v>
      </c>
      <c r="AG347" s="24">
        <f t="shared" si="254"/>
        <v>9.1507387783643687E-2</v>
      </c>
      <c r="AH347" s="24">
        <f t="shared" si="255"/>
        <v>9.5485001062122238E-2</v>
      </c>
      <c r="AL347" s="23">
        <f t="shared" si="242"/>
        <v>0</v>
      </c>
      <c r="AM347" s="23">
        <f t="shared" si="243"/>
        <v>0</v>
      </c>
      <c r="AN347" s="23">
        <f t="shared" si="244"/>
        <v>0</v>
      </c>
      <c r="AO347" s="23">
        <f t="shared" si="245"/>
        <v>0</v>
      </c>
      <c r="AP347" s="23">
        <f t="shared" si="246"/>
        <v>0</v>
      </c>
      <c r="AQ347" s="23">
        <f t="shared" si="247"/>
        <v>0</v>
      </c>
      <c r="AR347" s="23">
        <f t="shared" si="248"/>
        <v>7747.0085994026977</v>
      </c>
      <c r="AS347" s="23">
        <f t="shared" si="249"/>
        <v>9154.7891549885808</v>
      </c>
      <c r="AT347" s="23">
        <f t="shared" si="250"/>
        <v>10904.071791089656</v>
      </c>
      <c r="AU347" s="23">
        <f t="shared" si="251"/>
        <v>12109.652388294586</v>
      </c>
      <c r="AW347" s="25"/>
      <c r="AX347" s="25"/>
      <c r="AY347" s="25"/>
      <c r="AZ347" s="25"/>
      <c r="BA347" s="25"/>
      <c r="BB347" s="25"/>
      <c r="BC347" s="25">
        <f t="shared" si="256"/>
        <v>39915.521933775519</v>
      </c>
      <c r="BD347" s="25">
        <f t="shared" si="257"/>
        <v>32168.513334372823</v>
      </c>
      <c r="BE347" s="25">
        <f t="shared" si="258"/>
        <v>23013.72417938424</v>
      </c>
      <c r="BF347" s="25">
        <f t="shared" si="259"/>
        <v>12109.652388294586</v>
      </c>
      <c r="BG347" s="25">
        <f t="shared" si="260"/>
        <v>0</v>
      </c>
      <c r="BI347" s="25"/>
      <c r="BJ347" s="25"/>
      <c r="BK347" s="25"/>
      <c r="BL347" s="25"/>
      <c r="BM347" s="25"/>
      <c r="BN347" s="25"/>
      <c r="BO347" s="25">
        <f t="shared" si="233"/>
        <v>39915.521933775519</v>
      </c>
      <c r="BP347" s="25">
        <f t="shared" si="234"/>
        <v>32168.513334372823</v>
      </c>
      <c r="BQ347" s="25">
        <f t="shared" si="235"/>
        <v>23013.72417938424</v>
      </c>
      <c r="BR347" s="25">
        <f t="shared" si="236"/>
        <v>12109.652388294586</v>
      </c>
      <c r="BS347" s="25">
        <f t="shared" si="237"/>
        <v>0</v>
      </c>
    </row>
    <row r="348" spans="1:71" x14ac:dyDescent="0.2">
      <c r="A348" s="29">
        <f t="shared" si="261"/>
        <v>3.3999999999999715</v>
      </c>
      <c r="B348" s="30">
        <v>6.2476092790461034E-2</v>
      </c>
      <c r="C348" s="30">
        <v>6.4546144058764243E-2</v>
      </c>
      <c r="D348" s="30">
        <v>6.6943216868587938E-2</v>
      </c>
      <c r="E348" s="30">
        <v>6.967841501883687E-2</v>
      </c>
      <c r="F348" s="30">
        <v>7.2719285741759426E-2</v>
      </c>
      <c r="G348" s="30">
        <v>7.6017352478941105E-2</v>
      </c>
      <c r="H348" s="30">
        <v>7.9525625760878904E-2</v>
      </c>
      <c r="I348" s="30">
        <v>8.3203464438483102E-2</v>
      </c>
      <c r="J348" s="30">
        <v>8.7016030522005378E-2</v>
      </c>
      <c r="K348" s="30">
        <v>9.0932612418936132E-2</v>
      </c>
      <c r="L348" s="30">
        <v>9.4925278474211214E-2</v>
      </c>
      <c r="N348" s="1"/>
      <c r="O348" s="1"/>
      <c r="P348" s="1"/>
      <c r="Q348" s="1"/>
      <c r="R348" s="1"/>
      <c r="S348" s="1"/>
      <c r="T348" s="64">
        <f t="shared" si="240"/>
        <v>0.96101735305995306</v>
      </c>
      <c r="U348" s="66">
        <f t="shared" si="241"/>
        <v>0.92016390753970245</v>
      </c>
      <c r="V348" s="62">
        <f t="shared" si="238"/>
        <v>0.91666240093858109</v>
      </c>
      <c r="W348" s="68">
        <f t="shared" si="239"/>
        <v>0.87249450874409418</v>
      </c>
      <c r="Y348" s="24"/>
      <c r="Z348" s="24"/>
      <c r="AA348" s="24"/>
      <c r="AB348" s="24"/>
      <c r="AC348" s="24"/>
      <c r="AD348" s="24"/>
      <c r="AE348" s="24">
        <f t="shared" si="252"/>
        <v>8.3203464438483102E-2</v>
      </c>
      <c r="AF348" s="24">
        <f t="shared" si="253"/>
        <v>8.7016030522005378E-2</v>
      </c>
      <c r="AG348" s="24">
        <f t="shared" si="254"/>
        <v>9.0932612418936132E-2</v>
      </c>
      <c r="AH348" s="24">
        <f t="shared" si="255"/>
        <v>9.4925278474211214E-2</v>
      </c>
      <c r="AL348" s="23">
        <f t="shared" si="242"/>
        <v>0</v>
      </c>
      <c r="AM348" s="23">
        <f t="shared" si="243"/>
        <v>0</v>
      </c>
      <c r="AN348" s="23">
        <f t="shared" si="244"/>
        <v>0</v>
      </c>
      <c r="AO348" s="23">
        <f t="shared" si="245"/>
        <v>0</v>
      </c>
      <c r="AP348" s="23">
        <f t="shared" si="246"/>
        <v>0</v>
      </c>
      <c r="AQ348" s="23">
        <f t="shared" si="247"/>
        <v>0</v>
      </c>
      <c r="AR348" s="23">
        <f t="shared" si="248"/>
        <v>7448.4113261776829</v>
      </c>
      <c r="AS348" s="23">
        <f t="shared" si="249"/>
        <v>8885.8675796847674</v>
      </c>
      <c r="AT348" s="23">
        <f t="shared" si="250"/>
        <v>10647.145803865042</v>
      </c>
      <c r="AU348" s="23">
        <f t="shared" si="251"/>
        <v>11875.919942908462</v>
      </c>
      <c r="AW348" s="25"/>
      <c r="AX348" s="25"/>
      <c r="AY348" s="25"/>
      <c r="AZ348" s="25"/>
      <c r="BA348" s="25"/>
      <c r="BB348" s="25"/>
      <c r="BC348" s="25">
        <f t="shared" si="256"/>
        <v>38857.344652635955</v>
      </c>
      <c r="BD348" s="25">
        <f t="shared" si="257"/>
        <v>31408.933326458271</v>
      </c>
      <c r="BE348" s="25">
        <f t="shared" si="258"/>
        <v>22523.065746773504</v>
      </c>
      <c r="BF348" s="25">
        <f t="shared" si="259"/>
        <v>11875.919942908462</v>
      </c>
      <c r="BG348" s="25">
        <f t="shared" si="260"/>
        <v>0</v>
      </c>
      <c r="BI348" s="25"/>
      <c r="BJ348" s="25"/>
      <c r="BK348" s="25"/>
      <c r="BL348" s="25"/>
      <c r="BM348" s="25"/>
      <c r="BN348" s="25"/>
      <c r="BO348" s="25">
        <f t="shared" ref="BO348:BO358" si="262">MAX(BC348,0)</f>
        <v>38857.344652635955</v>
      </c>
      <c r="BP348" s="25">
        <f t="shared" ref="BP348:BP408" si="263">MAX(BD348,0)</f>
        <v>31408.933326458271</v>
      </c>
      <c r="BQ348" s="25">
        <f t="shared" ref="BQ348:BQ411" si="264">MAX(BE348,0)</f>
        <v>22523.065746773504</v>
      </c>
      <c r="BR348" s="25">
        <f t="shared" ref="BR348:BR411" si="265">MAX(BF348,0)</f>
        <v>11875.919942908462</v>
      </c>
      <c r="BS348" s="25">
        <f t="shared" ref="BS348:BS411" si="266">MAX(BG348,0)</f>
        <v>0</v>
      </c>
    </row>
    <row r="349" spans="1:71" x14ac:dyDescent="0.2">
      <c r="A349" s="29">
        <f t="shared" si="261"/>
        <v>3.4099999999999713</v>
      </c>
      <c r="B349" s="30">
        <v>6.2750236056504816E-2</v>
      </c>
      <c r="C349" s="30">
        <v>6.4715154365397182E-2</v>
      </c>
      <c r="D349" s="30">
        <v>6.7019279473722215E-2</v>
      </c>
      <c r="E349" s="30">
        <v>6.9672380965817002E-2</v>
      </c>
      <c r="F349" s="30">
        <v>7.2641219686819594E-2</v>
      </c>
      <c r="G349" s="30">
        <v>7.5876880582607553E-2</v>
      </c>
      <c r="H349" s="30">
        <v>7.9332031038065062E-2</v>
      </c>
      <c r="I349" s="30">
        <v>8.2965674384402638E-2</v>
      </c>
      <c r="J349" s="30">
        <v>8.6742582463983808E-2</v>
      </c>
      <c r="K349" s="30">
        <v>9.063162578867158E-2</v>
      </c>
      <c r="L349" s="30">
        <v>9.4604438863726173E-2</v>
      </c>
      <c r="N349" s="1"/>
      <c r="O349" s="1"/>
      <c r="P349" s="1"/>
      <c r="Q349" s="1"/>
      <c r="R349" s="1"/>
      <c r="S349" s="1"/>
      <c r="T349" s="64">
        <f t="shared" si="240"/>
        <v>0.96111038150637695</v>
      </c>
      <c r="U349" s="66">
        <f t="shared" si="241"/>
        <v>0.92038273938202586</v>
      </c>
      <c r="V349" s="62">
        <f t="shared" si="238"/>
        <v>0.91691309476628713</v>
      </c>
      <c r="W349" s="68">
        <f t="shared" si="239"/>
        <v>0.87288851145272905</v>
      </c>
      <c r="Y349" s="24"/>
      <c r="Z349" s="24"/>
      <c r="AA349" s="24"/>
      <c r="AB349" s="24"/>
      <c r="AC349" s="24"/>
      <c r="AD349" s="24"/>
      <c r="AE349" s="24">
        <f t="shared" si="252"/>
        <v>8.2965674384402638E-2</v>
      </c>
      <c r="AF349" s="24">
        <f t="shared" si="253"/>
        <v>8.6742582463983808E-2</v>
      </c>
      <c r="AG349" s="24">
        <f t="shared" si="254"/>
        <v>9.063162578867158E-2</v>
      </c>
      <c r="AH349" s="24">
        <f t="shared" si="255"/>
        <v>9.4604438863726173E-2</v>
      </c>
      <c r="AL349" s="23">
        <f t="shared" si="242"/>
        <v>0</v>
      </c>
      <c r="AM349" s="23">
        <f t="shared" si="243"/>
        <v>0</v>
      </c>
      <c r="AN349" s="23">
        <f t="shared" si="244"/>
        <v>0</v>
      </c>
      <c r="AO349" s="23">
        <f t="shared" si="245"/>
        <v>0</v>
      </c>
      <c r="AP349" s="23">
        <f t="shared" si="246"/>
        <v>0</v>
      </c>
      <c r="AQ349" s="23">
        <f t="shared" si="247"/>
        <v>0</v>
      </c>
      <c r="AR349" s="23">
        <f t="shared" si="248"/>
        <v>7334.8611028388068</v>
      </c>
      <c r="AS349" s="23">
        <f t="shared" si="249"/>
        <v>8762.1423654984483</v>
      </c>
      <c r="AT349" s="23">
        <f t="shared" si="250"/>
        <v>10512.068351989285</v>
      </c>
      <c r="AU349" s="23">
        <f t="shared" si="251"/>
        <v>11741.254288131286</v>
      </c>
      <c r="AW349" s="25"/>
      <c r="AX349" s="25"/>
      <c r="AY349" s="25"/>
      <c r="AZ349" s="25"/>
      <c r="BA349" s="25"/>
      <c r="BB349" s="25"/>
      <c r="BC349" s="25">
        <f t="shared" si="256"/>
        <v>38350.326108457826</v>
      </c>
      <c r="BD349" s="25">
        <f t="shared" si="257"/>
        <v>31015.465005619015</v>
      </c>
      <c r="BE349" s="25">
        <f t="shared" si="258"/>
        <v>22253.322640120568</v>
      </c>
      <c r="BF349" s="25">
        <f t="shared" si="259"/>
        <v>11741.254288131286</v>
      </c>
      <c r="BG349" s="25">
        <f t="shared" si="260"/>
        <v>0</v>
      </c>
      <c r="BI349" s="25"/>
      <c r="BJ349" s="25"/>
      <c r="BK349" s="25"/>
      <c r="BL349" s="25"/>
      <c r="BM349" s="25"/>
      <c r="BN349" s="25"/>
      <c r="BO349" s="25">
        <f t="shared" si="262"/>
        <v>38350.326108457826</v>
      </c>
      <c r="BP349" s="25">
        <f t="shared" si="263"/>
        <v>31015.465005619015</v>
      </c>
      <c r="BQ349" s="25">
        <f t="shared" si="264"/>
        <v>22253.322640120568</v>
      </c>
      <c r="BR349" s="25">
        <f t="shared" si="265"/>
        <v>11741.254288131286</v>
      </c>
      <c r="BS349" s="25">
        <f t="shared" si="266"/>
        <v>0</v>
      </c>
    </row>
    <row r="350" spans="1:71" x14ac:dyDescent="0.2">
      <c r="A350" s="29">
        <f t="shared" si="261"/>
        <v>3.4199999999999711</v>
      </c>
      <c r="B350" s="30">
        <v>6.2440196035489809E-2</v>
      </c>
      <c r="C350" s="30">
        <v>6.448865741344563E-2</v>
      </c>
      <c r="D350" s="30">
        <v>6.6868243331919264E-2</v>
      </c>
      <c r="E350" s="30">
        <v>6.9588199352161803E-2</v>
      </c>
      <c r="F350" s="30">
        <v>7.2615306124961476E-2</v>
      </c>
      <c r="G350" s="30">
        <v>7.5901011242422364E-2</v>
      </c>
      <c r="H350" s="30">
        <v>7.9398437931266636E-2</v>
      </c>
      <c r="I350" s="30">
        <v>8.3067032544973773E-2</v>
      </c>
      <c r="J350" s="30">
        <v>8.6871975438396837E-2</v>
      </c>
      <c r="K350" s="30">
        <v>9.0782518143823071E-2</v>
      </c>
      <c r="L350" s="30">
        <v>9.4770660422678232E-2</v>
      </c>
      <c r="N350" s="1"/>
      <c r="O350" s="1"/>
      <c r="P350" s="1"/>
      <c r="Q350" s="1"/>
      <c r="R350" s="1"/>
      <c r="S350" s="1"/>
      <c r="T350" s="64">
        <f t="shared" si="240"/>
        <v>0.96107846985893841</v>
      </c>
      <c r="U350" s="66">
        <f t="shared" si="241"/>
        <v>0.92028945580814625</v>
      </c>
      <c r="V350" s="62">
        <f t="shared" si="238"/>
        <v>0.91679446032907397</v>
      </c>
      <c r="W350" s="68">
        <f t="shared" si="239"/>
        <v>0.87269096550478575</v>
      </c>
      <c r="Y350" s="24"/>
      <c r="Z350" s="24"/>
      <c r="AA350" s="24"/>
      <c r="AB350" s="24"/>
      <c r="AC350" s="24"/>
      <c r="AD350" s="24"/>
      <c r="AE350" s="24">
        <f t="shared" si="252"/>
        <v>8.306703254497376E-2</v>
      </c>
      <c r="AF350" s="24">
        <f t="shared" si="253"/>
        <v>8.6871975438396837E-2</v>
      </c>
      <c r="AG350" s="24">
        <f t="shared" si="254"/>
        <v>9.0782518143823071E-2</v>
      </c>
      <c r="AH350" s="24">
        <f t="shared" si="255"/>
        <v>9.4770660422678232E-2</v>
      </c>
      <c r="AL350" s="23">
        <f t="shared" si="242"/>
        <v>0</v>
      </c>
      <c r="AM350" s="23">
        <f t="shared" si="243"/>
        <v>0</v>
      </c>
      <c r="AN350" s="23">
        <f t="shared" si="244"/>
        <v>0</v>
      </c>
      <c r="AO350" s="23">
        <f t="shared" si="245"/>
        <v>0</v>
      </c>
      <c r="AP350" s="23">
        <f t="shared" si="246"/>
        <v>0</v>
      </c>
      <c r="AQ350" s="23">
        <f t="shared" si="247"/>
        <v>0</v>
      </c>
      <c r="AR350" s="23">
        <f t="shared" si="248"/>
        <v>7383.3241371477416</v>
      </c>
      <c r="AS350" s="23">
        <f t="shared" si="249"/>
        <v>8820.7937908769127</v>
      </c>
      <c r="AT350" s="23">
        <f t="shared" si="250"/>
        <v>10579.87688984801</v>
      </c>
      <c r="AU350" s="23">
        <f t="shared" si="251"/>
        <v>11811.127116972562</v>
      </c>
      <c r="AW350" s="25"/>
      <c r="AX350" s="25"/>
      <c r="AY350" s="25"/>
      <c r="AZ350" s="25"/>
      <c r="BA350" s="25"/>
      <c r="BB350" s="25"/>
      <c r="BC350" s="25">
        <f t="shared" si="256"/>
        <v>38595.121934845229</v>
      </c>
      <c r="BD350" s="25">
        <f t="shared" si="257"/>
        <v>31211.797797697483</v>
      </c>
      <c r="BE350" s="25">
        <f t="shared" si="258"/>
        <v>22391.004006820571</v>
      </c>
      <c r="BF350" s="25">
        <f t="shared" si="259"/>
        <v>11811.127116972562</v>
      </c>
      <c r="BG350" s="25">
        <f t="shared" si="260"/>
        <v>0</v>
      </c>
      <c r="BI350" s="25"/>
      <c r="BJ350" s="25"/>
      <c r="BK350" s="25"/>
      <c r="BL350" s="25"/>
      <c r="BM350" s="25"/>
      <c r="BN350" s="25"/>
      <c r="BO350" s="25">
        <f t="shared" si="262"/>
        <v>38595.121934845229</v>
      </c>
      <c r="BP350" s="25">
        <f t="shared" si="263"/>
        <v>31211.797797697483</v>
      </c>
      <c r="BQ350" s="25">
        <f t="shared" si="264"/>
        <v>22391.004006820571</v>
      </c>
      <c r="BR350" s="25">
        <f t="shared" si="265"/>
        <v>11811.127116972562</v>
      </c>
      <c r="BS350" s="25">
        <f t="shared" si="266"/>
        <v>0</v>
      </c>
    </row>
    <row r="351" spans="1:71" x14ac:dyDescent="0.2">
      <c r="A351" s="29">
        <f t="shared" si="261"/>
        <v>3.4299999999999708</v>
      </c>
      <c r="B351" s="30">
        <v>6.2092810279745128E-2</v>
      </c>
      <c r="C351" s="30">
        <v>6.4060255007609548E-2</v>
      </c>
      <c r="D351" s="30">
        <v>6.6371332471968331E-2</v>
      </c>
      <c r="E351" s="30">
        <v>6.903391411679688E-2</v>
      </c>
      <c r="F351" s="30">
        <v>7.2013946284580702E-2</v>
      </c>
      <c r="G351" s="30">
        <v>7.5262380106798157E-2</v>
      </c>
      <c r="H351" s="30">
        <v>7.8731933424853615E-2</v>
      </c>
      <c r="I351" s="30">
        <v>8.2381633953535482E-2</v>
      </c>
      <c r="J351" s="30">
        <v>8.6176209039580634E-2</v>
      </c>
      <c r="K351" s="30">
        <v>9.0084429949650921E-2</v>
      </c>
      <c r="L351" s="30">
        <v>9.4077800593623695E-2</v>
      </c>
      <c r="N351" s="1"/>
      <c r="O351" s="1"/>
      <c r="P351" s="1"/>
      <c r="Q351" s="1"/>
      <c r="R351" s="1"/>
      <c r="S351" s="1"/>
      <c r="T351" s="64">
        <f t="shared" si="240"/>
        <v>0.96139880479773265</v>
      </c>
      <c r="U351" s="66">
        <f t="shared" si="241"/>
        <v>0.92092043711702143</v>
      </c>
      <c r="V351" s="62">
        <f t="shared" si="238"/>
        <v>0.91743255706658489</v>
      </c>
      <c r="W351" s="68">
        <f t="shared" si="239"/>
        <v>0.87360526700882635</v>
      </c>
      <c r="Y351" s="24"/>
      <c r="Z351" s="24"/>
      <c r="AA351" s="24"/>
      <c r="AB351" s="24"/>
      <c r="AC351" s="24"/>
      <c r="AD351" s="24"/>
      <c r="AE351" s="24">
        <f t="shared" si="252"/>
        <v>8.2381633953535482E-2</v>
      </c>
      <c r="AF351" s="24">
        <f t="shared" si="253"/>
        <v>8.6176209039580634E-2</v>
      </c>
      <c r="AG351" s="24">
        <f t="shared" si="254"/>
        <v>9.0084429949650921E-2</v>
      </c>
      <c r="AH351" s="24">
        <f t="shared" si="255"/>
        <v>9.4077800593623695E-2</v>
      </c>
      <c r="AL351" s="23">
        <f t="shared" si="242"/>
        <v>0</v>
      </c>
      <c r="AM351" s="23">
        <f t="shared" si="243"/>
        <v>0</v>
      </c>
      <c r="AN351" s="23">
        <f t="shared" si="244"/>
        <v>0</v>
      </c>
      <c r="AO351" s="23">
        <f t="shared" si="245"/>
        <v>0</v>
      </c>
      <c r="AP351" s="23">
        <f t="shared" si="246"/>
        <v>0</v>
      </c>
      <c r="AQ351" s="23">
        <f t="shared" si="247"/>
        <v>0</v>
      </c>
      <c r="AR351" s="23">
        <f t="shared" si="248"/>
        <v>7056.3143632738947</v>
      </c>
      <c r="AS351" s="23">
        <f t="shared" si="249"/>
        <v>8506.4688748029766</v>
      </c>
      <c r="AT351" s="23">
        <f t="shared" si="250"/>
        <v>10267.016155577881</v>
      </c>
      <c r="AU351" s="23">
        <f t="shared" si="251"/>
        <v>11520.858409221217</v>
      </c>
      <c r="AW351" s="25"/>
      <c r="AX351" s="25"/>
      <c r="AY351" s="25"/>
      <c r="AZ351" s="25"/>
      <c r="BA351" s="25"/>
      <c r="BB351" s="25"/>
      <c r="BC351" s="25">
        <f t="shared" si="256"/>
        <v>37350.657802875969</v>
      </c>
      <c r="BD351" s="25">
        <f t="shared" si="257"/>
        <v>30294.343439602075</v>
      </c>
      <c r="BE351" s="25">
        <f t="shared" si="258"/>
        <v>21787.874564799098</v>
      </c>
      <c r="BF351" s="25">
        <f t="shared" si="259"/>
        <v>11520.858409221217</v>
      </c>
      <c r="BG351" s="25">
        <f t="shared" si="260"/>
        <v>0</v>
      </c>
      <c r="BI351" s="25"/>
      <c r="BJ351" s="25"/>
      <c r="BK351" s="25"/>
      <c r="BL351" s="25"/>
      <c r="BM351" s="25"/>
      <c r="BN351" s="25"/>
      <c r="BO351" s="25">
        <f t="shared" si="262"/>
        <v>37350.657802875969</v>
      </c>
      <c r="BP351" s="25">
        <f t="shared" si="263"/>
        <v>30294.343439602075</v>
      </c>
      <c r="BQ351" s="25">
        <f t="shared" si="264"/>
        <v>21787.874564799098</v>
      </c>
      <c r="BR351" s="25">
        <f t="shared" si="265"/>
        <v>11520.858409221217</v>
      </c>
      <c r="BS351" s="25">
        <f t="shared" si="266"/>
        <v>0</v>
      </c>
    </row>
    <row r="352" spans="1:71" x14ac:dyDescent="0.2">
      <c r="A352" s="29">
        <f t="shared" si="261"/>
        <v>3.4399999999999706</v>
      </c>
      <c r="B352" s="30">
        <v>6.0528696497511476E-2</v>
      </c>
      <c r="C352" s="30">
        <v>6.2553427645207021E-2</v>
      </c>
      <c r="D352" s="30">
        <v>6.4924175005234633E-2</v>
      </c>
      <c r="E352" s="30">
        <v>6.7647768970114805E-2</v>
      </c>
      <c r="F352" s="30">
        <v>7.0689650600625181E-2</v>
      </c>
      <c r="G352" s="30">
        <v>7.4000598658765931E-2</v>
      </c>
      <c r="H352" s="30">
        <v>7.7533247605197406E-2</v>
      </c>
      <c r="I352" s="30">
        <v>8.1246528098269849E-2</v>
      </c>
      <c r="J352" s="30">
        <v>8.5105036201095052E-2</v>
      </c>
      <c r="K352" s="30">
        <v>8.9077384872632323E-2</v>
      </c>
      <c r="L352" s="30">
        <v>9.3134904306021268E-2</v>
      </c>
      <c r="N352" s="1"/>
      <c r="O352" s="1"/>
      <c r="P352" s="1"/>
      <c r="Q352" s="1"/>
      <c r="R352" s="1"/>
      <c r="S352" s="1"/>
      <c r="T352" s="64">
        <f t="shared" si="240"/>
        <v>0.96197518506236435</v>
      </c>
      <c r="U352" s="66">
        <f t="shared" si="241"/>
        <v>0.92196637280898652</v>
      </c>
      <c r="V352" s="62">
        <f t="shared" si="238"/>
        <v>0.91841581242705828</v>
      </c>
      <c r="W352" s="68">
        <f t="shared" si="239"/>
        <v>0.87492590403856818</v>
      </c>
      <c r="Y352" s="24"/>
      <c r="Z352" s="24"/>
      <c r="AA352" s="24"/>
      <c r="AB352" s="24"/>
      <c r="AC352" s="24"/>
      <c r="AD352" s="24"/>
      <c r="AE352" s="24">
        <f t="shared" si="252"/>
        <v>8.1246528098269849E-2</v>
      </c>
      <c r="AF352" s="24">
        <f t="shared" si="253"/>
        <v>8.5105036201095052E-2</v>
      </c>
      <c r="AG352" s="24">
        <f t="shared" si="254"/>
        <v>8.9077384872632323E-2</v>
      </c>
      <c r="AH352" s="24">
        <f t="shared" si="255"/>
        <v>9.3134904306021268E-2</v>
      </c>
      <c r="AL352" s="23">
        <f t="shared" si="242"/>
        <v>0</v>
      </c>
      <c r="AM352" s="23">
        <f t="shared" si="243"/>
        <v>0</v>
      </c>
      <c r="AN352" s="23">
        <f t="shared" si="244"/>
        <v>0</v>
      </c>
      <c r="AO352" s="23">
        <f t="shared" si="245"/>
        <v>0</v>
      </c>
      <c r="AP352" s="23">
        <f t="shared" si="246"/>
        <v>0</v>
      </c>
      <c r="AQ352" s="23">
        <f t="shared" si="247"/>
        <v>0</v>
      </c>
      <c r="AR352" s="23">
        <f t="shared" si="248"/>
        <v>6514.5729502741351</v>
      </c>
      <c r="AS352" s="23">
        <f t="shared" si="249"/>
        <v>8022.3374313744716</v>
      </c>
      <c r="AT352" s="23">
        <f t="shared" si="250"/>
        <v>9815.5767354843192</v>
      </c>
      <c r="AU352" s="23">
        <f t="shared" si="251"/>
        <v>11125.79240226661</v>
      </c>
      <c r="AW352" s="25"/>
      <c r="AX352" s="25"/>
      <c r="AY352" s="25"/>
      <c r="AZ352" s="25"/>
      <c r="BA352" s="25"/>
      <c r="BB352" s="25"/>
      <c r="BC352" s="25">
        <f t="shared" si="256"/>
        <v>35478.279519399533</v>
      </c>
      <c r="BD352" s="25">
        <f t="shared" si="257"/>
        <v>28963.706569125403</v>
      </c>
      <c r="BE352" s="25">
        <f t="shared" si="258"/>
        <v>20941.369137750931</v>
      </c>
      <c r="BF352" s="25">
        <f t="shared" si="259"/>
        <v>11125.79240226661</v>
      </c>
      <c r="BG352" s="25">
        <f t="shared" si="260"/>
        <v>0</v>
      </c>
      <c r="BI352" s="25"/>
      <c r="BJ352" s="25"/>
      <c r="BK352" s="25"/>
      <c r="BL352" s="25"/>
      <c r="BM352" s="25"/>
      <c r="BN352" s="25"/>
      <c r="BO352" s="25">
        <f t="shared" si="262"/>
        <v>35478.279519399533</v>
      </c>
      <c r="BP352" s="25">
        <f t="shared" si="263"/>
        <v>28963.706569125403</v>
      </c>
      <c r="BQ352" s="25">
        <f t="shared" si="264"/>
        <v>20941.369137750931</v>
      </c>
      <c r="BR352" s="25">
        <f t="shared" si="265"/>
        <v>11125.79240226661</v>
      </c>
      <c r="BS352" s="25">
        <f t="shared" si="266"/>
        <v>0</v>
      </c>
    </row>
    <row r="353" spans="1:71" x14ac:dyDescent="0.2">
      <c r="A353" s="29">
        <f t="shared" si="261"/>
        <v>3.4499999999999704</v>
      </c>
      <c r="B353" s="30">
        <v>6.1755814533478205E-2</v>
      </c>
      <c r="C353" s="30">
        <v>6.3621188666082018E-2</v>
      </c>
      <c r="D353" s="30">
        <v>6.5842415355066658E-2</v>
      </c>
      <c r="E353" s="30">
        <v>6.8425254797665397E-2</v>
      </c>
      <c r="F353" s="30">
        <v>7.1334609571965385E-2</v>
      </c>
      <c r="G353" s="30">
        <v>7.4521047991036038E-2</v>
      </c>
      <c r="H353" s="30">
        <v>7.7937081002052627E-2</v>
      </c>
      <c r="I353" s="30">
        <v>8.1541501663156199E-2</v>
      </c>
      <c r="J353" s="30">
        <v>8.5298734354124703E-2</v>
      </c>
      <c r="K353" s="30">
        <v>8.9177193558806989E-2</v>
      </c>
      <c r="L353" s="30">
        <v>9.3147995761643024E-2</v>
      </c>
      <c r="N353" s="1"/>
      <c r="O353" s="1"/>
      <c r="P353" s="1"/>
      <c r="Q353" s="1"/>
      <c r="R353" s="1"/>
      <c r="S353" s="1"/>
      <c r="T353" s="64">
        <f t="shared" si="240"/>
        <v>0.96178096581774142</v>
      </c>
      <c r="U353" s="66">
        <f t="shared" si="241"/>
        <v>0.92169445720722254</v>
      </c>
      <c r="V353" s="62">
        <f t="shared" si="238"/>
        <v>0.91823793420837529</v>
      </c>
      <c r="W353" s="68">
        <f t="shared" si="239"/>
        <v>0.87479492603589626</v>
      </c>
      <c r="Y353" s="24"/>
      <c r="Z353" s="24"/>
      <c r="AA353" s="24"/>
      <c r="AB353" s="24"/>
      <c r="AC353" s="24"/>
      <c r="AD353" s="24"/>
      <c r="AE353" s="24">
        <f t="shared" si="252"/>
        <v>8.1541501663156199E-2</v>
      </c>
      <c r="AF353" s="24">
        <f t="shared" si="253"/>
        <v>8.5298734354124703E-2</v>
      </c>
      <c r="AG353" s="24">
        <f t="shared" si="254"/>
        <v>8.9177193558806989E-2</v>
      </c>
      <c r="AH353" s="24">
        <f t="shared" si="255"/>
        <v>9.3147995761643024E-2</v>
      </c>
      <c r="AL353" s="23">
        <f t="shared" si="242"/>
        <v>0</v>
      </c>
      <c r="AM353" s="23">
        <f t="shared" si="243"/>
        <v>0</v>
      </c>
      <c r="AN353" s="23">
        <f t="shared" si="244"/>
        <v>0</v>
      </c>
      <c r="AO353" s="23">
        <f t="shared" si="245"/>
        <v>0</v>
      </c>
      <c r="AP353" s="23">
        <f t="shared" si="246"/>
        <v>0</v>
      </c>
      <c r="AQ353" s="23">
        <f t="shared" si="247"/>
        <v>0</v>
      </c>
      <c r="AR353" s="23">
        <f t="shared" si="248"/>
        <v>6655.1076620676795</v>
      </c>
      <c r="AS353" s="23">
        <f t="shared" si="249"/>
        <v>8109.2366598880562</v>
      </c>
      <c r="AT353" s="23">
        <f t="shared" si="250"/>
        <v>9859.49972142757</v>
      </c>
      <c r="AU353" s="23">
        <f t="shared" si="251"/>
        <v>11129.853020339779</v>
      </c>
      <c r="AW353" s="25"/>
      <c r="AX353" s="25"/>
      <c r="AY353" s="25"/>
      <c r="AZ353" s="25"/>
      <c r="BA353" s="25"/>
      <c r="BB353" s="25"/>
      <c r="BC353" s="25">
        <f t="shared" si="256"/>
        <v>35753.697063723084</v>
      </c>
      <c r="BD353" s="25">
        <f t="shared" si="257"/>
        <v>29098.589401655405</v>
      </c>
      <c r="BE353" s="25">
        <f t="shared" si="258"/>
        <v>20989.352741767347</v>
      </c>
      <c r="BF353" s="25">
        <f t="shared" si="259"/>
        <v>11129.853020339779</v>
      </c>
      <c r="BG353" s="25">
        <f t="shared" si="260"/>
        <v>0</v>
      </c>
      <c r="BI353" s="25"/>
      <c r="BJ353" s="25"/>
      <c r="BK353" s="25"/>
      <c r="BL353" s="25"/>
      <c r="BM353" s="25"/>
      <c r="BN353" s="25"/>
      <c r="BO353" s="25">
        <f t="shared" si="262"/>
        <v>35753.697063723084</v>
      </c>
      <c r="BP353" s="25">
        <f t="shared" si="263"/>
        <v>29098.589401655405</v>
      </c>
      <c r="BQ353" s="25">
        <f t="shared" si="264"/>
        <v>20989.352741767347</v>
      </c>
      <c r="BR353" s="25">
        <f t="shared" si="265"/>
        <v>11129.853020339779</v>
      </c>
      <c r="BS353" s="25">
        <f t="shared" si="266"/>
        <v>0</v>
      </c>
    </row>
    <row r="354" spans="1:71" x14ac:dyDescent="0.2">
      <c r="A354" s="29">
        <f t="shared" si="261"/>
        <v>3.4599999999999702</v>
      </c>
      <c r="B354" s="30">
        <v>6.2180368452069236E-2</v>
      </c>
      <c r="C354" s="30">
        <v>6.3912840755216166E-2</v>
      </c>
      <c r="D354" s="30">
        <v>6.6013715861293024E-2</v>
      </c>
      <c r="E354" s="30">
        <v>6.8487496658622998E-2</v>
      </c>
      <c r="F354" s="30">
        <v>7.1298356055403217E-2</v>
      </c>
      <c r="G354" s="30">
        <v>7.4396455906606471E-2</v>
      </c>
      <c r="H354" s="30">
        <v>7.7733985616313672E-2</v>
      </c>
      <c r="I354" s="30">
        <v>8.126940221291945E-2</v>
      </c>
      <c r="J354" s="30">
        <v>8.4966760109157588E-2</v>
      </c>
      <c r="K354" s="30">
        <v>8.8794077261219947E-2</v>
      </c>
      <c r="L354" s="30">
        <v>9.2722058566310939E-2</v>
      </c>
      <c r="N354" s="1"/>
      <c r="O354" s="1"/>
      <c r="P354" s="1"/>
      <c r="Q354" s="1"/>
      <c r="R354" s="1"/>
      <c r="S354" s="1"/>
      <c r="T354" s="64">
        <f t="shared" si="240"/>
        <v>0.96187863741494473</v>
      </c>
      <c r="U354" s="66">
        <f t="shared" si="241"/>
        <v>0.92194528388566799</v>
      </c>
      <c r="V354" s="62">
        <f t="shared" si="238"/>
        <v>0.91854281615696154</v>
      </c>
      <c r="W354" s="68">
        <f t="shared" si="239"/>
        <v>0.87529779280421394</v>
      </c>
      <c r="Y354" s="24"/>
      <c r="Z354" s="24"/>
      <c r="AA354" s="24"/>
      <c r="AB354" s="24"/>
      <c r="AC354" s="24"/>
      <c r="AD354" s="24"/>
      <c r="AE354" s="24">
        <f t="shared" si="252"/>
        <v>8.126940221291945E-2</v>
      </c>
      <c r="AF354" s="24">
        <f t="shared" si="253"/>
        <v>8.4966760109157588E-2</v>
      </c>
      <c r="AG354" s="24">
        <f t="shared" si="254"/>
        <v>8.8794077261219947E-2</v>
      </c>
      <c r="AH354" s="24">
        <f t="shared" si="255"/>
        <v>9.2722058566310939E-2</v>
      </c>
      <c r="AL354" s="23">
        <f t="shared" si="242"/>
        <v>0</v>
      </c>
      <c r="AM354" s="23">
        <f t="shared" si="243"/>
        <v>0</v>
      </c>
      <c r="AN354" s="23">
        <f t="shared" si="244"/>
        <v>0</v>
      </c>
      <c r="AO354" s="23">
        <f t="shared" si="245"/>
        <v>0</v>
      </c>
      <c r="AP354" s="23">
        <f t="shared" si="246"/>
        <v>0</v>
      </c>
      <c r="AQ354" s="23">
        <f t="shared" si="247"/>
        <v>0</v>
      </c>
      <c r="AR354" s="23">
        <f t="shared" si="248"/>
        <v>6524.9201829936974</v>
      </c>
      <c r="AS354" s="23">
        <f t="shared" si="249"/>
        <v>7958.4124341890929</v>
      </c>
      <c r="AT354" s="23">
        <f t="shared" si="250"/>
        <v>9686.8190033053015</v>
      </c>
      <c r="AU354" s="23">
        <f t="shared" si="251"/>
        <v>10949.839957161927</v>
      </c>
      <c r="AW354" s="25"/>
      <c r="AX354" s="25"/>
      <c r="AY354" s="25"/>
      <c r="AZ354" s="25"/>
      <c r="BA354" s="25"/>
      <c r="BB354" s="25"/>
      <c r="BC354" s="25">
        <f t="shared" si="256"/>
        <v>35119.991577650013</v>
      </c>
      <c r="BD354" s="25">
        <f t="shared" si="257"/>
        <v>28595.071394656323</v>
      </c>
      <c r="BE354" s="25">
        <f t="shared" si="258"/>
        <v>20636.658960467226</v>
      </c>
      <c r="BF354" s="25">
        <f t="shared" si="259"/>
        <v>10949.839957161927</v>
      </c>
      <c r="BG354" s="25">
        <f t="shared" si="260"/>
        <v>0</v>
      </c>
      <c r="BI354" s="25"/>
      <c r="BJ354" s="25"/>
      <c r="BK354" s="25"/>
      <c r="BL354" s="25"/>
      <c r="BM354" s="25"/>
      <c r="BN354" s="25"/>
      <c r="BO354" s="25">
        <f t="shared" si="262"/>
        <v>35119.991577650013</v>
      </c>
      <c r="BP354" s="25">
        <f t="shared" si="263"/>
        <v>28595.071394656323</v>
      </c>
      <c r="BQ354" s="25">
        <f t="shared" si="264"/>
        <v>20636.658960467226</v>
      </c>
      <c r="BR354" s="25">
        <f t="shared" si="265"/>
        <v>10949.839957161927</v>
      </c>
      <c r="BS354" s="25">
        <f t="shared" si="266"/>
        <v>0</v>
      </c>
    </row>
    <row r="355" spans="1:71" x14ac:dyDescent="0.2">
      <c r="A355" s="29">
        <f t="shared" si="261"/>
        <v>3.46999999999997</v>
      </c>
      <c r="B355" s="30">
        <v>6.2672700925497399E-2</v>
      </c>
      <c r="C355" s="30">
        <v>6.4335102738424715E-2</v>
      </c>
      <c r="D355" s="30">
        <v>6.6376091795041725E-2</v>
      </c>
      <c r="E355" s="30">
        <v>6.8798945879571111E-2</v>
      </c>
      <c r="F355" s="30">
        <v>7.1567136346584834E-2</v>
      </c>
      <c r="G355" s="30">
        <v>7.4630441943288245E-2</v>
      </c>
      <c r="H355" s="30">
        <v>7.7940751892963928E-2</v>
      </c>
      <c r="I355" s="30">
        <v>8.1456208167543231E-2</v>
      </c>
      <c r="J355" s="30">
        <v>8.5140516333532604E-2</v>
      </c>
      <c r="K355" s="30">
        <v>8.8961319170304407E-2</v>
      </c>
      <c r="L355" s="30">
        <v>9.2888931511246414E-2</v>
      </c>
      <c r="N355" s="1"/>
      <c r="O355" s="1"/>
      <c r="P355" s="1"/>
      <c r="Q355" s="1"/>
      <c r="R355" s="1"/>
      <c r="S355" s="1"/>
      <c r="T355" s="64">
        <f t="shared" si="240"/>
        <v>0.96177920052285848</v>
      </c>
      <c r="U355" s="66">
        <f t="shared" si="241"/>
        <v>0.9217730751021147</v>
      </c>
      <c r="V355" s="62">
        <f t="shared" si="238"/>
        <v>0.91838322749046297</v>
      </c>
      <c r="W355" s="68">
        <f t="shared" si="239"/>
        <v>0.87507824063327955</v>
      </c>
      <c r="Y355" s="24"/>
      <c r="Z355" s="24"/>
      <c r="AA355" s="24"/>
      <c r="AB355" s="24"/>
      <c r="AC355" s="24"/>
      <c r="AD355" s="24"/>
      <c r="AE355" s="24">
        <f t="shared" si="252"/>
        <v>8.1456208167543245E-2</v>
      </c>
      <c r="AF355" s="24">
        <f t="shared" si="253"/>
        <v>8.5140516333532604E-2</v>
      </c>
      <c r="AG355" s="24">
        <f t="shared" si="254"/>
        <v>8.8961319170304407E-2</v>
      </c>
      <c r="AH355" s="24">
        <f t="shared" si="255"/>
        <v>9.2888931511246414E-2</v>
      </c>
      <c r="AL355" s="23">
        <f t="shared" si="242"/>
        <v>0</v>
      </c>
      <c r="AM355" s="23">
        <f t="shared" si="243"/>
        <v>0</v>
      </c>
      <c r="AN355" s="23">
        <f t="shared" si="244"/>
        <v>0</v>
      </c>
      <c r="AO355" s="23">
        <f t="shared" si="245"/>
        <v>0</v>
      </c>
      <c r="AP355" s="23">
        <f t="shared" si="246"/>
        <v>0</v>
      </c>
      <c r="AQ355" s="23">
        <f t="shared" si="247"/>
        <v>0</v>
      </c>
      <c r="AR355" s="23">
        <f t="shared" si="248"/>
        <v>6614.0786919815619</v>
      </c>
      <c r="AS355" s="23">
        <f t="shared" si="249"/>
        <v>8037.0077988387638</v>
      </c>
      <c r="AT355" s="23">
        <f t="shared" si="250"/>
        <v>9761.9320865474092</v>
      </c>
      <c r="AU355" s="23">
        <f t="shared" si="251"/>
        <v>11020.106835005554</v>
      </c>
      <c r="AW355" s="25"/>
      <c r="AX355" s="25"/>
      <c r="AY355" s="25"/>
      <c r="AZ355" s="25"/>
      <c r="BA355" s="25"/>
      <c r="BB355" s="25"/>
      <c r="BC355" s="25">
        <f t="shared" si="256"/>
        <v>35433.125412373294</v>
      </c>
      <c r="BD355" s="25">
        <f t="shared" si="257"/>
        <v>28819.046720391725</v>
      </c>
      <c r="BE355" s="25">
        <f t="shared" si="258"/>
        <v>20782.038921552965</v>
      </c>
      <c r="BF355" s="25">
        <f t="shared" si="259"/>
        <v>11020.106835005554</v>
      </c>
      <c r="BG355" s="25">
        <f t="shared" si="260"/>
        <v>0</v>
      </c>
      <c r="BI355" s="25"/>
      <c r="BJ355" s="25"/>
      <c r="BK355" s="25"/>
      <c r="BL355" s="25"/>
      <c r="BM355" s="25"/>
      <c r="BN355" s="25"/>
      <c r="BO355" s="25">
        <f t="shared" si="262"/>
        <v>35433.125412373294</v>
      </c>
      <c r="BP355" s="25">
        <f t="shared" si="263"/>
        <v>28819.046720391725</v>
      </c>
      <c r="BQ355" s="25">
        <f t="shared" si="264"/>
        <v>20782.038921552965</v>
      </c>
      <c r="BR355" s="25">
        <f t="shared" si="265"/>
        <v>11020.106835005554</v>
      </c>
      <c r="BS355" s="25">
        <f t="shared" si="266"/>
        <v>0</v>
      </c>
    </row>
    <row r="356" spans="1:71" x14ac:dyDescent="0.2">
      <c r="A356" s="29">
        <f t="shared" si="261"/>
        <v>3.4799999999999698</v>
      </c>
      <c r="B356" s="30">
        <v>6.2462478644595601E-2</v>
      </c>
      <c r="C356" s="30">
        <v>6.3977139337844158E-2</v>
      </c>
      <c r="D356" s="30">
        <v>6.5885089766511307E-2</v>
      </c>
      <c r="E356" s="30">
        <v>6.8188275455035446E-2</v>
      </c>
      <c r="F356" s="30">
        <v>7.0849354946587353E-2</v>
      </c>
      <c r="G356" s="30">
        <v>7.381760791245108E-2</v>
      </c>
      <c r="H356" s="30">
        <v>7.7044505470904384E-2</v>
      </c>
      <c r="I356" s="30">
        <v>8.0487756234926808E-2</v>
      </c>
      <c r="J356" s="30">
        <v>8.4110598771492406E-2</v>
      </c>
      <c r="K356" s="30">
        <v>8.7880182758720893E-2</v>
      </c>
      <c r="L356" s="30">
        <v>9.1766315212908581E-2</v>
      </c>
      <c r="N356" s="1"/>
      <c r="O356" s="1"/>
      <c r="P356" s="1"/>
      <c r="Q356" s="1"/>
      <c r="R356" s="1"/>
      <c r="S356" s="1"/>
      <c r="T356" s="64">
        <f t="shared" si="240"/>
        <v>0.96221029269048741</v>
      </c>
      <c r="U356" s="66">
        <f t="shared" si="241"/>
        <v>0.92266620042279746</v>
      </c>
      <c r="V356" s="62">
        <f t="shared" si="238"/>
        <v>0.91932957375080371</v>
      </c>
      <c r="W356" s="68">
        <f t="shared" si="239"/>
        <v>0.87649851037441073</v>
      </c>
      <c r="Y356" s="24"/>
      <c r="Z356" s="24"/>
      <c r="AA356" s="24"/>
      <c r="AB356" s="24"/>
      <c r="AC356" s="24"/>
      <c r="AD356" s="24"/>
      <c r="AE356" s="24">
        <f t="shared" si="252"/>
        <v>8.0487756234926808E-2</v>
      </c>
      <c r="AF356" s="24">
        <f t="shared" si="253"/>
        <v>8.4110598771492406E-2</v>
      </c>
      <c r="AG356" s="24">
        <f t="shared" si="254"/>
        <v>8.7880182758720893E-2</v>
      </c>
      <c r="AH356" s="24">
        <f t="shared" si="255"/>
        <v>9.1766315212908581E-2</v>
      </c>
      <c r="AL356" s="23">
        <f t="shared" si="242"/>
        <v>0</v>
      </c>
      <c r="AM356" s="23">
        <f t="shared" si="243"/>
        <v>0</v>
      </c>
      <c r="AN356" s="23">
        <f t="shared" si="244"/>
        <v>0</v>
      </c>
      <c r="AO356" s="23">
        <f t="shared" si="245"/>
        <v>0</v>
      </c>
      <c r="AP356" s="23">
        <f t="shared" si="246"/>
        <v>0</v>
      </c>
      <c r="AQ356" s="23">
        <f t="shared" si="247"/>
        <v>0</v>
      </c>
      <c r="AR356" s="23">
        <f t="shared" si="248"/>
        <v>6151.1160695936233</v>
      </c>
      <c r="AS356" s="23">
        <f t="shared" si="249"/>
        <v>7569.6599628841841</v>
      </c>
      <c r="AT356" s="23">
        <f t="shared" si="250"/>
        <v>9275.0309127949113</v>
      </c>
      <c r="AU356" s="23">
        <f t="shared" si="251"/>
        <v>10546.006935404852</v>
      </c>
      <c r="AW356" s="25"/>
      <c r="AX356" s="25"/>
      <c r="AY356" s="25"/>
      <c r="AZ356" s="25"/>
      <c r="BA356" s="25"/>
      <c r="BB356" s="25"/>
      <c r="BC356" s="25">
        <f t="shared" si="256"/>
        <v>33541.813880677568</v>
      </c>
      <c r="BD356" s="25">
        <f t="shared" si="257"/>
        <v>27390.697811083948</v>
      </c>
      <c r="BE356" s="25">
        <f t="shared" si="258"/>
        <v>19821.037848199761</v>
      </c>
      <c r="BF356" s="25">
        <f t="shared" si="259"/>
        <v>10546.006935404852</v>
      </c>
      <c r="BG356" s="25">
        <f t="shared" si="260"/>
        <v>0</v>
      </c>
      <c r="BI356" s="25"/>
      <c r="BJ356" s="25"/>
      <c r="BK356" s="25"/>
      <c r="BL356" s="25"/>
      <c r="BM356" s="25"/>
      <c r="BN356" s="25"/>
      <c r="BO356" s="25">
        <f t="shared" si="262"/>
        <v>33541.813880677568</v>
      </c>
      <c r="BP356" s="25">
        <f t="shared" si="263"/>
        <v>27390.697811083948</v>
      </c>
      <c r="BQ356" s="25">
        <f t="shared" si="264"/>
        <v>19821.037848199761</v>
      </c>
      <c r="BR356" s="25">
        <f t="shared" si="265"/>
        <v>10546.006935404852</v>
      </c>
      <c r="BS356" s="25">
        <f t="shared" si="266"/>
        <v>0</v>
      </c>
    </row>
    <row r="357" spans="1:71" x14ac:dyDescent="0.2">
      <c r="A357" s="29">
        <f t="shared" si="261"/>
        <v>3.4899999999999696</v>
      </c>
      <c r="B357" s="30">
        <v>6.2052160613425646E-2</v>
      </c>
      <c r="C357" s="30">
        <v>6.3546761322758535E-2</v>
      </c>
      <c r="D357" s="30">
        <v>6.5433298873976878E-2</v>
      </c>
      <c r="E357" s="30">
        <v>6.7713067716286476E-2</v>
      </c>
      <c r="F357" s="30">
        <v>7.0348590651750559E-2</v>
      </c>
      <c r="G357" s="30">
        <v>7.3289320690734183E-2</v>
      </c>
      <c r="H357" s="30">
        <v>7.6486981337015383E-2</v>
      </c>
      <c r="I357" s="30">
        <v>7.9899517967394279E-2</v>
      </c>
      <c r="J357" s="30">
        <v>8.3490372422862155E-2</v>
      </c>
      <c r="K357" s="30">
        <v>8.7226871781553306E-2</v>
      </c>
      <c r="L357" s="30">
        <v>9.1078985913681368E-2</v>
      </c>
      <c r="N357" s="1"/>
      <c r="O357" s="1"/>
      <c r="P357" s="1"/>
      <c r="Q357" s="1"/>
      <c r="R357" s="1"/>
      <c r="S357" s="1"/>
      <c r="T357" s="64">
        <f t="shared" si="240"/>
        <v>0.96247855780984548</v>
      </c>
      <c r="U357" s="66">
        <f t="shared" si="241"/>
        <v>0.9232091076537946</v>
      </c>
      <c r="V357" s="62">
        <f t="shared" si="238"/>
        <v>0.91989994303626443</v>
      </c>
      <c r="W357" s="68">
        <f t="shared" si="239"/>
        <v>0.8773578705251508</v>
      </c>
      <c r="Y357" s="24"/>
      <c r="Z357" s="24"/>
      <c r="AA357" s="24"/>
      <c r="AB357" s="24"/>
      <c r="AC357" s="24"/>
      <c r="AD357" s="24"/>
      <c r="AE357" s="24">
        <f t="shared" si="252"/>
        <v>7.9899517967394279E-2</v>
      </c>
      <c r="AF357" s="24">
        <f t="shared" si="253"/>
        <v>8.3490372422862155E-2</v>
      </c>
      <c r="AG357" s="24">
        <f t="shared" si="254"/>
        <v>8.7226871781553306E-2</v>
      </c>
      <c r="AH357" s="24">
        <f t="shared" si="255"/>
        <v>9.1078985913681368E-2</v>
      </c>
      <c r="AL357" s="23">
        <f t="shared" si="242"/>
        <v>0</v>
      </c>
      <c r="AM357" s="23">
        <f t="shared" si="243"/>
        <v>0</v>
      </c>
      <c r="AN357" s="23">
        <f t="shared" si="244"/>
        <v>0</v>
      </c>
      <c r="AO357" s="23">
        <f t="shared" si="245"/>
        <v>0</v>
      </c>
      <c r="AP357" s="23">
        <f t="shared" si="246"/>
        <v>0</v>
      </c>
      <c r="AQ357" s="23">
        <f t="shared" si="247"/>
        <v>0</v>
      </c>
      <c r="AR357" s="23">
        <f t="shared" si="248"/>
        <v>5869.7476467501292</v>
      </c>
      <c r="AS357" s="23">
        <f t="shared" si="249"/>
        <v>7287.8147295152321</v>
      </c>
      <c r="AT357" s="23">
        <f t="shared" si="250"/>
        <v>8980.2949503423515</v>
      </c>
      <c r="AU357" s="23">
        <f t="shared" si="251"/>
        <v>10254.82984888986</v>
      </c>
      <c r="AW357" s="25"/>
      <c r="AX357" s="25"/>
      <c r="AY357" s="25"/>
      <c r="AZ357" s="25"/>
      <c r="BA357" s="25"/>
      <c r="BB357" s="25"/>
      <c r="BC357" s="25">
        <f t="shared" si="256"/>
        <v>32392.687175497573</v>
      </c>
      <c r="BD357" s="25">
        <f t="shared" si="257"/>
        <v>26522.939528747444</v>
      </c>
      <c r="BE357" s="25">
        <f t="shared" si="258"/>
        <v>19235.12479923221</v>
      </c>
      <c r="BF357" s="25">
        <f t="shared" si="259"/>
        <v>10254.82984888986</v>
      </c>
      <c r="BG357" s="25">
        <f t="shared" si="260"/>
        <v>0</v>
      </c>
      <c r="BI357" s="25"/>
      <c r="BJ357" s="25"/>
      <c r="BK357" s="25"/>
      <c r="BL357" s="25"/>
      <c r="BM357" s="25"/>
      <c r="BN357" s="25"/>
      <c r="BO357" s="25">
        <f t="shared" si="262"/>
        <v>32392.687175497573</v>
      </c>
      <c r="BP357" s="25">
        <f t="shared" si="263"/>
        <v>26522.939528747444</v>
      </c>
      <c r="BQ357" s="25">
        <f t="shared" si="264"/>
        <v>19235.12479923221</v>
      </c>
      <c r="BR357" s="25">
        <f t="shared" si="265"/>
        <v>10254.82984888986</v>
      </c>
      <c r="BS357" s="25">
        <f t="shared" si="266"/>
        <v>0</v>
      </c>
    </row>
    <row r="358" spans="1:71" x14ac:dyDescent="0.2">
      <c r="A358" s="29">
        <f t="shared" si="261"/>
        <v>3.4999999999999694</v>
      </c>
      <c r="B358" s="30">
        <v>6.2719832620577148E-2</v>
      </c>
      <c r="C358" s="30">
        <v>6.422092337596462E-2</v>
      </c>
      <c r="D358" s="30">
        <v>6.6113063018002627E-2</v>
      </c>
      <c r="E358" s="30">
        <v>6.8396832522209877E-2</v>
      </c>
      <c r="F358" s="30">
        <v>7.1034552426008771E-2</v>
      </c>
      <c r="G358" s="30">
        <v>7.3975777954636779E-2</v>
      </c>
      <c r="H358" s="30">
        <v>7.7172411979801556E-2</v>
      </c>
      <c r="I358" s="30">
        <v>8.0582563267190724E-2</v>
      </c>
      <c r="J358" s="30">
        <v>8.4169803709195731E-2</v>
      </c>
      <c r="K358" s="30">
        <v>8.7901564787906492E-2</v>
      </c>
      <c r="L358" s="30">
        <v>9.1747906399725909E-2</v>
      </c>
      <c r="N358" s="1"/>
      <c r="O358" s="1"/>
      <c r="P358" s="1"/>
      <c r="Q358" s="1"/>
      <c r="R358" s="1"/>
      <c r="S358" s="1"/>
      <c r="T358" s="64">
        <f t="shared" si="240"/>
        <v>0.9621487581784931</v>
      </c>
      <c r="U358" s="66">
        <f>EXP(-I358*($U$7-$S$7))</f>
        <v>0.92257872932506824</v>
      </c>
      <c r="V358" s="62">
        <f t="shared" si="238"/>
        <v>0.91927514651185749</v>
      </c>
      <c r="W358" s="68">
        <f t="shared" si="239"/>
        <v>0.87647039885012923</v>
      </c>
      <c r="Y358" s="24"/>
      <c r="Z358" s="24"/>
      <c r="AA358" s="24"/>
      <c r="AB358" s="24"/>
      <c r="AC358" s="24"/>
      <c r="AD358" s="24"/>
      <c r="AE358" s="24">
        <f t="shared" si="252"/>
        <v>8.0582563267190724E-2</v>
      </c>
      <c r="AF358" s="24">
        <f t="shared" si="253"/>
        <v>8.4169803709195731E-2</v>
      </c>
      <c r="AG358" s="24">
        <f t="shared" si="254"/>
        <v>8.7901564787906492E-2</v>
      </c>
      <c r="AH358" s="24">
        <f t="shared" si="255"/>
        <v>9.1747906399725909E-2</v>
      </c>
      <c r="AL358" s="23">
        <f t="shared" si="242"/>
        <v>0</v>
      </c>
      <c r="AM358" s="23">
        <f t="shared" si="243"/>
        <v>0</v>
      </c>
      <c r="AN358" s="23">
        <f t="shared" si="244"/>
        <v>0</v>
      </c>
      <c r="AO358" s="23">
        <f t="shared" si="245"/>
        <v>0</v>
      </c>
      <c r="AP358" s="23">
        <f t="shared" si="246"/>
        <v>0</v>
      </c>
      <c r="AQ358" s="23">
        <f t="shared" si="247"/>
        <v>0</v>
      </c>
      <c r="AR358" s="23">
        <f t="shared" si="248"/>
        <v>6196.331932460962</v>
      </c>
      <c r="AS358" s="23">
        <f t="shared" si="249"/>
        <v>7596.2529480042977</v>
      </c>
      <c r="AT358" s="23">
        <f t="shared" si="250"/>
        <v>9284.3097854288917</v>
      </c>
      <c r="AU358" s="23">
        <f t="shared" si="251"/>
        <v>10537.601308370615</v>
      </c>
      <c r="AW358" s="25"/>
      <c r="AX358" s="25"/>
      <c r="AY358" s="25"/>
      <c r="AZ358" s="25"/>
      <c r="BA358" s="25"/>
      <c r="BB358" s="25"/>
      <c r="BC358" s="25">
        <f t="shared" si="256"/>
        <v>33614.495974264762</v>
      </c>
      <c r="BD358" s="25">
        <f t="shared" si="257"/>
        <v>27418.164041803801</v>
      </c>
      <c r="BE358" s="25">
        <f t="shared" si="258"/>
        <v>19821.911093799506</v>
      </c>
      <c r="BF358" s="25">
        <f t="shared" si="259"/>
        <v>10537.601308370615</v>
      </c>
      <c r="BG358" s="25">
        <f t="shared" si="260"/>
        <v>0</v>
      </c>
      <c r="BI358" s="25"/>
      <c r="BJ358" s="25"/>
      <c r="BK358" s="25"/>
      <c r="BL358" s="25"/>
      <c r="BM358" s="25"/>
      <c r="BN358" s="25"/>
      <c r="BO358" s="25">
        <f t="shared" si="262"/>
        <v>33614.495974264762</v>
      </c>
      <c r="BP358" s="25">
        <f t="shared" si="263"/>
        <v>27418.164041803801</v>
      </c>
      <c r="BQ358" s="25">
        <f t="shared" si="264"/>
        <v>19821.911093799506</v>
      </c>
      <c r="BR358" s="25">
        <f t="shared" si="265"/>
        <v>10537.601308370615</v>
      </c>
      <c r="BS358" s="25">
        <f t="shared" si="266"/>
        <v>0</v>
      </c>
    </row>
    <row r="359" spans="1:71" x14ac:dyDescent="0.2">
      <c r="A359" s="29">
        <f t="shared" si="261"/>
        <v>3.5099999999999691</v>
      </c>
      <c r="B359" s="30">
        <v>6.254811337047271E-2</v>
      </c>
      <c r="C359" s="30">
        <v>6.4035339871248084E-2</v>
      </c>
      <c r="D359" s="30">
        <v>6.5916666088611617E-2</v>
      </c>
      <c r="E359" s="30">
        <v>6.8191785090785842E-2</v>
      </c>
      <c r="F359" s="30">
        <v>7.0822636582352536E-2</v>
      </c>
      <c r="G359" s="30">
        <v>7.375869488869273E-2</v>
      </c>
      <c r="H359" s="30">
        <v>7.6951857272072807E-2</v>
      </c>
      <c r="I359" s="30">
        <v>8.0360210562528123E-2</v>
      </c>
      <c r="J359" s="30">
        <v>8.3947271533111378E-2</v>
      </c>
      <c r="K359" s="30">
        <v>8.7680391124522708E-2</v>
      </c>
      <c r="L359" s="30">
        <v>9.1529534480935579E-2</v>
      </c>
      <c r="N359" s="1"/>
      <c r="O359" s="1"/>
      <c r="P359" s="1"/>
      <c r="Q359" s="1"/>
      <c r="R359" s="1"/>
      <c r="S359" s="1"/>
      <c r="T359" s="1"/>
      <c r="U359" s="66">
        <f t="shared" ref="U359:U373" si="267">EXP(-I359*($U$7-$T$7))</f>
        <v>0.96061641148221544</v>
      </c>
      <c r="V359" s="62">
        <f>EXP(-J359*($V$7-$U$7))</f>
        <v>0.95889506077246733</v>
      </c>
      <c r="W359" s="68">
        <f>EXP(-K359*($W$7-$U$7))</f>
        <v>0.91605360880473508</v>
      </c>
      <c r="Y359" s="24"/>
      <c r="Z359" s="24"/>
      <c r="AA359" s="24"/>
      <c r="AB359" s="24"/>
      <c r="AC359" s="24"/>
      <c r="AD359" s="24"/>
      <c r="AE359" s="24"/>
      <c r="AF359" s="24">
        <f t="shared" si="253"/>
        <v>8.3947271533111378E-2</v>
      </c>
      <c r="AG359" s="24">
        <f t="shared" si="254"/>
        <v>8.7680391124522708E-2</v>
      </c>
      <c r="AH359" s="24">
        <f t="shared" si="255"/>
        <v>9.1529534480935579E-2</v>
      </c>
      <c r="AL359" s="23">
        <f t="shared" si="242"/>
        <v>0</v>
      </c>
      <c r="AM359" s="23">
        <f t="shared" si="243"/>
        <v>0</v>
      </c>
      <c r="AN359" s="23">
        <f t="shared" si="244"/>
        <v>0</v>
      </c>
      <c r="AO359" s="23">
        <f t="shared" si="245"/>
        <v>0</v>
      </c>
      <c r="AP359" s="23">
        <f t="shared" si="246"/>
        <v>0</v>
      </c>
      <c r="AQ359" s="23">
        <f t="shared" si="247"/>
        <v>0</v>
      </c>
      <c r="AR359" s="23">
        <f t="shared" si="248"/>
        <v>0</v>
      </c>
      <c r="AS359" s="23">
        <f t="shared" si="249"/>
        <v>7802.5604601881814</v>
      </c>
      <c r="AT359" s="23">
        <f t="shared" si="250"/>
        <v>9578.4138408283143</v>
      </c>
      <c r="AU359" s="23">
        <f t="shared" si="251"/>
        <v>10913.480913370357</v>
      </c>
      <c r="AW359" s="25"/>
      <c r="AX359" s="25"/>
      <c r="AY359" s="25"/>
      <c r="AZ359" s="25"/>
      <c r="BA359" s="25"/>
      <c r="BB359" s="25"/>
      <c r="BC359" s="25"/>
      <c r="BD359" s="25">
        <f t="shared" si="257"/>
        <v>28294.455214386853</v>
      </c>
      <c r="BE359" s="25">
        <f t="shared" si="258"/>
        <v>20491.894754198671</v>
      </c>
      <c r="BF359" s="25">
        <f t="shared" si="259"/>
        <v>10913.480913370357</v>
      </c>
      <c r="BG359" s="25">
        <f t="shared" si="260"/>
        <v>0</v>
      </c>
      <c r="BI359" s="25"/>
      <c r="BJ359" s="25"/>
      <c r="BK359" s="25"/>
      <c r="BL359" s="25"/>
      <c r="BM359" s="25"/>
      <c r="BN359" s="25"/>
      <c r="BO359" s="25"/>
      <c r="BP359" s="25">
        <f t="shared" si="263"/>
        <v>28294.455214386853</v>
      </c>
      <c r="BQ359" s="25">
        <f t="shared" si="264"/>
        <v>20491.894754198671</v>
      </c>
      <c r="BR359" s="25">
        <f t="shared" si="265"/>
        <v>10913.480913370357</v>
      </c>
      <c r="BS359" s="25">
        <f t="shared" si="266"/>
        <v>0</v>
      </c>
    </row>
    <row r="360" spans="1:71" x14ac:dyDescent="0.2">
      <c r="A360" s="29">
        <f t="shared" si="261"/>
        <v>3.5199999999999689</v>
      </c>
      <c r="B360" s="30">
        <v>6.1025030331674571E-2</v>
      </c>
      <c r="C360" s="30">
        <v>6.2437701765456696E-2</v>
      </c>
      <c r="D360" s="30">
        <v>6.4260026798993439E-2</v>
      </c>
      <c r="E360" s="30">
        <v>6.6490229500919276E-2</v>
      </c>
      <c r="F360" s="30">
        <v>6.908928350785408E-2</v>
      </c>
      <c r="G360" s="30">
        <v>7.2005992517349696E-2</v>
      </c>
      <c r="H360" s="30">
        <v>7.5191656621926076E-2</v>
      </c>
      <c r="I360" s="30">
        <v>7.8603748818511593E-2</v>
      </c>
      <c r="J360" s="30">
        <v>8.2205139018598161E-2</v>
      </c>
      <c r="K360" s="30">
        <v>8.5962506103498398E-2</v>
      </c>
      <c r="L360" s="30">
        <v>8.9845129112686911E-2</v>
      </c>
      <c r="N360" s="1"/>
      <c r="O360" s="1"/>
      <c r="P360" s="1"/>
      <c r="Q360" s="1"/>
      <c r="R360" s="1"/>
      <c r="S360" s="1"/>
      <c r="T360" s="1"/>
      <c r="U360" s="66">
        <f t="shared" si="267"/>
        <v>0.96146042503606843</v>
      </c>
      <c r="V360" s="62">
        <f t="shared" ref="V360:V423" si="268">EXP(-J360*($V$7-$U$7))</f>
        <v>0.9597306857936998</v>
      </c>
      <c r="W360" s="68">
        <f t="shared" ref="W360:W408" si="269">EXP(-K360*($W$7-$U$7))</f>
        <v>0.91762863604826828</v>
      </c>
      <c r="Y360" s="24"/>
      <c r="Z360" s="24"/>
      <c r="AA360" s="24"/>
      <c r="AB360" s="24"/>
      <c r="AC360" s="24"/>
      <c r="AD360" s="24"/>
      <c r="AE360" s="24"/>
      <c r="AF360" s="24">
        <f t="shared" si="253"/>
        <v>8.2205139018598161E-2</v>
      </c>
      <c r="AG360" s="24">
        <f t="shared" si="254"/>
        <v>8.5962506103498398E-2</v>
      </c>
      <c r="AH360" s="24">
        <f t="shared" si="255"/>
        <v>8.9845129112686911E-2</v>
      </c>
      <c r="AL360" s="23">
        <f t="shared" si="242"/>
        <v>0</v>
      </c>
      <c r="AM360" s="23">
        <f t="shared" si="243"/>
        <v>0</v>
      </c>
      <c r="AN360" s="23">
        <f t="shared" si="244"/>
        <v>0</v>
      </c>
      <c r="AO360" s="23">
        <f t="shared" si="245"/>
        <v>0</v>
      </c>
      <c r="AP360" s="23">
        <f t="shared" si="246"/>
        <v>0</v>
      </c>
      <c r="AQ360" s="23">
        <f t="shared" si="247"/>
        <v>0</v>
      </c>
      <c r="AR360" s="23">
        <f t="shared" si="248"/>
        <v>0</v>
      </c>
      <c r="AS360" s="23">
        <f t="shared" si="249"/>
        <v>6971.9201856259169</v>
      </c>
      <c r="AT360" s="23">
        <f t="shared" si="250"/>
        <v>8762.4074241487615</v>
      </c>
      <c r="AU360" s="23">
        <f t="shared" si="251"/>
        <v>10159.415831219485</v>
      </c>
      <c r="AW360" s="25"/>
      <c r="AX360" s="25"/>
      <c r="AY360" s="25"/>
      <c r="AZ360" s="25"/>
      <c r="BA360" s="25"/>
      <c r="BB360" s="25"/>
      <c r="BC360" s="25"/>
      <c r="BD360" s="25">
        <f t="shared" si="257"/>
        <v>25893.743440994163</v>
      </c>
      <c r="BE360" s="25">
        <f t="shared" si="258"/>
        <v>18921.823255368246</v>
      </c>
      <c r="BF360" s="25">
        <f t="shared" si="259"/>
        <v>10159.415831219485</v>
      </c>
      <c r="BG360" s="25">
        <f t="shared" si="260"/>
        <v>0</v>
      </c>
      <c r="BI360" s="25"/>
      <c r="BJ360" s="25"/>
      <c r="BK360" s="25"/>
      <c r="BL360" s="25"/>
      <c r="BM360" s="25"/>
      <c r="BN360" s="25"/>
      <c r="BO360" s="25"/>
      <c r="BP360" s="25">
        <f t="shared" si="263"/>
        <v>25893.743440994163</v>
      </c>
      <c r="BQ360" s="25">
        <f t="shared" si="264"/>
        <v>18921.823255368246</v>
      </c>
      <c r="BR360" s="25">
        <f t="shared" si="265"/>
        <v>10159.415831219485</v>
      </c>
      <c r="BS360" s="25">
        <f t="shared" si="266"/>
        <v>0</v>
      </c>
    </row>
    <row r="361" spans="1:71" x14ac:dyDescent="0.2">
      <c r="A361" s="29">
        <f t="shared" si="261"/>
        <v>3.5299999999999687</v>
      </c>
      <c r="B361" s="30">
        <v>6.0462056748604331E-2</v>
      </c>
      <c r="C361" s="30">
        <v>6.2023381140029268E-2</v>
      </c>
      <c r="D361" s="30">
        <v>6.3984365991348657E-2</v>
      </c>
      <c r="E361" s="30">
        <v>6.6342809462174204E-2</v>
      </c>
      <c r="F361" s="30">
        <v>6.9059758061899332E-2</v>
      </c>
      <c r="G361" s="30">
        <v>7.2084379361341128E-2</v>
      </c>
      <c r="H361" s="30">
        <v>7.5368408981938695E-2</v>
      </c>
      <c r="I361" s="30">
        <v>7.8869738458877098E-2</v>
      </c>
      <c r="J361" s="30">
        <v>8.2551623370063748E-2</v>
      </c>
      <c r="K361" s="30">
        <v>8.6381103288450278E-2</v>
      </c>
      <c r="L361" s="30">
        <v>9.0327804063975545E-2</v>
      </c>
      <c r="N361" s="1"/>
      <c r="O361" s="1"/>
      <c r="P361" s="1"/>
      <c r="Q361" s="1"/>
      <c r="R361" s="1"/>
      <c r="S361" s="1"/>
      <c r="T361" s="1"/>
      <c r="U361" s="66">
        <f t="shared" si="267"/>
        <v>0.96133256428232539</v>
      </c>
      <c r="V361" s="62">
        <f t="shared" si="268"/>
        <v>0.95956443436287098</v>
      </c>
      <c r="W361" s="68">
        <f t="shared" si="269"/>
        <v>0.91724459966826877</v>
      </c>
      <c r="Y361" s="24"/>
      <c r="Z361" s="24"/>
      <c r="AA361" s="24"/>
      <c r="AB361" s="24"/>
      <c r="AC361" s="24"/>
      <c r="AD361" s="24"/>
      <c r="AE361" s="24"/>
      <c r="AF361" s="24">
        <f t="shared" si="253"/>
        <v>8.2551623370063748E-2</v>
      </c>
      <c r="AG361" s="24">
        <f t="shared" si="254"/>
        <v>8.6381103288450278E-2</v>
      </c>
      <c r="AH361" s="24">
        <f t="shared" si="255"/>
        <v>9.0327804063975545E-2</v>
      </c>
      <c r="AL361" s="23">
        <f t="shared" si="242"/>
        <v>0</v>
      </c>
      <c r="AM361" s="23">
        <f t="shared" si="243"/>
        <v>0</v>
      </c>
      <c r="AN361" s="23">
        <f t="shared" si="244"/>
        <v>0</v>
      </c>
      <c r="AO361" s="23">
        <f t="shared" si="245"/>
        <v>0</v>
      </c>
      <c r="AP361" s="23">
        <f t="shared" si="246"/>
        <v>0</v>
      </c>
      <c r="AQ361" s="23">
        <f t="shared" si="247"/>
        <v>0</v>
      </c>
      <c r="AR361" s="23">
        <f t="shared" si="248"/>
        <v>0</v>
      </c>
      <c r="AS361" s="23">
        <f t="shared" si="249"/>
        <v>7137.5363630491684</v>
      </c>
      <c r="AT361" s="23">
        <f t="shared" si="250"/>
        <v>8961.725022608889</v>
      </c>
      <c r="AU361" s="23">
        <f t="shared" si="251"/>
        <v>10376.529514544643</v>
      </c>
      <c r="AW361" s="25"/>
      <c r="AX361" s="25"/>
      <c r="AY361" s="25"/>
      <c r="AZ361" s="25"/>
      <c r="BA361" s="25"/>
      <c r="BB361" s="25"/>
      <c r="BC361" s="25"/>
      <c r="BD361" s="25">
        <f t="shared" si="257"/>
        <v>26475.790900202701</v>
      </c>
      <c r="BE361" s="25">
        <f t="shared" si="258"/>
        <v>19338.254537153531</v>
      </c>
      <c r="BF361" s="25">
        <f t="shared" si="259"/>
        <v>10376.529514544643</v>
      </c>
      <c r="BG361" s="25">
        <f t="shared" si="260"/>
        <v>0</v>
      </c>
      <c r="BI361" s="25"/>
      <c r="BJ361" s="25"/>
      <c r="BK361" s="25"/>
      <c r="BL361" s="25"/>
      <c r="BM361" s="25"/>
      <c r="BN361" s="25"/>
      <c r="BO361" s="25"/>
      <c r="BP361" s="25">
        <f t="shared" si="263"/>
        <v>26475.790900202701</v>
      </c>
      <c r="BQ361" s="25">
        <f t="shared" si="264"/>
        <v>19338.254537153531</v>
      </c>
      <c r="BR361" s="25">
        <f t="shared" si="265"/>
        <v>10376.529514544643</v>
      </c>
      <c r="BS361" s="25">
        <f t="shared" si="266"/>
        <v>0</v>
      </c>
    </row>
    <row r="362" spans="1:71" x14ac:dyDescent="0.2">
      <c r="A362" s="29">
        <f t="shared" si="261"/>
        <v>3.5399999999999685</v>
      </c>
      <c r="B362" s="30">
        <v>6.0385161385598213E-2</v>
      </c>
      <c r="C362" s="30">
        <v>6.2010304972036689E-2</v>
      </c>
      <c r="D362" s="30">
        <v>6.4027025126453738E-2</v>
      </c>
      <c r="E362" s="30">
        <v>6.6432744215908779E-2</v>
      </c>
      <c r="F362" s="30">
        <v>6.9188627583413181E-2</v>
      </c>
      <c r="G362" s="30">
        <v>7.2244248246996934E-2</v>
      </c>
      <c r="H362" s="30">
        <v>7.5551817158039616E-2</v>
      </c>
      <c r="I362" s="30">
        <v>7.9069683873380717E-2</v>
      </c>
      <c r="J362" s="30">
        <v>8.2761529278682217E-2</v>
      </c>
      <c r="K362" s="30">
        <v>8.6594793501745815E-2</v>
      </c>
      <c r="L362" s="30">
        <v>9.0539489228936482E-2</v>
      </c>
      <c r="N362" s="1"/>
      <c r="O362" s="1"/>
      <c r="P362" s="1"/>
      <c r="Q362" s="1"/>
      <c r="R362" s="1"/>
      <c r="S362" s="1"/>
      <c r="T362" s="1"/>
      <c r="U362" s="66">
        <f t="shared" si="267"/>
        <v>0.96123646206718405</v>
      </c>
      <c r="V362" s="62">
        <f t="shared" si="268"/>
        <v>0.95946373052530964</v>
      </c>
      <c r="W362" s="68">
        <f t="shared" si="269"/>
        <v>0.91704861441493257</v>
      </c>
      <c r="Y362" s="24"/>
      <c r="Z362" s="24"/>
      <c r="AA362" s="24"/>
      <c r="AB362" s="24"/>
      <c r="AC362" s="24"/>
      <c r="AD362" s="24"/>
      <c r="AE362" s="24"/>
      <c r="AF362" s="24">
        <f t="shared" si="253"/>
        <v>8.2761529278682217E-2</v>
      </c>
      <c r="AG362" s="24">
        <f t="shared" si="254"/>
        <v>8.6594793501745815E-2</v>
      </c>
      <c r="AH362" s="24">
        <f t="shared" si="255"/>
        <v>9.0539489228936482E-2</v>
      </c>
      <c r="AL362" s="23">
        <f t="shared" si="242"/>
        <v>0</v>
      </c>
      <c r="AM362" s="23">
        <f t="shared" si="243"/>
        <v>0</v>
      </c>
      <c r="AN362" s="23">
        <f t="shared" si="244"/>
        <v>0</v>
      </c>
      <c r="AO362" s="23">
        <f t="shared" si="245"/>
        <v>0</v>
      </c>
      <c r="AP362" s="23">
        <f t="shared" si="246"/>
        <v>0</v>
      </c>
      <c r="AQ362" s="23">
        <f t="shared" si="247"/>
        <v>0</v>
      </c>
      <c r="AR362" s="23">
        <f t="shared" si="248"/>
        <v>0</v>
      </c>
      <c r="AS362" s="23">
        <f t="shared" si="249"/>
        <v>7237.7074463665685</v>
      </c>
      <c r="AT362" s="23">
        <f t="shared" si="250"/>
        <v>9063.298517060226</v>
      </c>
      <c r="AU362" s="23">
        <f t="shared" si="251"/>
        <v>10471.375182246717</v>
      </c>
      <c r="AW362" s="25"/>
      <c r="AX362" s="25"/>
      <c r="AY362" s="25"/>
      <c r="AZ362" s="25"/>
      <c r="BA362" s="25"/>
      <c r="BB362" s="25"/>
      <c r="BC362" s="25"/>
      <c r="BD362" s="25">
        <f t="shared" si="257"/>
        <v>26772.381145673513</v>
      </c>
      <c r="BE362" s="25">
        <f t="shared" si="258"/>
        <v>19534.673699306943</v>
      </c>
      <c r="BF362" s="25">
        <f t="shared" si="259"/>
        <v>10471.375182246717</v>
      </c>
      <c r="BG362" s="25">
        <f t="shared" si="260"/>
        <v>0</v>
      </c>
      <c r="BI362" s="25"/>
      <c r="BJ362" s="25"/>
      <c r="BK362" s="25"/>
      <c r="BL362" s="25"/>
      <c r="BM362" s="25"/>
      <c r="BN362" s="25"/>
      <c r="BO362" s="25"/>
      <c r="BP362" s="25">
        <f t="shared" si="263"/>
        <v>26772.381145673513</v>
      </c>
      <c r="BQ362" s="25">
        <f t="shared" si="264"/>
        <v>19534.673699306943</v>
      </c>
      <c r="BR362" s="25">
        <f t="shared" si="265"/>
        <v>10471.375182246717</v>
      </c>
      <c r="BS362" s="25">
        <f t="shared" si="266"/>
        <v>0</v>
      </c>
    </row>
    <row r="363" spans="1:71" x14ac:dyDescent="0.2">
      <c r="A363" s="29">
        <f t="shared" si="261"/>
        <v>3.5499999999999683</v>
      </c>
      <c r="B363" s="30">
        <v>6.1260220286692139E-2</v>
      </c>
      <c r="C363" s="30">
        <v>6.2914347475352059E-2</v>
      </c>
      <c r="D363" s="30">
        <v>6.4957730644486317E-2</v>
      </c>
      <c r="E363" s="30">
        <v>6.7387165341248542E-2</v>
      </c>
      <c r="F363" s="30">
        <v>7.0163680554663085E-2</v>
      </c>
      <c r="G363" s="30">
        <v>7.3236995227750484E-2</v>
      </c>
      <c r="H363" s="30">
        <v>7.6559534375788135E-2</v>
      </c>
      <c r="I363" s="30">
        <v>8.0089844003115071E-2</v>
      </c>
      <c r="J363" s="30">
        <v>8.3791768888212853E-2</v>
      </c>
      <c r="K363" s="30">
        <v>8.7632888519487862E-2</v>
      </c>
      <c r="L363" s="30">
        <v>9.1583341386857212E-2</v>
      </c>
      <c r="N363" s="1"/>
      <c r="O363" s="1"/>
      <c r="P363" s="1"/>
      <c r="Q363" s="1"/>
      <c r="R363" s="1"/>
      <c r="S363" s="1"/>
      <c r="T363" s="1"/>
      <c r="U363" s="66">
        <f t="shared" si="267"/>
        <v>0.9607462795370566</v>
      </c>
      <c r="V363" s="62">
        <f t="shared" si="268"/>
        <v>0.95896961902999645</v>
      </c>
      <c r="W363" s="68">
        <f t="shared" si="269"/>
        <v>0.91609712477105754</v>
      </c>
      <c r="Y363" s="24"/>
      <c r="Z363" s="24"/>
      <c r="AA363" s="24"/>
      <c r="AB363" s="24"/>
      <c r="AC363" s="24"/>
      <c r="AD363" s="24"/>
      <c r="AE363" s="24"/>
      <c r="AF363" s="24">
        <f t="shared" si="253"/>
        <v>8.3791768888212853E-2</v>
      </c>
      <c r="AG363" s="24">
        <f t="shared" si="254"/>
        <v>8.7632888519487862E-2</v>
      </c>
      <c r="AH363" s="24">
        <f t="shared" si="255"/>
        <v>9.1583341386857212E-2</v>
      </c>
      <c r="AL363" s="23">
        <f t="shared" si="242"/>
        <v>0</v>
      </c>
      <c r="AM363" s="23">
        <f t="shared" si="243"/>
        <v>0</v>
      </c>
      <c r="AN363" s="23">
        <f t="shared" si="244"/>
        <v>0</v>
      </c>
      <c r="AO363" s="23">
        <f t="shared" si="245"/>
        <v>0</v>
      </c>
      <c r="AP363" s="23">
        <f t="shared" si="246"/>
        <v>0</v>
      </c>
      <c r="AQ363" s="23">
        <f t="shared" si="247"/>
        <v>0</v>
      </c>
      <c r="AR363" s="23">
        <f t="shared" si="248"/>
        <v>0</v>
      </c>
      <c r="AS363" s="23">
        <f t="shared" si="249"/>
        <v>7728.9160134263157</v>
      </c>
      <c r="AT363" s="23">
        <f t="shared" si="250"/>
        <v>9556.381826597597</v>
      </c>
      <c r="AU363" s="23">
        <f t="shared" si="251"/>
        <v>10938.645520360873</v>
      </c>
      <c r="AW363" s="25"/>
      <c r="AX363" s="25"/>
      <c r="AY363" s="25"/>
      <c r="AZ363" s="25"/>
      <c r="BA363" s="25"/>
      <c r="BB363" s="25"/>
      <c r="BC363" s="25"/>
      <c r="BD363" s="25">
        <f t="shared" si="257"/>
        <v>28223.943360384787</v>
      </c>
      <c r="BE363" s="25">
        <f t="shared" si="258"/>
        <v>20495.027346958472</v>
      </c>
      <c r="BF363" s="25">
        <f t="shared" si="259"/>
        <v>10938.645520360873</v>
      </c>
      <c r="BG363" s="25">
        <f t="shared" si="260"/>
        <v>0</v>
      </c>
      <c r="BI363" s="25"/>
      <c r="BJ363" s="25"/>
      <c r="BK363" s="25"/>
      <c r="BL363" s="25"/>
      <c r="BM363" s="25"/>
      <c r="BN363" s="25"/>
      <c r="BO363" s="25"/>
      <c r="BP363" s="25">
        <f t="shared" si="263"/>
        <v>28223.943360384787</v>
      </c>
      <c r="BQ363" s="25">
        <f t="shared" si="264"/>
        <v>20495.027346958472</v>
      </c>
      <c r="BR363" s="25">
        <f t="shared" si="265"/>
        <v>10938.645520360873</v>
      </c>
      <c r="BS363" s="25">
        <f t="shared" si="266"/>
        <v>0</v>
      </c>
    </row>
    <row r="364" spans="1:71" x14ac:dyDescent="0.2">
      <c r="A364" s="29">
        <f t="shared" si="261"/>
        <v>3.5599999999999681</v>
      </c>
      <c r="B364" s="30">
        <v>6.0895201498319965E-2</v>
      </c>
      <c r="C364" s="30">
        <v>6.2614676791105495E-2</v>
      </c>
      <c r="D364" s="30">
        <v>6.4719151259869864E-2</v>
      </c>
      <c r="E364" s="30">
        <v>6.7204847297900078E-2</v>
      </c>
      <c r="F364" s="30">
        <v>7.0032707042533726E-2</v>
      </c>
      <c r="G364" s="30">
        <v>7.315264058128082E-2</v>
      </c>
      <c r="H364" s="30">
        <v>7.6517330497709396E-2</v>
      </c>
      <c r="I364" s="30">
        <v>8.0085562449285191E-2</v>
      </c>
      <c r="J364" s="30">
        <v>8.3821388473385758E-2</v>
      </c>
      <c r="K364" s="30">
        <v>8.7692571004601913E-2</v>
      </c>
      <c r="L364" s="30">
        <v>9.1669418081980772E-2</v>
      </c>
      <c r="N364" s="1"/>
      <c r="O364" s="1"/>
      <c r="P364" s="1"/>
      <c r="Q364" s="1"/>
      <c r="R364" s="1"/>
      <c r="S364" s="1"/>
      <c r="T364" s="1"/>
      <c r="U364" s="66">
        <f t="shared" si="267"/>
        <v>0.96074833628271439</v>
      </c>
      <c r="V364" s="62">
        <f t="shared" si="268"/>
        <v>0.95895541699400677</v>
      </c>
      <c r="W364" s="68">
        <f t="shared" si="269"/>
        <v>0.91604245144958152</v>
      </c>
      <c r="Y364" s="24"/>
      <c r="Z364" s="24"/>
      <c r="AA364" s="24"/>
      <c r="AB364" s="24"/>
      <c r="AC364" s="24"/>
      <c r="AD364" s="24"/>
      <c r="AE364" s="24"/>
      <c r="AF364" s="24">
        <f t="shared" si="253"/>
        <v>8.3821388473385758E-2</v>
      </c>
      <c r="AG364" s="24">
        <f t="shared" si="254"/>
        <v>8.7692571004601913E-2</v>
      </c>
      <c r="AH364" s="24">
        <f t="shared" si="255"/>
        <v>9.1669418081980772E-2</v>
      </c>
      <c r="AL364" s="23">
        <f t="shared" si="242"/>
        <v>0</v>
      </c>
      <c r="AM364" s="23">
        <f t="shared" si="243"/>
        <v>0</v>
      </c>
      <c r="AN364" s="23">
        <f t="shared" si="244"/>
        <v>0</v>
      </c>
      <c r="AO364" s="23">
        <f t="shared" si="245"/>
        <v>0</v>
      </c>
      <c r="AP364" s="23">
        <f t="shared" si="246"/>
        <v>0</v>
      </c>
      <c r="AQ364" s="23">
        <f t="shared" si="247"/>
        <v>0</v>
      </c>
      <c r="AR364" s="23">
        <f t="shared" si="248"/>
        <v>0</v>
      </c>
      <c r="AS364" s="23">
        <f t="shared" si="249"/>
        <v>7743.1610429171305</v>
      </c>
      <c r="AT364" s="23">
        <f t="shared" si="250"/>
        <v>9584.8567208127552</v>
      </c>
      <c r="AU364" s="23">
        <f t="shared" si="251"/>
        <v>10977.417647700604</v>
      </c>
      <c r="AW364" s="25"/>
      <c r="AX364" s="25"/>
      <c r="AY364" s="25"/>
      <c r="AZ364" s="25"/>
      <c r="BA364" s="25"/>
      <c r="BB364" s="25"/>
      <c r="BC364" s="25"/>
      <c r="BD364" s="25">
        <f t="shared" si="257"/>
        <v>28305.435411430488</v>
      </c>
      <c r="BE364" s="25">
        <f t="shared" si="258"/>
        <v>20562.274368513361</v>
      </c>
      <c r="BF364" s="25">
        <f t="shared" si="259"/>
        <v>10977.417647700604</v>
      </c>
      <c r="BG364" s="25">
        <f t="shared" si="260"/>
        <v>0</v>
      </c>
      <c r="BI364" s="25"/>
      <c r="BJ364" s="25"/>
      <c r="BK364" s="25"/>
      <c r="BL364" s="25"/>
      <c r="BM364" s="25"/>
      <c r="BN364" s="25"/>
      <c r="BO364" s="25"/>
      <c r="BP364" s="25">
        <f t="shared" si="263"/>
        <v>28305.435411430488</v>
      </c>
      <c r="BQ364" s="25">
        <f t="shared" si="264"/>
        <v>20562.274368513361</v>
      </c>
      <c r="BR364" s="25">
        <f t="shared" si="265"/>
        <v>10977.417647700604</v>
      </c>
      <c r="BS364" s="25">
        <f t="shared" si="266"/>
        <v>0</v>
      </c>
    </row>
    <row r="365" spans="1:71" x14ac:dyDescent="0.2">
      <c r="A365" s="29">
        <f t="shared" si="261"/>
        <v>3.5699999999999679</v>
      </c>
      <c r="B365" s="30">
        <v>6.2848909837876263E-2</v>
      </c>
      <c r="C365" s="30">
        <v>6.4556035949419513E-2</v>
      </c>
      <c r="D365" s="30">
        <v>6.6643805421221572E-2</v>
      </c>
      <c r="E365" s="30">
        <v>6.9108016749458157E-2</v>
      </c>
      <c r="F365" s="30">
        <v>7.1909670310415424E-2</v>
      </c>
      <c r="G365" s="30">
        <v>7.4999008195280631E-2</v>
      </c>
      <c r="H365" s="30">
        <v>7.8329109728320939E-2</v>
      </c>
      <c r="I365" s="30">
        <v>8.1859139102955961E-2</v>
      </c>
      <c r="J365" s="30">
        <v>8.5553494659916796E-2</v>
      </c>
      <c r="K365" s="30">
        <v>8.9380261042749348E-2</v>
      </c>
      <c r="L365" s="30">
        <v>9.3310055261032587E-2</v>
      </c>
      <c r="N365" s="1"/>
      <c r="O365" s="1"/>
      <c r="P365" s="1"/>
      <c r="Q365" s="1"/>
      <c r="R365" s="1"/>
      <c r="S365" s="1"/>
      <c r="T365" s="1"/>
      <c r="U365" s="66">
        <f t="shared" si="267"/>
        <v>0.95989673352457283</v>
      </c>
      <c r="V365" s="62">
        <f t="shared" si="268"/>
        <v>0.95812527021629523</v>
      </c>
      <c r="W365" s="68">
        <f t="shared" si="269"/>
        <v>0.9144977595769378</v>
      </c>
      <c r="Y365" s="24"/>
      <c r="Z365" s="24"/>
      <c r="AA365" s="24"/>
      <c r="AB365" s="24"/>
      <c r="AC365" s="24"/>
      <c r="AD365" s="24"/>
      <c r="AE365" s="24"/>
      <c r="AF365" s="24">
        <f t="shared" si="253"/>
        <v>8.5553494659916796E-2</v>
      </c>
      <c r="AG365" s="24">
        <f t="shared" si="254"/>
        <v>8.9380261042749348E-2</v>
      </c>
      <c r="AH365" s="24">
        <f t="shared" si="255"/>
        <v>9.3310055261032587E-2</v>
      </c>
      <c r="AL365" s="23">
        <f t="shared" si="242"/>
        <v>0</v>
      </c>
      <c r="AM365" s="23">
        <f t="shared" si="243"/>
        <v>0</v>
      </c>
      <c r="AN365" s="23">
        <f t="shared" si="244"/>
        <v>0</v>
      </c>
      <c r="AO365" s="23">
        <f t="shared" si="245"/>
        <v>0</v>
      </c>
      <c r="AP365" s="23">
        <f t="shared" si="246"/>
        <v>0</v>
      </c>
      <c r="AQ365" s="23">
        <f t="shared" si="247"/>
        <v>0</v>
      </c>
      <c r="AR365" s="23">
        <f t="shared" si="248"/>
        <v>0</v>
      </c>
      <c r="AS365" s="23">
        <f t="shared" si="249"/>
        <v>8567.6190770620196</v>
      </c>
      <c r="AT365" s="23">
        <f t="shared" si="250"/>
        <v>10385.068556435519</v>
      </c>
      <c r="AU365" s="23">
        <f t="shared" si="251"/>
        <v>11709.086306238167</v>
      </c>
      <c r="AW365" s="25"/>
      <c r="AX365" s="25"/>
      <c r="AY365" s="25"/>
      <c r="AZ365" s="25"/>
      <c r="BA365" s="25"/>
      <c r="BB365" s="25"/>
      <c r="BC365" s="25"/>
      <c r="BD365" s="25">
        <f t="shared" si="257"/>
        <v>30661.773939735707</v>
      </c>
      <c r="BE365" s="25">
        <f t="shared" si="258"/>
        <v>22094.154862673684</v>
      </c>
      <c r="BF365" s="25">
        <f t="shared" si="259"/>
        <v>11709.086306238167</v>
      </c>
      <c r="BG365" s="25">
        <f t="shared" si="260"/>
        <v>0</v>
      </c>
      <c r="BI365" s="25"/>
      <c r="BJ365" s="25"/>
      <c r="BK365" s="25"/>
      <c r="BL365" s="25"/>
      <c r="BM365" s="25"/>
      <c r="BN365" s="25"/>
      <c r="BO365" s="25"/>
      <c r="BP365" s="25">
        <f t="shared" si="263"/>
        <v>30661.773939735707</v>
      </c>
      <c r="BQ365" s="25">
        <f t="shared" si="264"/>
        <v>22094.154862673684</v>
      </c>
      <c r="BR365" s="25">
        <f t="shared" si="265"/>
        <v>11709.086306238167</v>
      </c>
      <c r="BS365" s="25">
        <f t="shared" si="266"/>
        <v>0</v>
      </c>
    </row>
    <row r="366" spans="1:71" x14ac:dyDescent="0.2">
      <c r="A366" s="29">
        <f t="shared" si="261"/>
        <v>3.5799999999999677</v>
      </c>
      <c r="B366" s="30">
        <v>6.329290109037615E-2</v>
      </c>
      <c r="C366" s="30">
        <v>6.5047786459391174E-2</v>
      </c>
      <c r="D366" s="30">
        <v>6.7178891084135453E-2</v>
      </c>
      <c r="E366" s="30">
        <v>6.9681498092899349E-2</v>
      </c>
      <c r="F366" s="30">
        <v>7.2516570462716853E-2</v>
      </c>
      <c r="G366" s="30">
        <v>7.563458246969762E-2</v>
      </c>
      <c r="H366" s="30">
        <v>7.8988908701217733E-2</v>
      </c>
      <c r="I366" s="30">
        <v>8.2538990128503381E-2</v>
      </c>
      <c r="J366" s="30">
        <v>8.624946980025594E-2</v>
      </c>
      <c r="K366" s="30">
        <v>9.0088653190712645E-2</v>
      </c>
      <c r="L366" s="30">
        <v>9.4027365058991022E-2</v>
      </c>
      <c r="N366" s="1"/>
      <c r="O366" s="1"/>
      <c r="P366" s="1"/>
      <c r="Q366" s="1"/>
      <c r="R366" s="1"/>
      <c r="S366" s="1"/>
      <c r="T366" s="1"/>
      <c r="U366" s="66">
        <f t="shared" si="267"/>
        <v>0.95957049558666019</v>
      </c>
      <c r="V366" s="62">
        <f t="shared" si="268"/>
        <v>0.95779191253712304</v>
      </c>
      <c r="W366" s="68">
        <f t="shared" si="269"/>
        <v>0.91385016594692592</v>
      </c>
      <c r="Y366" s="24"/>
      <c r="Z366" s="24"/>
      <c r="AA366" s="24"/>
      <c r="AB366" s="24"/>
      <c r="AC366" s="24"/>
      <c r="AD366" s="24"/>
      <c r="AE366" s="24"/>
      <c r="AF366" s="24">
        <f t="shared" si="253"/>
        <v>8.624946980025594E-2</v>
      </c>
      <c r="AG366" s="24">
        <f t="shared" si="254"/>
        <v>9.0088653190712645E-2</v>
      </c>
      <c r="AH366" s="24">
        <f t="shared" si="255"/>
        <v>9.4027365058991022E-2</v>
      </c>
      <c r="AL366" s="23">
        <f t="shared" si="242"/>
        <v>0</v>
      </c>
      <c r="AM366" s="23">
        <f t="shared" si="243"/>
        <v>0</v>
      </c>
      <c r="AN366" s="23">
        <f t="shared" si="244"/>
        <v>0</v>
      </c>
      <c r="AO366" s="23">
        <f t="shared" si="245"/>
        <v>0</v>
      </c>
      <c r="AP366" s="23">
        <f t="shared" si="246"/>
        <v>0</v>
      </c>
      <c r="AQ366" s="23">
        <f t="shared" si="247"/>
        <v>0</v>
      </c>
      <c r="AR366" s="23">
        <f t="shared" si="248"/>
        <v>0</v>
      </c>
      <c r="AS366" s="23">
        <f t="shared" si="249"/>
        <v>8898.6258248549566</v>
      </c>
      <c r="AT366" s="23">
        <f t="shared" si="250"/>
        <v>10720.701445493365</v>
      </c>
      <c r="AU366" s="23">
        <f t="shared" si="251"/>
        <v>12028.551457618767</v>
      </c>
      <c r="AW366" s="25"/>
      <c r="AX366" s="25"/>
      <c r="AY366" s="25"/>
      <c r="AZ366" s="25"/>
      <c r="BA366" s="25"/>
      <c r="BB366" s="25"/>
      <c r="BC366" s="25"/>
      <c r="BD366" s="25">
        <f t="shared" si="257"/>
        <v>31647.878727967091</v>
      </c>
      <c r="BE366" s="25">
        <f t="shared" si="258"/>
        <v>22749.25290311213</v>
      </c>
      <c r="BF366" s="25">
        <f t="shared" si="259"/>
        <v>12028.551457618767</v>
      </c>
      <c r="BG366" s="25">
        <f t="shared" si="260"/>
        <v>0</v>
      </c>
      <c r="BI366" s="25"/>
      <c r="BJ366" s="25"/>
      <c r="BK366" s="25"/>
      <c r="BL366" s="25"/>
      <c r="BM366" s="25"/>
      <c r="BN366" s="25"/>
      <c r="BO366" s="25"/>
      <c r="BP366" s="25">
        <f t="shared" si="263"/>
        <v>31647.878727967091</v>
      </c>
      <c r="BQ366" s="25">
        <f t="shared" si="264"/>
        <v>22749.25290311213</v>
      </c>
      <c r="BR366" s="25">
        <f t="shared" si="265"/>
        <v>12028.551457618767</v>
      </c>
      <c r="BS366" s="25">
        <f t="shared" si="266"/>
        <v>0</v>
      </c>
    </row>
    <row r="367" spans="1:71" x14ac:dyDescent="0.2">
      <c r="A367" s="29">
        <f t="shared" si="261"/>
        <v>3.5899999999999674</v>
      </c>
      <c r="B367" s="30">
        <v>6.3728152883479119E-2</v>
      </c>
      <c r="C367" s="30">
        <v>6.5369074478762709E-2</v>
      </c>
      <c r="D367" s="30">
        <v>6.7395621336344094E-2</v>
      </c>
      <c r="E367" s="30">
        <v>6.9802081156019893E-2</v>
      </c>
      <c r="F367" s="30">
        <v>7.2548895287274442E-2</v>
      </c>
      <c r="G367" s="30">
        <v>7.5586281832722535E-2</v>
      </c>
      <c r="H367" s="30">
        <v>7.8867420653162143E-2</v>
      </c>
      <c r="I367" s="30">
        <v>8.2351539236248272E-2</v>
      </c>
      <c r="J367" s="30">
        <v>8.6003035241126027E-2</v>
      </c>
      <c r="K367" s="30">
        <v>8.9789945091119913E-2</v>
      </c>
      <c r="L367" s="30">
        <v>9.3682811569197888E-2</v>
      </c>
      <c r="N367" s="1"/>
      <c r="O367" s="1"/>
      <c r="P367" s="1"/>
      <c r="Q367" s="1"/>
      <c r="R367" s="1"/>
      <c r="S367" s="1"/>
      <c r="T367" s="1"/>
      <c r="U367" s="66">
        <f t="shared" si="267"/>
        <v>0.95966043597423556</v>
      </c>
      <c r="V367" s="62">
        <f t="shared" si="268"/>
        <v>0.95790993632211063</v>
      </c>
      <c r="W367" s="68">
        <f t="shared" si="269"/>
        <v>0.91412318116720725</v>
      </c>
      <c r="Y367" s="24"/>
      <c r="Z367" s="24"/>
      <c r="AA367" s="24"/>
      <c r="AB367" s="24"/>
      <c r="AC367" s="24"/>
      <c r="AD367" s="24"/>
      <c r="AE367" s="24"/>
      <c r="AF367" s="24">
        <f t="shared" si="253"/>
        <v>8.6003035241126027E-2</v>
      </c>
      <c r="AG367" s="24">
        <f t="shared" si="254"/>
        <v>8.9789945091119913E-2</v>
      </c>
      <c r="AH367" s="24">
        <f t="shared" si="255"/>
        <v>9.3682811569197888E-2</v>
      </c>
      <c r="AL367" s="23">
        <f t="shared" si="242"/>
        <v>0</v>
      </c>
      <c r="AM367" s="23">
        <f t="shared" si="243"/>
        <v>0</v>
      </c>
      <c r="AN367" s="23">
        <f t="shared" si="244"/>
        <v>0</v>
      </c>
      <c r="AO367" s="23">
        <f t="shared" si="245"/>
        <v>0</v>
      </c>
      <c r="AP367" s="23">
        <f t="shared" si="246"/>
        <v>0</v>
      </c>
      <c r="AQ367" s="23">
        <f t="shared" si="247"/>
        <v>0</v>
      </c>
      <c r="AR367" s="23">
        <f t="shared" si="248"/>
        <v>0</v>
      </c>
      <c r="AS367" s="23">
        <f t="shared" si="249"/>
        <v>8781.2131433894774</v>
      </c>
      <c r="AT367" s="23">
        <f t="shared" si="250"/>
        <v>10578.954774217476</v>
      </c>
      <c r="AU367" s="23">
        <f t="shared" si="251"/>
        <v>11874.662853965927</v>
      </c>
      <c r="AW367" s="25"/>
      <c r="AX367" s="25"/>
      <c r="AY367" s="25"/>
      <c r="AZ367" s="25"/>
      <c r="BA367" s="25"/>
      <c r="BB367" s="25"/>
      <c r="BC367" s="25"/>
      <c r="BD367" s="25">
        <f t="shared" si="257"/>
        <v>31234.830771572881</v>
      </c>
      <c r="BE367" s="25">
        <f t="shared" si="258"/>
        <v>22453.617628183405</v>
      </c>
      <c r="BF367" s="25">
        <f t="shared" si="259"/>
        <v>11874.662853965927</v>
      </c>
      <c r="BG367" s="25">
        <f t="shared" si="260"/>
        <v>0</v>
      </c>
      <c r="BI367" s="25"/>
      <c r="BJ367" s="25"/>
      <c r="BK367" s="25"/>
      <c r="BL367" s="25"/>
      <c r="BM367" s="25"/>
      <c r="BN367" s="25"/>
      <c r="BO367" s="25"/>
      <c r="BP367" s="25">
        <f t="shared" si="263"/>
        <v>31234.830771572881</v>
      </c>
      <c r="BQ367" s="25">
        <f t="shared" si="264"/>
        <v>22453.617628183405</v>
      </c>
      <c r="BR367" s="25">
        <f t="shared" si="265"/>
        <v>11874.662853965927</v>
      </c>
      <c r="BS367" s="25">
        <f t="shared" si="266"/>
        <v>0</v>
      </c>
    </row>
    <row r="368" spans="1:71" x14ac:dyDescent="0.2">
      <c r="A368" s="29">
        <f t="shared" si="261"/>
        <v>3.5999999999999672</v>
      </c>
      <c r="B368" s="30">
        <v>6.2170896854668672E-2</v>
      </c>
      <c r="C368" s="30">
        <v>6.3838709815770223E-2</v>
      </c>
      <c r="D368" s="30">
        <v>6.5895553441833801E-2</v>
      </c>
      <c r="E368" s="30">
        <v>6.8334818175653372E-2</v>
      </c>
      <c r="F368" s="30">
        <v>7.1116517743716842E-2</v>
      </c>
      <c r="G368" s="30">
        <v>7.4190703999554644E-2</v>
      </c>
      <c r="H368" s="30">
        <v>7.7510450397718922E-2</v>
      </c>
      <c r="I368" s="30">
        <v>8.1034858999645965E-2</v>
      </c>
      <c r="J368" s="30">
        <v>8.4728170297169614E-2</v>
      </c>
      <c r="K368" s="30">
        <v>8.8558240099669075E-2</v>
      </c>
      <c r="L368" s="30">
        <v>9.2495417805497818E-2</v>
      </c>
      <c r="N368" s="1"/>
      <c r="O368" s="1"/>
      <c r="P368" s="1"/>
      <c r="Q368" s="1"/>
      <c r="R368" s="1"/>
      <c r="S368" s="1"/>
      <c r="T368" s="1"/>
      <c r="U368" s="66">
        <f t="shared" si="267"/>
        <v>0.96029242694886419</v>
      </c>
      <c r="V368" s="62">
        <f t="shared" si="268"/>
        <v>0.9585207338711671</v>
      </c>
      <c r="W368" s="68">
        <f t="shared" si="269"/>
        <v>0.9152498049438833</v>
      </c>
      <c r="Y368" s="24"/>
      <c r="Z368" s="24"/>
      <c r="AA368" s="24"/>
      <c r="AB368" s="24"/>
      <c r="AC368" s="24"/>
      <c r="AD368" s="24"/>
      <c r="AE368" s="24"/>
      <c r="AF368" s="24">
        <f t="shared" si="253"/>
        <v>8.4728170297169614E-2</v>
      </c>
      <c r="AG368" s="24">
        <f t="shared" si="254"/>
        <v>8.8558240099669075E-2</v>
      </c>
      <c r="AH368" s="24">
        <f t="shared" si="255"/>
        <v>9.2495417805497818E-2</v>
      </c>
      <c r="AL368" s="23">
        <f t="shared" si="242"/>
        <v>0</v>
      </c>
      <c r="AM368" s="23">
        <f t="shared" si="243"/>
        <v>0</v>
      </c>
      <c r="AN368" s="23">
        <f t="shared" si="244"/>
        <v>0</v>
      </c>
      <c r="AO368" s="23">
        <f t="shared" si="245"/>
        <v>0</v>
      </c>
      <c r="AP368" s="23">
        <f t="shared" si="246"/>
        <v>0</v>
      </c>
      <c r="AQ368" s="23">
        <f t="shared" si="247"/>
        <v>0</v>
      </c>
      <c r="AR368" s="23">
        <f t="shared" si="248"/>
        <v>0</v>
      </c>
      <c r="AS368" s="23">
        <f t="shared" si="249"/>
        <v>8174.8744961151297</v>
      </c>
      <c r="AT368" s="23">
        <f t="shared" si="250"/>
        <v>9995.3929070290451</v>
      </c>
      <c r="AU368" s="23">
        <f t="shared" si="251"/>
        <v>11345.916991374052</v>
      </c>
      <c r="AW368" s="25"/>
      <c r="AX368" s="25"/>
      <c r="AY368" s="25"/>
      <c r="AZ368" s="25"/>
      <c r="BA368" s="25"/>
      <c r="BB368" s="25"/>
      <c r="BC368" s="25"/>
      <c r="BD368" s="25">
        <f t="shared" si="257"/>
        <v>29516.184394518226</v>
      </c>
      <c r="BE368" s="25">
        <f t="shared" si="258"/>
        <v>21341.309898403095</v>
      </c>
      <c r="BF368" s="25">
        <f t="shared" si="259"/>
        <v>11345.916991374052</v>
      </c>
      <c r="BG368" s="25">
        <f t="shared" si="260"/>
        <v>0</v>
      </c>
      <c r="BI368" s="25"/>
      <c r="BJ368" s="25"/>
      <c r="BK368" s="25"/>
      <c r="BL368" s="25"/>
      <c r="BM368" s="25"/>
      <c r="BN368" s="25"/>
      <c r="BO368" s="25"/>
      <c r="BP368" s="25">
        <f t="shared" si="263"/>
        <v>29516.184394518226</v>
      </c>
      <c r="BQ368" s="25">
        <f t="shared" si="264"/>
        <v>21341.309898403095</v>
      </c>
      <c r="BR368" s="25">
        <f t="shared" si="265"/>
        <v>11345.916991374052</v>
      </c>
      <c r="BS368" s="25">
        <f t="shared" si="266"/>
        <v>0</v>
      </c>
    </row>
    <row r="369" spans="1:71" x14ac:dyDescent="0.2">
      <c r="A369" s="29">
        <f t="shared" si="261"/>
        <v>3.609999999999967</v>
      </c>
      <c r="B369" s="30">
        <v>6.2506380112620843E-2</v>
      </c>
      <c r="C369" s="30">
        <v>6.424678953933928E-2</v>
      </c>
      <c r="D369" s="30">
        <v>6.6366472047030001E-2</v>
      </c>
      <c r="E369" s="30">
        <v>6.8858582403971413E-2</v>
      </c>
      <c r="F369" s="30">
        <v>7.1683364130940203E-2</v>
      </c>
      <c r="G369" s="30">
        <v>7.4791356219046187E-2</v>
      </c>
      <c r="H369" s="30">
        <v>7.8136177526003187E-2</v>
      </c>
      <c r="I369" s="30">
        <v>8.1677456242013918E-2</v>
      </c>
      <c r="J369" s="30">
        <v>8.5379927412475243E-2</v>
      </c>
      <c r="K369" s="30">
        <v>8.921191816721466E-2</v>
      </c>
      <c r="L369" s="30">
        <v>9.3144236607590386E-2</v>
      </c>
      <c r="N369" s="1"/>
      <c r="O369" s="1"/>
      <c r="P369" s="1"/>
      <c r="Q369" s="1"/>
      <c r="R369" s="1"/>
      <c r="S369" s="1"/>
      <c r="T369" s="1"/>
      <c r="U369" s="66">
        <f t="shared" si="267"/>
        <v>0.95998393587768394</v>
      </c>
      <c r="V369" s="62">
        <f t="shared" si="268"/>
        <v>0.95820842340733847</v>
      </c>
      <c r="W369" s="68">
        <f t="shared" si="269"/>
        <v>0.91465172171830622</v>
      </c>
      <c r="Y369" s="24"/>
      <c r="Z369" s="24"/>
      <c r="AA369" s="24"/>
      <c r="AB369" s="24"/>
      <c r="AC369" s="24"/>
      <c r="AD369" s="24"/>
      <c r="AE369" s="24"/>
      <c r="AF369" s="24">
        <f t="shared" si="253"/>
        <v>8.5379927412475243E-2</v>
      </c>
      <c r="AG369" s="24">
        <f t="shared" si="254"/>
        <v>8.921191816721466E-2</v>
      </c>
      <c r="AH369" s="24">
        <f t="shared" si="255"/>
        <v>9.3144236607590386E-2</v>
      </c>
      <c r="AL369" s="23">
        <f t="shared" si="242"/>
        <v>0</v>
      </c>
      <c r="AM369" s="23">
        <f t="shared" si="243"/>
        <v>0</v>
      </c>
      <c r="AN369" s="23">
        <f t="shared" si="244"/>
        <v>0</v>
      </c>
      <c r="AO369" s="23">
        <f t="shared" si="245"/>
        <v>0</v>
      </c>
      <c r="AP369" s="23">
        <f t="shared" si="246"/>
        <v>0</v>
      </c>
      <c r="AQ369" s="23">
        <f t="shared" si="247"/>
        <v>0</v>
      </c>
      <c r="AR369" s="23">
        <f t="shared" si="248"/>
        <v>0</v>
      </c>
      <c r="AS369" s="23">
        <f t="shared" si="249"/>
        <v>8485.0865225172874</v>
      </c>
      <c r="AT369" s="23">
        <f t="shared" si="250"/>
        <v>10305.31606874663</v>
      </c>
      <c r="AU369" s="23">
        <f t="shared" si="251"/>
        <v>11635.224454987987</v>
      </c>
      <c r="AW369" s="25"/>
      <c r="AX369" s="25"/>
      <c r="AY369" s="25"/>
      <c r="AZ369" s="25"/>
      <c r="BA369" s="25"/>
      <c r="BB369" s="25"/>
      <c r="BC369" s="25"/>
      <c r="BD369" s="25">
        <f t="shared" si="257"/>
        <v>30425.627046251906</v>
      </c>
      <c r="BE369" s="25">
        <f t="shared" si="258"/>
        <v>21940.540523734617</v>
      </c>
      <c r="BF369" s="25">
        <f t="shared" si="259"/>
        <v>11635.224454987987</v>
      </c>
      <c r="BG369" s="25">
        <f t="shared" si="260"/>
        <v>0</v>
      </c>
      <c r="BI369" s="25"/>
      <c r="BJ369" s="25"/>
      <c r="BK369" s="25"/>
      <c r="BL369" s="25"/>
      <c r="BM369" s="25"/>
      <c r="BN369" s="25"/>
      <c r="BO369" s="25"/>
      <c r="BP369" s="25">
        <f t="shared" si="263"/>
        <v>30425.627046251906</v>
      </c>
      <c r="BQ369" s="25">
        <f t="shared" si="264"/>
        <v>21940.540523734617</v>
      </c>
      <c r="BR369" s="25">
        <f t="shared" si="265"/>
        <v>11635.224454987987</v>
      </c>
      <c r="BS369" s="25">
        <f t="shared" si="266"/>
        <v>0</v>
      </c>
    </row>
    <row r="370" spans="1:71" x14ac:dyDescent="0.2">
      <c r="A370" s="29">
        <f t="shared" si="261"/>
        <v>3.6199999999999668</v>
      </c>
      <c r="B370" s="30">
        <v>6.1374032167539561E-2</v>
      </c>
      <c r="C370" s="30">
        <v>6.3134998011181137E-2</v>
      </c>
      <c r="D370" s="30">
        <v>6.5274757209731998E-2</v>
      </c>
      <c r="E370" s="30">
        <v>6.7785811649814925E-2</v>
      </c>
      <c r="F370" s="30">
        <v>7.0628213276845056E-2</v>
      </c>
      <c r="G370" s="30">
        <v>7.3752562868307017E-2</v>
      </c>
      <c r="H370" s="30">
        <v>7.7112597783072293E-2</v>
      </c>
      <c r="I370" s="30">
        <v>8.0668045192089755E-2</v>
      </c>
      <c r="J370" s="30">
        <v>8.4383707713140826E-2</v>
      </c>
      <c r="K370" s="30">
        <v>8.8227957027636278E-2</v>
      </c>
      <c r="L370" s="30">
        <v>9.2171633322963867E-2</v>
      </c>
      <c r="N370" s="1"/>
      <c r="O370" s="1"/>
      <c r="P370" s="1"/>
      <c r="Q370" s="1"/>
      <c r="R370" s="1"/>
      <c r="S370" s="1"/>
      <c r="T370" s="1"/>
      <c r="U370" s="66">
        <f t="shared" si="267"/>
        <v>0.96046856736180264</v>
      </c>
      <c r="V370" s="62">
        <f t="shared" si="268"/>
        <v>0.95868583535299701</v>
      </c>
      <c r="W370" s="68">
        <f t="shared" si="269"/>
        <v>0.91555214638751958</v>
      </c>
      <c r="Y370" s="24"/>
      <c r="Z370" s="24"/>
      <c r="AA370" s="24"/>
      <c r="AB370" s="24"/>
      <c r="AC370" s="24"/>
      <c r="AD370" s="24"/>
      <c r="AE370" s="24"/>
      <c r="AF370" s="24">
        <f t="shared" si="253"/>
        <v>8.4383707713140826E-2</v>
      </c>
      <c r="AG370" s="24">
        <f t="shared" si="254"/>
        <v>8.8227957027636278E-2</v>
      </c>
      <c r="AH370" s="24">
        <f t="shared" si="255"/>
        <v>9.2171633322963867E-2</v>
      </c>
      <c r="AL370" s="23">
        <f t="shared" si="242"/>
        <v>0</v>
      </c>
      <c r="AM370" s="23">
        <f t="shared" si="243"/>
        <v>0</v>
      </c>
      <c r="AN370" s="23">
        <f t="shared" si="244"/>
        <v>0</v>
      </c>
      <c r="AO370" s="23">
        <f t="shared" si="245"/>
        <v>0</v>
      </c>
      <c r="AP370" s="23">
        <f t="shared" si="246"/>
        <v>0</v>
      </c>
      <c r="AQ370" s="23">
        <f t="shared" si="247"/>
        <v>0</v>
      </c>
      <c r="AR370" s="23">
        <f t="shared" si="248"/>
        <v>0</v>
      </c>
      <c r="AS370" s="23">
        <f t="shared" si="249"/>
        <v>8010.9512197412978</v>
      </c>
      <c r="AT370" s="23">
        <f t="shared" si="250"/>
        <v>9838.7957233145262</v>
      </c>
      <c r="AU370" s="23">
        <f t="shared" si="251"/>
        <v>11201.444185631164</v>
      </c>
      <c r="AW370" s="25"/>
      <c r="AX370" s="25"/>
      <c r="AY370" s="25"/>
      <c r="AZ370" s="25"/>
      <c r="BA370" s="25"/>
      <c r="BB370" s="25"/>
      <c r="BC370" s="25"/>
      <c r="BD370" s="25">
        <f t="shared" si="257"/>
        <v>29051.191128686987</v>
      </c>
      <c r="BE370" s="25">
        <f t="shared" si="258"/>
        <v>21040.239908945689</v>
      </c>
      <c r="BF370" s="25">
        <f t="shared" si="259"/>
        <v>11201.444185631164</v>
      </c>
      <c r="BG370" s="25">
        <f t="shared" si="260"/>
        <v>0</v>
      </c>
      <c r="BI370" s="25"/>
      <c r="BJ370" s="25"/>
      <c r="BK370" s="25"/>
      <c r="BL370" s="25"/>
      <c r="BM370" s="25"/>
      <c r="BN370" s="25"/>
      <c r="BO370" s="25"/>
      <c r="BP370" s="25">
        <f t="shared" si="263"/>
        <v>29051.191128686987</v>
      </c>
      <c r="BQ370" s="25">
        <f t="shared" si="264"/>
        <v>21040.239908945689</v>
      </c>
      <c r="BR370" s="25">
        <f t="shared" si="265"/>
        <v>11201.444185631164</v>
      </c>
      <c r="BS370" s="25">
        <f t="shared" si="266"/>
        <v>0</v>
      </c>
    </row>
    <row r="371" spans="1:71" x14ac:dyDescent="0.2">
      <c r="A371" s="29">
        <f t="shared" si="261"/>
        <v>3.6299999999999666</v>
      </c>
      <c r="B371" s="30">
        <v>6.1097583056888234E-2</v>
      </c>
      <c r="C371" s="30">
        <v>6.2930445808424107E-2</v>
      </c>
      <c r="D371" s="30">
        <v>6.5131488313876149E-2</v>
      </c>
      <c r="E371" s="30">
        <v>6.7693042818182197E-2</v>
      </c>
      <c r="F371" s="30">
        <v>7.057544877247543E-2</v>
      </c>
      <c r="G371" s="30">
        <v>7.3729843888755767E-2</v>
      </c>
      <c r="H371" s="30">
        <v>7.7110557650488978E-2</v>
      </c>
      <c r="I371" s="30">
        <v>8.067788959504768E-2</v>
      </c>
      <c r="J371" s="30">
        <v>8.4397183466026704E-2</v>
      </c>
      <c r="K371" s="30">
        <v>8.8237329260953817E-2</v>
      </c>
      <c r="L371" s="30">
        <v>9.2169673168340432E-2</v>
      </c>
      <c r="N371" s="1"/>
      <c r="O371" s="1"/>
      <c r="P371" s="1"/>
      <c r="Q371" s="1"/>
      <c r="R371" s="1"/>
      <c r="S371" s="1"/>
      <c r="T371" s="1"/>
      <c r="U371" s="66">
        <f t="shared" si="267"/>
        <v>0.96046383975363503</v>
      </c>
      <c r="V371" s="62">
        <f t="shared" si="268"/>
        <v>0.95867937586805241</v>
      </c>
      <c r="W371" s="68">
        <f t="shared" si="269"/>
        <v>0.91554356565939954</v>
      </c>
      <c r="Y371" s="24"/>
      <c r="Z371" s="24"/>
      <c r="AA371" s="24"/>
      <c r="AB371" s="24"/>
      <c r="AC371" s="24"/>
      <c r="AD371" s="24"/>
      <c r="AE371" s="24"/>
      <c r="AF371" s="24">
        <f t="shared" si="253"/>
        <v>8.4397183466026704E-2</v>
      </c>
      <c r="AG371" s="24">
        <f t="shared" si="254"/>
        <v>8.8237329260953817E-2</v>
      </c>
      <c r="AH371" s="24">
        <f t="shared" si="255"/>
        <v>9.2169673168340432E-2</v>
      </c>
      <c r="AL371" s="23">
        <f t="shared" si="242"/>
        <v>0</v>
      </c>
      <c r="AM371" s="23">
        <f t="shared" si="243"/>
        <v>0</v>
      </c>
      <c r="AN371" s="23">
        <f t="shared" si="244"/>
        <v>0</v>
      </c>
      <c r="AO371" s="23">
        <f t="shared" si="245"/>
        <v>0</v>
      </c>
      <c r="AP371" s="23">
        <f t="shared" si="246"/>
        <v>0</v>
      </c>
      <c r="AQ371" s="23">
        <f t="shared" si="247"/>
        <v>0</v>
      </c>
      <c r="AR371" s="23">
        <f t="shared" si="248"/>
        <v>0</v>
      </c>
      <c r="AS371" s="23">
        <f t="shared" si="249"/>
        <v>8017.3832750025713</v>
      </c>
      <c r="AT371" s="23">
        <f t="shared" si="250"/>
        <v>9843.2219143416041</v>
      </c>
      <c r="AU371" s="23">
        <f t="shared" si="251"/>
        <v>11200.441900098131</v>
      </c>
      <c r="AW371" s="25"/>
      <c r="AX371" s="25"/>
      <c r="AY371" s="25"/>
      <c r="AZ371" s="25"/>
      <c r="BA371" s="25"/>
      <c r="BB371" s="25"/>
      <c r="BC371" s="25"/>
      <c r="BD371" s="25">
        <f t="shared" si="257"/>
        <v>29061.047089442305</v>
      </c>
      <c r="BE371" s="25">
        <f t="shared" si="258"/>
        <v>21043.663814439737</v>
      </c>
      <c r="BF371" s="25">
        <f t="shared" si="259"/>
        <v>11200.441900098131</v>
      </c>
      <c r="BG371" s="25">
        <f t="shared" si="260"/>
        <v>0</v>
      </c>
      <c r="BI371" s="25"/>
      <c r="BJ371" s="25"/>
      <c r="BK371" s="25"/>
      <c r="BL371" s="25"/>
      <c r="BM371" s="25"/>
      <c r="BN371" s="25"/>
      <c r="BO371" s="25"/>
      <c r="BP371" s="25">
        <f t="shared" si="263"/>
        <v>29061.047089442305</v>
      </c>
      <c r="BQ371" s="25">
        <f t="shared" si="264"/>
        <v>21043.663814439737</v>
      </c>
      <c r="BR371" s="25">
        <f t="shared" si="265"/>
        <v>11200.441900098131</v>
      </c>
      <c r="BS371" s="25">
        <f t="shared" si="266"/>
        <v>0</v>
      </c>
    </row>
    <row r="372" spans="1:71" x14ac:dyDescent="0.2">
      <c r="A372" s="29">
        <f t="shared" si="261"/>
        <v>3.6399999999999664</v>
      </c>
      <c r="B372" s="30">
        <v>6.1539070251461485E-2</v>
      </c>
      <c r="C372" s="30">
        <v>6.3269502098453598E-2</v>
      </c>
      <c r="D372" s="30">
        <v>6.5381346982357633E-2</v>
      </c>
      <c r="E372" s="30">
        <v>6.7865751749977138E-2</v>
      </c>
      <c r="F372" s="30">
        <v>7.0682323447341822E-2</v>
      </c>
      <c r="G372" s="30">
        <v>7.3781712925371126E-2</v>
      </c>
      <c r="H372" s="30">
        <v>7.7117816497564218E-2</v>
      </c>
      <c r="I372" s="30">
        <v>8.0650480543507846E-2</v>
      </c>
      <c r="J372" s="30">
        <v>8.4344564577018902E-2</v>
      </c>
      <c r="K372" s="30">
        <v>8.8168451766044917E-2</v>
      </c>
      <c r="L372" s="30">
        <v>9.2092969303760555E-2</v>
      </c>
      <c r="N372" s="1"/>
      <c r="O372" s="1"/>
      <c r="P372" s="1"/>
      <c r="Q372" s="1"/>
      <c r="R372" s="1"/>
      <c r="S372" s="1"/>
      <c r="T372" s="1"/>
      <c r="U372" s="66">
        <f t="shared" si="267"/>
        <v>0.96047700254527268</v>
      </c>
      <c r="V372" s="62">
        <f t="shared" si="268"/>
        <v>0.95870459852168444</v>
      </c>
      <c r="W372" s="68">
        <f t="shared" si="269"/>
        <v>0.9156066281784514</v>
      </c>
      <c r="Y372" s="24"/>
      <c r="Z372" s="24"/>
      <c r="AA372" s="24"/>
      <c r="AB372" s="24"/>
      <c r="AC372" s="24"/>
      <c r="AD372" s="24"/>
      <c r="AE372" s="24"/>
      <c r="AF372" s="24">
        <f t="shared" si="253"/>
        <v>8.4344564577018902E-2</v>
      </c>
      <c r="AG372" s="24">
        <f t="shared" si="254"/>
        <v>8.8168451766044917E-2</v>
      </c>
      <c r="AH372" s="24">
        <f t="shared" si="255"/>
        <v>9.2092969303760555E-2</v>
      </c>
      <c r="AL372" s="23">
        <f t="shared" si="242"/>
        <v>0</v>
      </c>
      <c r="AM372" s="23">
        <f t="shared" si="243"/>
        <v>0</v>
      </c>
      <c r="AN372" s="23">
        <f t="shared" si="244"/>
        <v>0</v>
      </c>
      <c r="AO372" s="23">
        <f t="shared" si="245"/>
        <v>0</v>
      </c>
      <c r="AP372" s="23">
        <f t="shared" si="246"/>
        <v>0</v>
      </c>
      <c r="AQ372" s="23">
        <f t="shared" si="247"/>
        <v>0</v>
      </c>
      <c r="AR372" s="23">
        <f t="shared" si="248"/>
        <v>0</v>
      </c>
      <c r="AS372" s="23">
        <f t="shared" si="249"/>
        <v>7992.2235337954244</v>
      </c>
      <c r="AT372" s="23">
        <f t="shared" si="250"/>
        <v>9810.4643018970964</v>
      </c>
      <c r="AU372" s="23">
        <f t="shared" si="251"/>
        <v>11166.098101638634</v>
      </c>
      <c r="AW372" s="25"/>
      <c r="AX372" s="25"/>
      <c r="AY372" s="25"/>
      <c r="AZ372" s="25"/>
      <c r="BA372" s="25"/>
      <c r="BB372" s="25"/>
      <c r="BC372" s="25"/>
      <c r="BD372" s="25">
        <f t="shared" si="257"/>
        <v>28968.785937331158</v>
      </c>
      <c r="BE372" s="25">
        <f t="shared" si="258"/>
        <v>20976.562403535732</v>
      </c>
      <c r="BF372" s="25">
        <f t="shared" si="259"/>
        <v>11166.098101638634</v>
      </c>
      <c r="BG372" s="25">
        <f t="shared" si="260"/>
        <v>0</v>
      </c>
      <c r="BI372" s="25"/>
      <c r="BJ372" s="25"/>
      <c r="BK372" s="25"/>
      <c r="BL372" s="25"/>
      <c r="BM372" s="25"/>
      <c r="BN372" s="25"/>
      <c r="BO372" s="25"/>
      <c r="BP372" s="25">
        <f t="shared" si="263"/>
        <v>28968.785937331158</v>
      </c>
      <c r="BQ372" s="25">
        <f t="shared" si="264"/>
        <v>20976.562403535732</v>
      </c>
      <c r="BR372" s="25">
        <f t="shared" si="265"/>
        <v>11166.098101638634</v>
      </c>
      <c r="BS372" s="25">
        <f t="shared" si="266"/>
        <v>0</v>
      </c>
    </row>
    <row r="373" spans="1:71" x14ac:dyDescent="0.2">
      <c r="A373" s="29">
        <f t="shared" si="261"/>
        <v>3.6499999999999662</v>
      </c>
      <c r="B373" s="30">
        <v>6.105548456740837E-2</v>
      </c>
      <c r="C373" s="30">
        <v>6.2733031078709117E-2</v>
      </c>
      <c r="D373" s="30">
        <v>6.480000553268761E-2</v>
      </c>
      <c r="E373" s="30">
        <v>6.7246581957915053E-2</v>
      </c>
      <c r="F373" s="30">
        <v>7.0031843426239415E-2</v>
      </c>
      <c r="G373" s="30">
        <v>7.3106158521363221E-2</v>
      </c>
      <c r="H373" s="30">
        <v>7.6423193507103956E-2</v>
      </c>
      <c r="I373" s="30">
        <v>7.9942544503863969E-2</v>
      </c>
      <c r="J373" s="30">
        <v>8.3628789863727418E-2</v>
      </c>
      <c r="K373" s="30">
        <v>8.7450009201787776E-2</v>
      </c>
      <c r="L373" s="30">
        <v>9.1376714140529058E-2</v>
      </c>
      <c r="N373" s="1"/>
      <c r="O373" s="1"/>
      <c r="P373" s="1"/>
      <c r="Q373" s="1"/>
      <c r="R373" s="1"/>
      <c r="S373" s="1"/>
      <c r="T373" s="1"/>
      <c r="U373" s="66">
        <f t="shared" si="267"/>
        <v>0.96081704086574327</v>
      </c>
      <c r="V373" s="62">
        <f t="shared" si="268"/>
        <v>0.95904776818063164</v>
      </c>
      <c r="W373" s="68">
        <f t="shared" si="269"/>
        <v>0.91626467530847966</v>
      </c>
      <c r="Y373" s="24"/>
      <c r="Z373" s="24"/>
      <c r="AA373" s="24"/>
      <c r="AB373" s="24"/>
      <c r="AC373" s="24"/>
      <c r="AD373" s="24"/>
      <c r="AE373" s="24"/>
      <c r="AF373" s="24">
        <f t="shared" si="253"/>
        <v>8.3628789863727418E-2</v>
      </c>
      <c r="AG373" s="24">
        <f t="shared" si="254"/>
        <v>8.7450009201787776E-2</v>
      </c>
      <c r="AH373" s="24">
        <f t="shared" si="255"/>
        <v>9.1376714140529058E-2</v>
      </c>
      <c r="AL373" s="23">
        <f t="shared" si="242"/>
        <v>0</v>
      </c>
      <c r="AM373" s="23">
        <f t="shared" si="243"/>
        <v>0</v>
      </c>
      <c r="AN373" s="23">
        <f t="shared" si="244"/>
        <v>0</v>
      </c>
      <c r="AO373" s="23">
        <f t="shared" si="245"/>
        <v>0</v>
      </c>
      <c r="AP373" s="23">
        <f t="shared" si="246"/>
        <v>0</v>
      </c>
      <c r="AQ373" s="23">
        <f t="shared" si="247"/>
        <v>0</v>
      </c>
      <c r="AR373" s="23">
        <f t="shared" si="248"/>
        <v>0</v>
      </c>
      <c r="AS373" s="23">
        <f t="shared" si="249"/>
        <v>7651.1887551033788</v>
      </c>
      <c r="AT373" s="23">
        <f t="shared" si="250"/>
        <v>9469.4656024787528</v>
      </c>
      <c r="AU373" s="23">
        <f t="shared" si="251"/>
        <v>10845.983531938627</v>
      </c>
      <c r="AW373" s="25"/>
      <c r="AX373" s="25"/>
      <c r="AY373" s="25"/>
      <c r="AZ373" s="25"/>
      <c r="BA373" s="25"/>
      <c r="BB373" s="25"/>
      <c r="BC373" s="25"/>
      <c r="BD373" s="25">
        <f t="shared" si="257"/>
        <v>27966.63788952076</v>
      </c>
      <c r="BE373" s="25">
        <f t="shared" si="258"/>
        <v>20315.44913441738</v>
      </c>
      <c r="BF373" s="25">
        <f t="shared" si="259"/>
        <v>10845.983531938627</v>
      </c>
      <c r="BG373" s="25">
        <f t="shared" si="260"/>
        <v>0</v>
      </c>
      <c r="BI373" s="25"/>
      <c r="BJ373" s="25"/>
      <c r="BK373" s="25"/>
      <c r="BL373" s="25"/>
      <c r="BM373" s="25"/>
      <c r="BN373" s="25"/>
      <c r="BO373" s="25"/>
      <c r="BP373" s="25">
        <f t="shared" si="263"/>
        <v>27966.63788952076</v>
      </c>
      <c r="BQ373" s="25">
        <f t="shared" si="264"/>
        <v>20315.44913441738</v>
      </c>
      <c r="BR373" s="25">
        <f t="shared" si="265"/>
        <v>10845.983531938627</v>
      </c>
      <c r="BS373" s="25">
        <f t="shared" si="266"/>
        <v>0</v>
      </c>
    </row>
    <row r="374" spans="1:71" x14ac:dyDescent="0.2">
      <c r="A374" s="29">
        <f t="shared" si="261"/>
        <v>3.6599999999999659</v>
      </c>
      <c r="B374" s="30">
        <v>5.9900477876440532E-2</v>
      </c>
      <c r="C374" s="30">
        <v>6.151930036300738E-2</v>
      </c>
      <c r="D374" s="30">
        <v>6.3538501887967835E-2</v>
      </c>
      <c r="E374" s="30">
        <v>6.5947138599006402E-2</v>
      </c>
      <c r="F374" s="30">
        <v>6.8703620388393255E-2</v>
      </c>
      <c r="G374" s="30">
        <v>7.175788057742935E-2</v>
      </c>
      <c r="H374" s="30">
        <v>7.5063200936525076E-2</v>
      </c>
      <c r="I374" s="30">
        <v>7.8578772669312083E-2</v>
      </c>
      <c r="J374" s="30">
        <v>8.226873847878402E-2</v>
      </c>
      <c r="K374" s="30">
        <v>8.6100720147288187E-2</v>
      </c>
      <c r="L374" s="30">
        <v>9.0044759593334953E-2</v>
      </c>
      <c r="N374" s="1"/>
      <c r="O374" s="1"/>
      <c r="P374" s="1"/>
      <c r="Q374" s="1"/>
      <c r="R374" s="1"/>
      <c r="S374" s="1"/>
      <c r="T374" s="1"/>
      <c r="U374" s="66">
        <f t="shared" ref="U374:U408" si="270">EXP(-I374*($U$7-$T$7))</f>
        <v>0.96147243190055209</v>
      </c>
      <c r="V374" s="62">
        <f t="shared" si="268"/>
        <v>0.95970016710217532</v>
      </c>
      <c r="W374" s="68">
        <f t="shared" si="269"/>
        <v>0.9175018156481648</v>
      </c>
      <c r="Y374" s="24"/>
      <c r="Z374" s="24"/>
      <c r="AA374" s="24"/>
      <c r="AB374" s="24"/>
      <c r="AC374" s="24"/>
      <c r="AD374" s="24"/>
      <c r="AE374" s="24"/>
      <c r="AF374" s="24">
        <f t="shared" si="253"/>
        <v>8.226873847878402E-2</v>
      </c>
      <c r="AG374" s="24">
        <f t="shared" si="254"/>
        <v>8.6100720147288187E-2</v>
      </c>
      <c r="AH374" s="24">
        <f t="shared" si="255"/>
        <v>9.0044759593334953E-2</v>
      </c>
      <c r="AL374" s="23">
        <f t="shared" si="242"/>
        <v>0</v>
      </c>
      <c r="AM374" s="23">
        <f t="shared" si="243"/>
        <v>0</v>
      </c>
      <c r="AN374" s="23">
        <f t="shared" si="244"/>
        <v>0</v>
      </c>
      <c r="AO374" s="23">
        <f t="shared" si="245"/>
        <v>0</v>
      </c>
      <c r="AP374" s="23">
        <f t="shared" si="246"/>
        <v>0</v>
      </c>
      <c r="AQ374" s="23">
        <f t="shared" si="247"/>
        <v>0</v>
      </c>
      <c r="AR374" s="23">
        <f t="shared" si="248"/>
        <v>0</v>
      </c>
      <c r="AS374" s="23">
        <f t="shared" si="249"/>
        <v>7002.5818158551729</v>
      </c>
      <c r="AT374" s="23">
        <f t="shared" si="250"/>
        <v>8828.4508068485011</v>
      </c>
      <c r="AU374" s="23">
        <f t="shared" si="251"/>
        <v>10249.592418535365</v>
      </c>
      <c r="AW374" s="25"/>
      <c r="AX374" s="25"/>
      <c r="AY374" s="25"/>
      <c r="AZ374" s="25"/>
      <c r="BA374" s="25"/>
      <c r="BB374" s="25"/>
      <c r="BC374" s="25"/>
      <c r="BD374" s="25">
        <f t="shared" si="257"/>
        <v>26080.62504123904</v>
      </c>
      <c r="BE374" s="25">
        <f t="shared" si="258"/>
        <v>19078.043225383866</v>
      </c>
      <c r="BF374" s="25">
        <f t="shared" si="259"/>
        <v>10249.592418535365</v>
      </c>
      <c r="BG374" s="25">
        <f t="shared" si="260"/>
        <v>0</v>
      </c>
      <c r="BI374" s="25"/>
      <c r="BJ374" s="25"/>
      <c r="BK374" s="25"/>
      <c r="BL374" s="25"/>
      <c r="BM374" s="25"/>
      <c r="BN374" s="25"/>
      <c r="BO374" s="25"/>
      <c r="BP374" s="25">
        <f t="shared" si="263"/>
        <v>26080.62504123904</v>
      </c>
      <c r="BQ374" s="25">
        <f t="shared" si="264"/>
        <v>19078.043225383866</v>
      </c>
      <c r="BR374" s="25">
        <f t="shared" si="265"/>
        <v>10249.592418535365</v>
      </c>
      <c r="BS374" s="25">
        <f t="shared" si="266"/>
        <v>0</v>
      </c>
    </row>
    <row r="375" spans="1:71" x14ac:dyDescent="0.2">
      <c r="A375" s="29">
        <f t="shared" si="261"/>
        <v>3.6699999999999657</v>
      </c>
      <c r="B375" s="30">
        <v>5.9383203282311642E-2</v>
      </c>
      <c r="C375" s="30">
        <v>6.1106821752055895E-2</v>
      </c>
      <c r="D375" s="30">
        <v>6.3222151282713412E-2</v>
      </c>
      <c r="E375" s="30">
        <v>6.5717946035989863E-2</v>
      </c>
      <c r="F375" s="30">
        <v>6.8552754483802839E-2</v>
      </c>
      <c r="G375" s="30">
        <v>7.1676882701313352E-2</v>
      </c>
      <c r="H375" s="30">
        <v>7.5044034557939093E-2</v>
      </c>
      <c r="I375" s="30">
        <v>7.8613802726776302E-2</v>
      </c>
      <c r="J375" s="30">
        <v>8.2350700818936723E-2</v>
      </c>
      <c r="K375" s="30">
        <v>8.6222699547478618E-2</v>
      </c>
      <c r="L375" s="30">
        <v>9.0200178035700337E-2</v>
      </c>
      <c r="N375" s="1"/>
      <c r="O375" s="1"/>
      <c r="P375" s="1"/>
      <c r="Q375" s="1"/>
      <c r="R375" s="1"/>
      <c r="S375" s="1"/>
      <c r="T375" s="1"/>
      <c r="U375" s="66">
        <f t="shared" si="270"/>
        <v>0.96145559183075979</v>
      </c>
      <c r="V375" s="62">
        <f t="shared" si="268"/>
        <v>0.95966083827228121</v>
      </c>
      <c r="W375" s="68">
        <f t="shared" si="269"/>
        <v>0.91738990615248373</v>
      </c>
      <c r="Y375" s="24"/>
      <c r="Z375" s="24"/>
      <c r="AA375" s="24"/>
      <c r="AB375" s="24"/>
      <c r="AC375" s="24"/>
      <c r="AD375" s="24"/>
      <c r="AE375" s="24"/>
      <c r="AF375" s="24">
        <f t="shared" si="253"/>
        <v>8.2350700818936723E-2</v>
      </c>
      <c r="AG375" s="24">
        <f t="shared" si="254"/>
        <v>8.6222699547478618E-2</v>
      </c>
      <c r="AH375" s="24">
        <f t="shared" si="255"/>
        <v>9.0200178035700337E-2</v>
      </c>
      <c r="AL375" s="23">
        <f t="shared" si="242"/>
        <v>0</v>
      </c>
      <c r="AM375" s="23">
        <f t="shared" si="243"/>
        <v>0</v>
      </c>
      <c r="AN375" s="23">
        <f t="shared" si="244"/>
        <v>0</v>
      </c>
      <c r="AO375" s="23">
        <f t="shared" si="245"/>
        <v>0</v>
      </c>
      <c r="AP375" s="23">
        <f t="shared" si="246"/>
        <v>0</v>
      </c>
      <c r="AQ375" s="23">
        <f t="shared" si="247"/>
        <v>0</v>
      </c>
      <c r="AR375" s="23">
        <f t="shared" si="248"/>
        <v>0</v>
      </c>
      <c r="AS375" s="23">
        <f t="shared" si="249"/>
        <v>7041.8607416372506</v>
      </c>
      <c r="AT375" s="23">
        <f t="shared" si="250"/>
        <v>8886.6184407372202</v>
      </c>
      <c r="AU375" s="23">
        <f t="shared" si="251"/>
        <v>10319.631910776539</v>
      </c>
      <c r="AW375" s="25"/>
      <c r="AX375" s="25"/>
      <c r="AY375" s="25"/>
      <c r="AZ375" s="25"/>
      <c r="BA375" s="25"/>
      <c r="BB375" s="25"/>
      <c r="BC375" s="25"/>
      <c r="BD375" s="25">
        <f t="shared" si="257"/>
        <v>26248.111093151012</v>
      </c>
      <c r="BE375" s="25">
        <f t="shared" si="258"/>
        <v>19206.250351513758</v>
      </c>
      <c r="BF375" s="25">
        <f t="shared" si="259"/>
        <v>10319.631910776539</v>
      </c>
      <c r="BG375" s="25">
        <f t="shared" si="260"/>
        <v>0</v>
      </c>
      <c r="BI375" s="25"/>
      <c r="BJ375" s="25"/>
      <c r="BK375" s="25"/>
      <c r="BL375" s="25"/>
      <c r="BM375" s="25"/>
      <c r="BN375" s="25"/>
      <c r="BO375" s="25"/>
      <c r="BP375" s="25">
        <f t="shared" si="263"/>
        <v>26248.111093151012</v>
      </c>
      <c r="BQ375" s="25">
        <f t="shared" si="264"/>
        <v>19206.250351513758</v>
      </c>
      <c r="BR375" s="25">
        <f t="shared" si="265"/>
        <v>10319.631910776539</v>
      </c>
      <c r="BS375" s="25">
        <f t="shared" si="266"/>
        <v>0</v>
      </c>
    </row>
    <row r="376" spans="1:71" x14ac:dyDescent="0.2">
      <c r="A376" s="29">
        <f t="shared" si="261"/>
        <v>3.6799999999999655</v>
      </c>
      <c r="B376" s="30">
        <v>5.9807466716424153E-2</v>
      </c>
      <c r="C376" s="30">
        <v>6.1484863749157459E-2</v>
      </c>
      <c r="D376" s="30">
        <v>6.3560050713813959E-2</v>
      </c>
      <c r="E376" s="30">
        <v>6.6020929487070557E-2</v>
      </c>
      <c r="F376" s="30">
        <v>6.8825632693614108E-2</v>
      </c>
      <c r="G376" s="30">
        <v>7.192428103900618E-2</v>
      </c>
      <c r="H376" s="30">
        <v>7.5270440968718461E-2</v>
      </c>
      <c r="I376" s="30">
        <v>7.8823546903722425E-2</v>
      </c>
      <c r="J376" s="30">
        <v>8.2547923813337351E-2</v>
      </c>
      <c r="K376" s="30">
        <v>8.641133199645154E-2</v>
      </c>
      <c r="L376" s="30">
        <v>9.0383928580276551E-2</v>
      </c>
      <c r="N376" s="1"/>
      <c r="O376" s="1"/>
      <c r="P376" s="1"/>
      <c r="Q376" s="1"/>
      <c r="R376" s="1"/>
      <c r="S376" s="1"/>
      <c r="T376" s="1"/>
      <c r="U376" s="66">
        <f t="shared" si="270"/>
        <v>0.96135476726180435</v>
      </c>
      <c r="V376" s="62">
        <f t="shared" si="268"/>
        <v>0.95956620934604142</v>
      </c>
      <c r="W376" s="68">
        <f t="shared" si="269"/>
        <v>0.91721687296817289</v>
      </c>
      <c r="Y376" s="24"/>
      <c r="Z376" s="24"/>
      <c r="AA376" s="24"/>
      <c r="AB376" s="24"/>
      <c r="AC376" s="24"/>
      <c r="AD376" s="24"/>
      <c r="AE376" s="24"/>
      <c r="AF376" s="24">
        <f t="shared" si="253"/>
        <v>8.2547923813337351E-2</v>
      </c>
      <c r="AG376" s="24">
        <f t="shared" si="254"/>
        <v>8.641133199645154E-2</v>
      </c>
      <c r="AH376" s="24">
        <f t="shared" si="255"/>
        <v>9.0383928580276551E-2</v>
      </c>
      <c r="AL376" s="23">
        <f t="shared" si="242"/>
        <v>0</v>
      </c>
      <c r="AM376" s="23">
        <f t="shared" si="243"/>
        <v>0</v>
      </c>
      <c r="AN376" s="23">
        <f t="shared" si="244"/>
        <v>0</v>
      </c>
      <c r="AO376" s="23">
        <f t="shared" si="245"/>
        <v>0</v>
      </c>
      <c r="AP376" s="23">
        <f t="shared" si="246"/>
        <v>0</v>
      </c>
      <c r="AQ376" s="23">
        <f t="shared" si="247"/>
        <v>0</v>
      </c>
      <c r="AR376" s="23">
        <f t="shared" si="248"/>
        <v>0</v>
      </c>
      <c r="AS376" s="23">
        <f t="shared" si="249"/>
        <v>7135.9229186572693</v>
      </c>
      <c r="AT376" s="23">
        <f t="shared" si="250"/>
        <v>8976.2448232043644</v>
      </c>
      <c r="AU376" s="23">
        <f t="shared" si="251"/>
        <v>10401.955026873971</v>
      </c>
      <c r="AW376" s="25"/>
      <c r="AX376" s="25"/>
      <c r="AY376" s="25"/>
      <c r="AZ376" s="25"/>
      <c r="BA376" s="25"/>
      <c r="BB376" s="25"/>
      <c r="BC376" s="25"/>
      <c r="BD376" s="25">
        <f t="shared" si="257"/>
        <v>26514.122768735608</v>
      </c>
      <c r="BE376" s="25">
        <f t="shared" si="258"/>
        <v>19378.199850078337</v>
      </c>
      <c r="BF376" s="25">
        <f t="shared" si="259"/>
        <v>10401.955026873971</v>
      </c>
      <c r="BG376" s="25">
        <f t="shared" si="260"/>
        <v>0</v>
      </c>
      <c r="BI376" s="25"/>
      <c r="BJ376" s="25"/>
      <c r="BK376" s="25"/>
      <c r="BL376" s="25"/>
      <c r="BM376" s="25"/>
      <c r="BN376" s="25"/>
      <c r="BO376" s="25"/>
      <c r="BP376" s="25">
        <f t="shared" si="263"/>
        <v>26514.122768735608</v>
      </c>
      <c r="BQ376" s="25">
        <f t="shared" si="264"/>
        <v>19378.199850078337</v>
      </c>
      <c r="BR376" s="25">
        <f t="shared" si="265"/>
        <v>10401.955026873971</v>
      </c>
      <c r="BS376" s="25">
        <f t="shared" si="266"/>
        <v>0</v>
      </c>
    </row>
    <row r="377" spans="1:71" x14ac:dyDescent="0.2">
      <c r="A377" s="29">
        <f t="shared" si="261"/>
        <v>3.6899999999999653</v>
      </c>
      <c r="B377" s="30">
        <v>5.9823015748429506E-2</v>
      </c>
      <c r="C377" s="30">
        <v>6.1576906782529132E-2</v>
      </c>
      <c r="D377" s="30">
        <v>6.3722205025252096E-2</v>
      </c>
      <c r="E377" s="30">
        <v>6.6246448489651666E-2</v>
      </c>
      <c r="F377" s="30">
        <v>6.9107838255385801E-2</v>
      </c>
      <c r="G377" s="30">
        <v>7.2256790309978836E-2</v>
      </c>
      <c r="H377" s="30">
        <v>7.5647212951042084E-2</v>
      </c>
      <c r="I377" s="30">
        <v>7.9238861432278096E-2</v>
      </c>
      <c r="J377" s="30">
        <v>8.2996351338415278E-2</v>
      </c>
      <c r="K377" s="30">
        <v>8.6887712015182847E-2</v>
      </c>
      <c r="L377" s="30">
        <v>9.0883358197430333E-2</v>
      </c>
      <c r="N377" s="1"/>
      <c r="O377" s="1"/>
      <c r="P377" s="1"/>
      <c r="Q377" s="1"/>
      <c r="R377" s="1"/>
      <c r="S377" s="1"/>
      <c r="T377" s="1"/>
      <c r="U377" s="66">
        <f t="shared" si="270"/>
        <v>0.96115515568694843</v>
      </c>
      <c r="V377" s="62">
        <f t="shared" si="268"/>
        <v>0.95935108551360182</v>
      </c>
      <c r="W377" s="68">
        <f t="shared" si="269"/>
        <v>0.91678003323616886</v>
      </c>
      <c r="Y377" s="24"/>
      <c r="Z377" s="24"/>
      <c r="AA377" s="24"/>
      <c r="AB377" s="24"/>
      <c r="AC377" s="24"/>
      <c r="AD377" s="24"/>
      <c r="AE377" s="24"/>
      <c r="AF377" s="24">
        <f t="shared" si="253"/>
        <v>8.2996351338415278E-2</v>
      </c>
      <c r="AG377" s="24">
        <f t="shared" si="254"/>
        <v>8.6887712015182847E-2</v>
      </c>
      <c r="AH377" s="24">
        <f t="shared" si="255"/>
        <v>9.0883358197430333E-2</v>
      </c>
      <c r="AL377" s="23">
        <f t="shared" si="242"/>
        <v>0</v>
      </c>
      <c r="AM377" s="23">
        <f t="shared" si="243"/>
        <v>0</v>
      </c>
      <c r="AN377" s="23">
        <f t="shared" si="244"/>
        <v>0</v>
      </c>
      <c r="AO377" s="23">
        <f t="shared" si="245"/>
        <v>0</v>
      </c>
      <c r="AP377" s="23">
        <f t="shared" si="246"/>
        <v>0</v>
      </c>
      <c r="AQ377" s="23">
        <f t="shared" si="247"/>
        <v>0</v>
      </c>
      <c r="AR377" s="23">
        <f t="shared" si="248"/>
        <v>0</v>
      </c>
      <c r="AS377" s="23">
        <f t="shared" si="249"/>
        <v>7349.9454601115185</v>
      </c>
      <c r="AT377" s="23">
        <f t="shared" si="250"/>
        <v>9202.7402952316988</v>
      </c>
      <c r="AU377" s="23">
        <f t="shared" si="251"/>
        <v>10625.934473961741</v>
      </c>
      <c r="AW377" s="25"/>
      <c r="AX377" s="25"/>
      <c r="AY377" s="25"/>
      <c r="AZ377" s="25"/>
      <c r="BA377" s="25"/>
      <c r="BB377" s="25"/>
      <c r="BC377" s="25"/>
      <c r="BD377" s="25">
        <f t="shared" si="257"/>
        <v>27178.620229304957</v>
      </c>
      <c r="BE377" s="25">
        <f t="shared" si="258"/>
        <v>19828.67476919344</v>
      </c>
      <c r="BF377" s="25">
        <f t="shared" si="259"/>
        <v>10625.934473961741</v>
      </c>
      <c r="BG377" s="25">
        <f t="shared" si="260"/>
        <v>0</v>
      </c>
      <c r="BI377" s="25"/>
      <c r="BJ377" s="25"/>
      <c r="BK377" s="25"/>
      <c r="BL377" s="25"/>
      <c r="BM377" s="25"/>
      <c r="BN377" s="25"/>
      <c r="BO377" s="25"/>
      <c r="BP377" s="25">
        <f t="shared" si="263"/>
        <v>27178.620229304957</v>
      </c>
      <c r="BQ377" s="25">
        <f t="shared" si="264"/>
        <v>19828.67476919344</v>
      </c>
      <c r="BR377" s="25">
        <f t="shared" si="265"/>
        <v>10625.934473961741</v>
      </c>
      <c r="BS377" s="25">
        <f t="shared" si="266"/>
        <v>0</v>
      </c>
    </row>
    <row r="378" spans="1:71" x14ac:dyDescent="0.2">
      <c r="A378" s="29">
        <f t="shared" si="261"/>
        <v>3.6999999999999651</v>
      </c>
      <c r="B378" s="30">
        <v>6.1224463054704484E-2</v>
      </c>
      <c r="C378" s="30">
        <v>6.2877052997904928E-2</v>
      </c>
      <c r="D378" s="30">
        <v>6.4925702231342405E-2</v>
      </c>
      <c r="E378" s="30">
        <v>6.735728744390089E-2</v>
      </c>
      <c r="F378" s="30">
        <v>7.0129776599831758E-2</v>
      </c>
      <c r="G378" s="30">
        <v>7.3193575793108132E-2</v>
      </c>
      <c r="H378" s="30">
        <v>7.6502628646175255E-2</v>
      </c>
      <c r="I378" s="30">
        <v>8.0016704534202773E-2</v>
      </c>
      <c r="J378" s="30">
        <v>8.3700403119039327E-2</v>
      </c>
      <c r="K378" s="30">
        <v>8.7521716457553494E-2</v>
      </c>
      <c r="L378" s="30">
        <v>9.1451010697959204E-2</v>
      </c>
      <c r="N378" s="1"/>
      <c r="O378" s="1"/>
      <c r="P378" s="1"/>
      <c r="Q378" s="1"/>
      <c r="R378" s="1"/>
      <c r="S378" s="1"/>
      <c r="T378" s="1"/>
      <c r="U378" s="66">
        <f t="shared" si="270"/>
        <v>0.96078141441581166</v>
      </c>
      <c r="V378" s="62">
        <f t="shared" si="268"/>
        <v>0.95901342852908933</v>
      </c>
      <c r="W378" s="68">
        <f t="shared" si="269"/>
        <v>0.91619897483868662</v>
      </c>
      <c r="Y378" s="24"/>
      <c r="Z378" s="24"/>
      <c r="AA378" s="24"/>
      <c r="AB378" s="24"/>
      <c r="AC378" s="24"/>
      <c r="AD378" s="24"/>
      <c r="AE378" s="24"/>
      <c r="AF378" s="24">
        <f t="shared" si="253"/>
        <v>8.3700403119039327E-2</v>
      </c>
      <c r="AG378" s="24">
        <f t="shared" si="254"/>
        <v>8.7521716457553494E-2</v>
      </c>
      <c r="AH378" s="24">
        <f t="shared" si="255"/>
        <v>9.1451010697959204E-2</v>
      </c>
      <c r="AL378" s="23">
        <f t="shared" si="242"/>
        <v>0</v>
      </c>
      <c r="AM378" s="23">
        <f t="shared" si="243"/>
        <v>0</v>
      </c>
      <c r="AN378" s="23">
        <f t="shared" si="244"/>
        <v>0</v>
      </c>
      <c r="AO378" s="23">
        <f t="shared" si="245"/>
        <v>0</v>
      </c>
      <c r="AP378" s="23">
        <f t="shared" si="246"/>
        <v>0</v>
      </c>
      <c r="AQ378" s="23">
        <f t="shared" si="247"/>
        <v>0</v>
      </c>
      <c r="AR378" s="23">
        <f t="shared" si="248"/>
        <v>0</v>
      </c>
      <c r="AS378" s="23">
        <f t="shared" si="249"/>
        <v>7685.307396532874</v>
      </c>
      <c r="AT378" s="23">
        <f t="shared" si="250"/>
        <v>9503.5106495213658</v>
      </c>
      <c r="AU378" s="23">
        <f t="shared" si="251"/>
        <v>10879.241038983224</v>
      </c>
      <c r="AW378" s="25"/>
      <c r="AX378" s="25"/>
      <c r="AY378" s="25"/>
      <c r="AZ378" s="25"/>
      <c r="BA378" s="25"/>
      <c r="BB378" s="25"/>
      <c r="BC378" s="25"/>
      <c r="BD378" s="25">
        <f t="shared" si="257"/>
        <v>28068.059085037465</v>
      </c>
      <c r="BE378" s="25">
        <f t="shared" si="258"/>
        <v>20382.751688504592</v>
      </c>
      <c r="BF378" s="25">
        <f t="shared" si="259"/>
        <v>10879.241038983224</v>
      </c>
      <c r="BG378" s="25">
        <f t="shared" si="260"/>
        <v>0</v>
      </c>
      <c r="BI378" s="25"/>
      <c r="BJ378" s="25"/>
      <c r="BK378" s="25"/>
      <c r="BL378" s="25"/>
      <c r="BM378" s="25"/>
      <c r="BN378" s="25"/>
      <c r="BO378" s="25"/>
      <c r="BP378" s="25">
        <f t="shared" si="263"/>
        <v>28068.059085037465</v>
      </c>
      <c r="BQ378" s="25">
        <f t="shared" si="264"/>
        <v>20382.751688504592</v>
      </c>
      <c r="BR378" s="25">
        <f t="shared" si="265"/>
        <v>10879.241038983224</v>
      </c>
      <c r="BS378" s="25">
        <f t="shared" si="266"/>
        <v>0</v>
      </c>
    </row>
    <row r="379" spans="1:71" x14ac:dyDescent="0.2">
      <c r="A379" s="29">
        <f t="shared" si="261"/>
        <v>3.7099999999999649</v>
      </c>
      <c r="B379" s="30">
        <v>6.2611116551599511E-2</v>
      </c>
      <c r="C379" s="30">
        <v>6.4256814789811253E-2</v>
      </c>
      <c r="D379" s="30">
        <v>6.6299397221352752E-2</v>
      </c>
      <c r="E379" s="30">
        <v>6.8725136336016901E-2</v>
      </c>
      <c r="F379" s="30">
        <v>7.149182000798851E-2</v>
      </c>
      <c r="G379" s="30">
        <v>7.4549893902960074E-2</v>
      </c>
      <c r="H379" s="30">
        <v>7.7853385105046385E-2</v>
      </c>
      <c r="I379" s="30">
        <v>8.1362125070900182E-2</v>
      </c>
      <c r="J379" s="30">
        <v>8.5040745673073612E-2</v>
      </c>
      <c r="K379" s="30">
        <v>8.8857250014522063E-2</v>
      </c>
      <c r="L379" s="30">
        <v>9.2782004131919643E-2</v>
      </c>
      <c r="N379" s="1"/>
      <c r="O379" s="1"/>
      <c r="P379" s="1"/>
      <c r="Q379" s="1"/>
      <c r="R379" s="1"/>
      <c r="S379" s="1"/>
      <c r="T379" s="1"/>
      <c r="U379" s="66">
        <f t="shared" si="270"/>
        <v>0.96013530423953641</v>
      </c>
      <c r="V379" s="62">
        <f t="shared" si="268"/>
        <v>0.95837094058754424</v>
      </c>
      <c r="W379" s="68">
        <f t="shared" si="269"/>
        <v>0.9149761770883974</v>
      </c>
      <c r="Y379" s="24"/>
      <c r="Z379" s="24"/>
      <c r="AA379" s="24"/>
      <c r="AB379" s="24"/>
      <c r="AC379" s="24"/>
      <c r="AD379" s="24"/>
      <c r="AE379" s="24"/>
      <c r="AF379" s="24">
        <f t="shared" si="253"/>
        <v>8.5040745673073612E-2</v>
      </c>
      <c r="AG379" s="24">
        <f t="shared" si="254"/>
        <v>8.8857250014522063E-2</v>
      </c>
      <c r="AH379" s="24">
        <f t="shared" si="255"/>
        <v>9.2782004131919643E-2</v>
      </c>
      <c r="AL379" s="23">
        <f t="shared" si="242"/>
        <v>0</v>
      </c>
      <c r="AM379" s="23">
        <f t="shared" si="243"/>
        <v>0</v>
      </c>
      <c r="AN379" s="23">
        <f t="shared" si="244"/>
        <v>0</v>
      </c>
      <c r="AO379" s="23">
        <f t="shared" si="245"/>
        <v>0</v>
      </c>
      <c r="AP379" s="23">
        <f t="shared" si="246"/>
        <v>0</v>
      </c>
      <c r="AQ379" s="23">
        <f t="shared" si="247"/>
        <v>0</v>
      </c>
      <c r="AR379" s="23">
        <f t="shared" si="248"/>
        <v>0</v>
      </c>
      <c r="AS379" s="23">
        <f t="shared" si="249"/>
        <v>8323.5942528444575</v>
      </c>
      <c r="AT379" s="23">
        <f t="shared" si="250"/>
        <v>10137.112078919346</v>
      </c>
      <c r="AU379" s="23">
        <f t="shared" si="251"/>
        <v>11473.634787529409</v>
      </c>
      <c r="AW379" s="25"/>
      <c r="AX379" s="25"/>
      <c r="AY379" s="25"/>
      <c r="AZ379" s="25"/>
      <c r="BA379" s="25"/>
      <c r="BB379" s="25"/>
      <c r="BC379" s="25"/>
      <c r="BD379" s="25">
        <f t="shared" si="257"/>
        <v>29934.341119293211</v>
      </c>
      <c r="BE379" s="25">
        <f t="shared" si="258"/>
        <v>21610.746866448753</v>
      </c>
      <c r="BF379" s="25">
        <f t="shared" si="259"/>
        <v>11473.634787529409</v>
      </c>
      <c r="BG379" s="25">
        <f t="shared" si="260"/>
        <v>0</v>
      </c>
      <c r="BI379" s="25"/>
      <c r="BJ379" s="25"/>
      <c r="BK379" s="25"/>
      <c r="BL379" s="25"/>
      <c r="BM379" s="25"/>
      <c r="BN379" s="25"/>
      <c r="BO379" s="25"/>
      <c r="BP379" s="25">
        <f t="shared" si="263"/>
        <v>29934.341119293211</v>
      </c>
      <c r="BQ379" s="25">
        <f t="shared" si="264"/>
        <v>21610.746866448753</v>
      </c>
      <c r="BR379" s="25">
        <f t="shared" si="265"/>
        <v>11473.634787529409</v>
      </c>
      <c r="BS379" s="25">
        <f t="shared" si="266"/>
        <v>0</v>
      </c>
    </row>
    <row r="380" spans="1:71" x14ac:dyDescent="0.2">
      <c r="A380" s="29">
        <f t="shared" si="261"/>
        <v>3.7199999999999647</v>
      </c>
      <c r="B380" s="30">
        <v>6.1624886634958756E-2</v>
      </c>
      <c r="C380" s="30">
        <v>6.3328623725717417E-2</v>
      </c>
      <c r="D380" s="30">
        <v>6.5427796507902355E-2</v>
      </c>
      <c r="E380" s="30">
        <v>6.7908094943047101E-2</v>
      </c>
      <c r="F380" s="30">
        <v>7.0727144397156744E-2</v>
      </c>
      <c r="G380" s="30">
        <v>7.3835444174093406E-2</v>
      </c>
      <c r="H380" s="30">
        <v>7.7187117580688872E-2</v>
      </c>
      <c r="I380" s="30">
        <v>8.0742070746314523E-2</v>
      </c>
      <c r="J380" s="30">
        <v>8.4464980519584953E-2</v>
      </c>
      <c r="K380" s="30">
        <v>8.832387401504091E-2</v>
      </c>
      <c r="L380" s="30">
        <v>9.2289130262190308E-2</v>
      </c>
      <c r="N380" s="1"/>
      <c r="O380" s="1"/>
      <c r="P380" s="1"/>
      <c r="Q380" s="1"/>
      <c r="R380" s="1"/>
      <c r="S380" s="1"/>
      <c r="T380" s="1"/>
      <c r="U380" s="66">
        <f t="shared" si="270"/>
        <v>0.96043301841068218</v>
      </c>
      <c r="V380" s="62">
        <f t="shared" si="268"/>
        <v>0.95864687860036479</v>
      </c>
      <c r="W380" s="68">
        <f t="shared" si="269"/>
        <v>0.9154643335952628</v>
      </c>
      <c r="Y380" s="24"/>
      <c r="Z380" s="24"/>
      <c r="AA380" s="24"/>
      <c r="AB380" s="24"/>
      <c r="AC380" s="24"/>
      <c r="AD380" s="24"/>
      <c r="AE380" s="24"/>
      <c r="AF380" s="24">
        <f t="shared" si="253"/>
        <v>8.4464980519584953E-2</v>
      </c>
      <c r="AG380" s="24">
        <f t="shared" si="254"/>
        <v>8.832387401504091E-2</v>
      </c>
      <c r="AH380" s="24">
        <f t="shared" si="255"/>
        <v>9.2289130262190308E-2</v>
      </c>
      <c r="AL380" s="23">
        <f t="shared" si="242"/>
        <v>0</v>
      </c>
      <c r="AM380" s="23">
        <f t="shared" si="243"/>
        <v>0</v>
      </c>
      <c r="AN380" s="23">
        <f t="shared" si="244"/>
        <v>0</v>
      </c>
      <c r="AO380" s="23">
        <f t="shared" si="245"/>
        <v>0</v>
      </c>
      <c r="AP380" s="23">
        <f t="shared" si="246"/>
        <v>0</v>
      </c>
      <c r="AQ380" s="23">
        <f t="shared" si="247"/>
        <v>0</v>
      </c>
      <c r="AR380" s="23">
        <f t="shared" si="248"/>
        <v>0</v>
      </c>
      <c r="AS380" s="23">
        <f t="shared" si="249"/>
        <v>8049.6832610804795</v>
      </c>
      <c r="AT380" s="23">
        <f t="shared" si="250"/>
        <v>9884.3711784577699</v>
      </c>
      <c r="AU380" s="23">
        <f t="shared" si="251"/>
        <v>11254.151956959884</v>
      </c>
      <c r="AW380" s="25"/>
      <c r="AX380" s="25"/>
      <c r="AY380" s="25"/>
      <c r="AZ380" s="25"/>
      <c r="BA380" s="25"/>
      <c r="BB380" s="25"/>
      <c r="BC380" s="25"/>
      <c r="BD380" s="25">
        <f t="shared" si="257"/>
        <v>29188.206396498135</v>
      </c>
      <c r="BE380" s="25">
        <f t="shared" si="258"/>
        <v>21138.523135417654</v>
      </c>
      <c r="BF380" s="25">
        <f t="shared" si="259"/>
        <v>11254.151956959884</v>
      </c>
      <c r="BG380" s="25">
        <f t="shared" si="260"/>
        <v>0</v>
      </c>
      <c r="BI380" s="25"/>
      <c r="BJ380" s="25"/>
      <c r="BK380" s="25"/>
      <c r="BL380" s="25"/>
      <c r="BM380" s="25"/>
      <c r="BN380" s="25"/>
      <c r="BO380" s="25"/>
      <c r="BP380" s="25">
        <f t="shared" si="263"/>
        <v>29188.206396498135</v>
      </c>
      <c r="BQ380" s="25">
        <f t="shared" si="264"/>
        <v>21138.523135417654</v>
      </c>
      <c r="BR380" s="25">
        <f t="shared" si="265"/>
        <v>11254.151956959884</v>
      </c>
      <c r="BS380" s="25">
        <f t="shared" si="266"/>
        <v>0</v>
      </c>
    </row>
    <row r="381" spans="1:71" x14ac:dyDescent="0.2">
      <c r="A381" s="29">
        <f t="shared" si="261"/>
        <v>3.7299999999999645</v>
      </c>
      <c r="B381" s="30">
        <v>6.1991126991158448E-2</v>
      </c>
      <c r="C381" s="30">
        <v>6.3584214671844261E-2</v>
      </c>
      <c r="D381" s="30">
        <v>6.5585063144353542E-2</v>
      </c>
      <c r="E381" s="30">
        <v>6.7978313879879654E-2</v>
      </c>
      <c r="F381" s="30">
        <v>7.0720959696692537E-2</v>
      </c>
      <c r="G381" s="30">
        <v>7.3763080026032435E-2</v>
      </c>
      <c r="H381" s="30">
        <v>7.7058419603965742E-2</v>
      </c>
      <c r="I381" s="30">
        <v>8.0566484276166944E-2</v>
      </c>
      <c r="J381" s="30">
        <v>8.4251521085541084E-2</v>
      </c>
      <c r="K381" s="30">
        <v>8.8081106575356879E-2</v>
      </c>
      <c r="L381" s="30">
        <v>9.2025158322706191E-2</v>
      </c>
      <c r="N381" s="1"/>
      <c r="O381" s="1"/>
      <c r="P381" s="1"/>
      <c r="Q381" s="1"/>
      <c r="R381" s="1"/>
      <c r="S381" s="1"/>
      <c r="T381" s="1"/>
      <c r="U381" s="66">
        <f t="shared" si="270"/>
        <v>0.96051734163389024</v>
      </c>
      <c r="V381" s="62">
        <f t="shared" si="268"/>
        <v>0.95874920017072085</v>
      </c>
      <c r="W381" s="68">
        <f t="shared" si="269"/>
        <v>0.91568660550675152</v>
      </c>
      <c r="Y381" s="24"/>
      <c r="Z381" s="24"/>
      <c r="AA381" s="24"/>
      <c r="AB381" s="24"/>
      <c r="AC381" s="24"/>
      <c r="AD381" s="24"/>
      <c r="AE381" s="24"/>
      <c r="AF381" s="24">
        <f t="shared" si="253"/>
        <v>8.4251521085541084E-2</v>
      </c>
      <c r="AG381" s="24">
        <f t="shared" si="254"/>
        <v>8.8081106575356879E-2</v>
      </c>
      <c r="AH381" s="24">
        <f t="shared" si="255"/>
        <v>9.2025158322706191E-2</v>
      </c>
      <c r="AL381" s="23">
        <f t="shared" si="242"/>
        <v>0</v>
      </c>
      <c r="AM381" s="23">
        <f t="shared" si="243"/>
        <v>0</v>
      </c>
      <c r="AN381" s="23">
        <f t="shared" si="244"/>
        <v>0</v>
      </c>
      <c r="AO381" s="23">
        <f t="shared" si="245"/>
        <v>0</v>
      </c>
      <c r="AP381" s="23">
        <f t="shared" si="246"/>
        <v>0</v>
      </c>
      <c r="AQ381" s="23">
        <f t="shared" si="247"/>
        <v>0</v>
      </c>
      <c r="AR381" s="23">
        <f t="shared" si="248"/>
        <v>0</v>
      </c>
      <c r="AS381" s="23">
        <f t="shared" si="249"/>
        <v>7947.8742557710302</v>
      </c>
      <c r="AT381" s="23">
        <f t="shared" si="250"/>
        <v>9769.0496465838969</v>
      </c>
      <c r="AU381" s="23">
        <f t="shared" si="251"/>
        <v>11136.026645673024</v>
      </c>
      <c r="AW381" s="25"/>
      <c r="AX381" s="25"/>
      <c r="AY381" s="25"/>
      <c r="AZ381" s="25"/>
      <c r="BA381" s="25"/>
      <c r="BB381" s="25"/>
      <c r="BC381" s="25"/>
      <c r="BD381" s="25">
        <f t="shared" si="257"/>
        <v>28852.950548027951</v>
      </c>
      <c r="BE381" s="25">
        <f t="shared" si="258"/>
        <v>20905.076292256919</v>
      </c>
      <c r="BF381" s="25">
        <f t="shared" si="259"/>
        <v>11136.026645673024</v>
      </c>
      <c r="BG381" s="25">
        <f t="shared" si="260"/>
        <v>0</v>
      </c>
      <c r="BI381" s="25"/>
      <c r="BJ381" s="25"/>
      <c r="BK381" s="25"/>
      <c r="BL381" s="25"/>
      <c r="BM381" s="25"/>
      <c r="BN381" s="25"/>
      <c r="BO381" s="25"/>
      <c r="BP381" s="25">
        <f t="shared" si="263"/>
        <v>28852.950548027951</v>
      </c>
      <c r="BQ381" s="25">
        <f t="shared" si="264"/>
        <v>20905.076292256919</v>
      </c>
      <c r="BR381" s="25">
        <f t="shared" si="265"/>
        <v>11136.026645673024</v>
      </c>
      <c r="BS381" s="25">
        <f t="shared" si="266"/>
        <v>0</v>
      </c>
    </row>
    <row r="382" spans="1:71" x14ac:dyDescent="0.2">
      <c r="A382" s="29">
        <f t="shared" si="261"/>
        <v>3.7399999999999642</v>
      </c>
      <c r="B382" s="30">
        <v>6.1362320689364994E-2</v>
      </c>
      <c r="C382" s="30">
        <v>6.2988396707376965E-2</v>
      </c>
      <c r="D382" s="30">
        <v>6.5019244301213794E-2</v>
      </c>
      <c r="E382" s="30">
        <v>6.7439066882164403E-2</v>
      </c>
      <c r="F382" s="30">
        <v>7.0204831085849517E-2</v>
      </c>
      <c r="G382" s="30">
        <v>7.3266799408508249E-2</v>
      </c>
      <c r="H382" s="30">
        <v>7.6578939692766579E-2</v>
      </c>
      <c r="I382" s="30">
        <v>8.0100959021745549E-2</v>
      </c>
      <c r="J382" s="30">
        <v>8.3797276328913012E-2</v>
      </c>
      <c r="K382" s="30">
        <v>8.763561948022637E-2</v>
      </c>
      <c r="L382" s="30">
        <v>9.1586046630668924E-2</v>
      </c>
      <c r="N382" s="1"/>
      <c r="O382" s="1"/>
      <c r="P382" s="1"/>
      <c r="Q382" s="1"/>
      <c r="R382" s="1"/>
      <c r="S382" s="1"/>
      <c r="T382" s="1"/>
      <c r="U382" s="66">
        <f t="shared" si="270"/>
        <v>0.96074094019549516</v>
      </c>
      <c r="V382" s="62">
        <f t="shared" si="268"/>
        <v>0.9589669782994773</v>
      </c>
      <c r="W382" s="68">
        <f t="shared" si="269"/>
        <v>0.9160946229491933</v>
      </c>
      <c r="Y382" s="24"/>
      <c r="Z382" s="24"/>
      <c r="AA382" s="24"/>
      <c r="AB382" s="24"/>
      <c r="AC382" s="24"/>
      <c r="AD382" s="24"/>
      <c r="AE382" s="24"/>
      <c r="AF382" s="24">
        <f t="shared" si="253"/>
        <v>8.3797276328913012E-2</v>
      </c>
      <c r="AG382" s="24">
        <f t="shared" si="254"/>
        <v>8.763561948022637E-2</v>
      </c>
      <c r="AH382" s="24">
        <f t="shared" si="255"/>
        <v>9.1586046630668924E-2</v>
      </c>
      <c r="AL382" s="23">
        <f t="shared" si="242"/>
        <v>0</v>
      </c>
      <c r="AM382" s="23">
        <f t="shared" si="243"/>
        <v>0</v>
      </c>
      <c r="AN382" s="23">
        <f t="shared" si="244"/>
        <v>0</v>
      </c>
      <c r="AO382" s="23">
        <f t="shared" si="245"/>
        <v>0</v>
      </c>
      <c r="AP382" s="23">
        <f t="shared" si="246"/>
        <v>0</v>
      </c>
      <c r="AQ382" s="23">
        <f t="shared" si="247"/>
        <v>0</v>
      </c>
      <c r="AR382" s="23">
        <f t="shared" si="248"/>
        <v>0</v>
      </c>
      <c r="AS382" s="23">
        <f t="shared" si="249"/>
        <v>7731.5186719011017</v>
      </c>
      <c r="AT382" s="23">
        <f t="shared" si="250"/>
        <v>9557.6649616143513</v>
      </c>
      <c r="AU382" s="23">
        <f t="shared" si="251"/>
        <v>10939.854777045055</v>
      </c>
      <c r="AW382" s="25"/>
      <c r="AX382" s="25"/>
      <c r="AY382" s="25"/>
      <c r="AZ382" s="25"/>
      <c r="BA382" s="25"/>
      <c r="BB382" s="25"/>
      <c r="BC382" s="25"/>
      <c r="BD382" s="25">
        <f t="shared" si="257"/>
        <v>28229.038410560504</v>
      </c>
      <c r="BE382" s="25">
        <f t="shared" si="258"/>
        <v>20497.519738659408</v>
      </c>
      <c r="BF382" s="25">
        <f t="shared" si="259"/>
        <v>10939.854777045055</v>
      </c>
      <c r="BG382" s="25">
        <f t="shared" si="260"/>
        <v>0</v>
      </c>
      <c r="BI382" s="25"/>
      <c r="BJ382" s="25"/>
      <c r="BK382" s="25"/>
      <c r="BL382" s="25"/>
      <c r="BM382" s="25"/>
      <c r="BN382" s="25"/>
      <c r="BO382" s="25"/>
      <c r="BP382" s="25">
        <f t="shared" si="263"/>
        <v>28229.038410560504</v>
      </c>
      <c r="BQ382" s="25">
        <f t="shared" si="264"/>
        <v>20497.519738659408</v>
      </c>
      <c r="BR382" s="25">
        <f t="shared" si="265"/>
        <v>10939.854777045055</v>
      </c>
      <c r="BS382" s="25">
        <f t="shared" si="266"/>
        <v>0</v>
      </c>
    </row>
    <row r="383" spans="1:71" x14ac:dyDescent="0.2">
      <c r="A383" s="29">
        <f t="shared" si="261"/>
        <v>3.749999999999964</v>
      </c>
      <c r="B383" s="30">
        <v>6.2057583586739615E-2</v>
      </c>
      <c r="C383" s="30">
        <v>6.3715775559041801E-2</v>
      </c>
      <c r="D383" s="30">
        <v>6.5775394318922376E-2</v>
      </c>
      <c r="E383" s="30">
        <v>6.8220234161272542E-2</v>
      </c>
      <c r="F383" s="30">
        <v>7.1007260429978486E-2</v>
      </c>
      <c r="G383" s="30">
        <v>7.4086940193071035E-2</v>
      </c>
      <c r="H383" s="30">
        <v>7.7413484668315241E-2</v>
      </c>
      <c r="I383" s="30">
        <v>8.0946822295302603E-2</v>
      </c>
      <c r="J383" s="30">
        <v>8.4651564192668019E-2</v>
      </c>
      <c r="K383" s="30">
        <v>8.8495610040123338E-2</v>
      </c>
      <c r="L383" s="30">
        <v>9.2449179196700884E-2</v>
      </c>
      <c r="N383" s="1"/>
      <c r="O383" s="1"/>
      <c r="P383" s="1"/>
      <c r="Q383" s="1"/>
      <c r="R383" s="1"/>
      <c r="S383" s="1"/>
      <c r="T383" s="1"/>
      <c r="U383" s="66">
        <f t="shared" si="270"/>
        <v>0.96033469836945373</v>
      </c>
      <c r="V383" s="62">
        <f t="shared" si="268"/>
        <v>0.95855744884406335</v>
      </c>
      <c r="W383" s="68">
        <f t="shared" si="269"/>
        <v>0.91530712888874843</v>
      </c>
      <c r="Y383" s="24"/>
      <c r="Z383" s="24"/>
      <c r="AA383" s="24"/>
      <c r="AB383" s="24"/>
      <c r="AC383" s="24"/>
      <c r="AD383" s="24"/>
      <c r="AE383" s="24"/>
      <c r="AF383" s="24">
        <f t="shared" si="253"/>
        <v>8.4651564192668019E-2</v>
      </c>
      <c r="AG383" s="24">
        <f t="shared" si="254"/>
        <v>8.8495610040123338E-2</v>
      </c>
      <c r="AH383" s="24">
        <f t="shared" si="255"/>
        <v>9.2449179196700884E-2</v>
      </c>
      <c r="AL383" s="23">
        <f t="shared" si="242"/>
        <v>0</v>
      </c>
      <c r="AM383" s="23">
        <f t="shared" si="243"/>
        <v>0</v>
      </c>
      <c r="AN383" s="23">
        <f t="shared" si="244"/>
        <v>0</v>
      </c>
      <c r="AO383" s="23">
        <f t="shared" si="245"/>
        <v>0</v>
      </c>
      <c r="AP383" s="23">
        <f t="shared" si="246"/>
        <v>0</v>
      </c>
      <c r="AQ383" s="23">
        <f t="shared" si="247"/>
        <v>0</v>
      </c>
      <c r="AR383" s="23">
        <f t="shared" si="248"/>
        <v>0</v>
      </c>
      <c r="AS383" s="23">
        <f t="shared" si="249"/>
        <v>8138.4505984097568</v>
      </c>
      <c r="AT383" s="23">
        <f t="shared" si="250"/>
        <v>9965.7585133686061</v>
      </c>
      <c r="AU383" s="23">
        <f t="shared" si="251"/>
        <v>11325.46634495274</v>
      </c>
      <c r="AW383" s="25"/>
      <c r="AX383" s="25"/>
      <c r="AY383" s="25"/>
      <c r="AZ383" s="25"/>
      <c r="BA383" s="25"/>
      <c r="BB383" s="25"/>
      <c r="BC383" s="25"/>
      <c r="BD383" s="25">
        <f t="shared" si="257"/>
        <v>29429.675456731104</v>
      </c>
      <c r="BE383" s="25">
        <f t="shared" si="258"/>
        <v>21291.224858321344</v>
      </c>
      <c r="BF383" s="25">
        <f t="shared" si="259"/>
        <v>11325.46634495274</v>
      </c>
      <c r="BG383" s="25">
        <f t="shared" si="260"/>
        <v>0</v>
      </c>
      <c r="BI383" s="25"/>
      <c r="BJ383" s="25"/>
      <c r="BK383" s="25"/>
      <c r="BL383" s="25"/>
      <c r="BM383" s="25"/>
      <c r="BN383" s="25"/>
      <c r="BO383" s="25"/>
      <c r="BP383" s="25">
        <f t="shared" si="263"/>
        <v>29429.675456731104</v>
      </c>
      <c r="BQ383" s="25">
        <f t="shared" si="264"/>
        <v>21291.224858321344</v>
      </c>
      <c r="BR383" s="25">
        <f t="shared" si="265"/>
        <v>11325.46634495274</v>
      </c>
      <c r="BS383" s="25">
        <f t="shared" si="266"/>
        <v>0</v>
      </c>
    </row>
    <row r="384" spans="1:71" x14ac:dyDescent="0.2">
      <c r="A384" s="29">
        <f t="shared" si="261"/>
        <v>3.7599999999999638</v>
      </c>
      <c r="B384" s="30">
        <v>6.0815215232969094E-2</v>
      </c>
      <c r="C384" s="30">
        <v>6.2403061775459352E-2</v>
      </c>
      <c r="D384" s="30">
        <v>6.4401982608949276E-2</v>
      </c>
      <c r="E384" s="30">
        <v>6.6794825398292484E-2</v>
      </c>
      <c r="F384" s="30">
        <v>6.9538012642777883E-2</v>
      </c>
      <c r="G384" s="30">
        <v>7.2581671088161867E-2</v>
      </c>
      <c r="H384" s="30">
        <v>7.5879709216841951E-2</v>
      </c>
      <c r="I384" s="30">
        <v>7.9391730571320859E-2</v>
      </c>
      <c r="J384" s="30">
        <v>8.3081992377839101E-2</v>
      </c>
      <c r="K384" s="30">
        <v>8.6918020247535671E-2</v>
      </c>
      <c r="L384" s="30">
        <v>9.0869648995007976E-2</v>
      </c>
      <c r="N384" s="1"/>
      <c r="O384" s="1"/>
      <c r="P384" s="1"/>
      <c r="Q384" s="1"/>
      <c r="R384" s="1"/>
      <c r="S384" s="1"/>
      <c r="T384" s="1"/>
      <c r="U384" s="66">
        <f t="shared" si="270"/>
        <v>0.96108169301395985</v>
      </c>
      <c r="V384" s="62">
        <f t="shared" si="268"/>
        <v>0.95931000648105302</v>
      </c>
      <c r="W384" s="68">
        <f t="shared" si="269"/>
        <v>0.91675224767497288</v>
      </c>
      <c r="Y384" s="24"/>
      <c r="Z384" s="24"/>
      <c r="AA384" s="24"/>
      <c r="AB384" s="24"/>
      <c r="AC384" s="24"/>
      <c r="AD384" s="24"/>
      <c r="AE384" s="24"/>
      <c r="AF384" s="24">
        <f t="shared" si="253"/>
        <v>8.3081992377839101E-2</v>
      </c>
      <c r="AG384" s="24">
        <f t="shared" si="254"/>
        <v>8.6918020247535671E-2</v>
      </c>
      <c r="AH384" s="24">
        <f t="shared" si="255"/>
        <v>9.0869648995007976E-2</v>
      </c>
      <c r="AL384" s="23">
        <f t="shared" si="242"/>
        <v>0</v>
      </c>
      <c r="AM384" s="23">
        <f t="shared" si="243"/>
        <v>0</v>
      </c>
      <c r="AN384" s="23">
        <f t="shared" si="244"/>
        <v>0</v>
      </c>
      <c r="AO384" s="23">
        <f t="shared" si="245"/>
        <v>0</v>
      </c>
      <c r="AP384" s="23">
        <f t="shared" si="246"/>
        <v>0</v>
      </c>
      <c r="AQ384" s="23">
        <f t="shared" si="247"/>
        <v>0</v>
      </c>
      <c r="AR384" s="23">
        <f t="shared" si="248"/>
        <v>0</v>
      </c>
      <c r="AS384" s="23">
        <f t="shared" si="249"/>
        <v>7390.5377092442686</v>
      </c>
      <c r="AT384" s="23">
        <f t="shared" si="250"/>
        <v>9216.8837328338304</v>
      </c>
      <c r="AU384" s="23">
        <f t="shared" si="251"/>
        <v>10619.328454483859</v>
      </c>
      <c r="AW384" s="25"/>
      <c r="AX384" s="25"/>
      <c r="AY384" s="25"/>
      <c r="AZ384" s="25"/>
      <c r="BA384" s="25"/>
      <c r="BB384" s="25"/>
      <c r="BC384" s="25"/>
      <c r="BD384" s="25">
        <f t="shared" si="257"/>
        <v>27226.74989656196</v>
      </c>
      <c r="BE384" s="25">
        <f t="shared" si="258"/>
        <v>19836.212187317687</v>
      </c>
      <c r="BF384" s="25">
        <f t="shared" si="259"/>
        <v>10619.328454483859</v>
      </c>
      <c r="BG384" s="25">
        <f t="shared" si="260"/>
        <v>0</v>
      </c>
      <c r="BI384" s="25"/>
      <c r="BJ384" s="25"/>
      <c r="BK384" s="25"/>
      <c r="BL384" s="25"/>
      <c r="BM384" s="25"/>
      <c r="BN384" s="25"/>
      <c r="BO384" s="25"/>
      <c r="BP384" s="25">
        <f t="shared" si="263"/>
        <v>27226.74989656196</v>
      </c>
      <c r="BQ384" s="25">
        <f t="shared" si="264"/>
        <v>19836.212187317687</v>
      </c>
      <c r="BR384" s="25">
        <f t="shared" si="265"/>
        <v>10619.328454483859</v>
      </c>
      <c r="BS384" s="25">
        <f t="shared" si="266"/>
        <v>0</v>
      </c>
    </row>
    <row r="385" spans="1:71" x14ac:dyDescent="0.2">
      <c r="A385" s="29">
        <f t="shared" si="261"/>
        <v>3.7699999999999636</v>
      </c>
      <c r="B385" s="30">
        <v>5.9446961685998591E-2</v>
      </c>
      <c r="C385" s="30">
        <v>6.1184261738090891E-2</v>
      </c>
      <c r="D385" s="30">
        <v>6.332551732768453E-2</v>
      </c>
      <c r="E385" s="30">
        <v>6.5853188339038624E-2</v>
      </c>
      <c r="F385" s="30">
        <v>6.8723709251025653E-2</v>
      </c>
      <c r="G385" s="30">
        <v>7.1887418012600013E-2</v>
      </c>
      <c r="H385" s="30">
        <v>7.5298470701291587E-2</v>
      </c>
      <c r="I385" s="30">
        <v>7.89166961563426E-2</v>
      </c>
      <c r="J385" s="30">
        <v>8.2706548081809883E-2</v>
      </c>
      <c r="K385" s="30">
        <v>8.6635728584476684E-2</v>
      </c>
      <c r="L385" s="30">
        <v>9.0674238631323581E-2</v>
      </c>
      <c r="N385" s="1"/>
      <c r="O385" s="1"/>
      <c r="P385" s="1"/>
      <c r="Q385" s="1"/>
      <c r="R385" s="1"/>
      <c r="S385" s="1"/>
      <c r="T385" s="1"/>
      <c r="U385" s="66">
        <f t="shared" si="270"/>
        <v>0.96130999356543489</v>
      </c>
      <c r="V385" s="62">
        <f t="shared" si="268"/>
        <v>0.95949010711999205</v>
      </c>
      <c r="W385" s="68">
        <f t="shared" si="269"/>
        <v>0.91701107572236318</v>
      </c>
      <c r="Y385" s="24"/>
      <c r="Z385" s="24"/>
      <c r="AA385" s="24"/>
      <c r="AB385" s="24"/>
      <c r="AC385" s="24"/>
      <c r="AD385" s="24"/>
      <c r="AE385" s="24"/>
      <c r="AF385" s="24">
        <f t="shared" si="253"/>
        <v>8.2706548081809883E-2</v>
      </c>
      <c r="AG385" s="24">
        <f t="shared" si="254"/>
        <v>8.6635728584476684E-2</v>
      </c>
      <c r="AH385" s="24">
        <f t="shared" si="255"/>
        <v>9.0674238631323581E-2</v>
      </c>
      <c r="AL385" s="23">
        <f t="shared" si="242"/>
        <v>0</v>
      </c>
      <c r="AM385" s="23">
        <f t="shared" si="243"/>
        <v>0</v>
      </c>
      <c r="AN385" s="23">
        <f t="shared" si="244"/>
        <v>0</v>
      </c>
      <c r="AO385" s="23">
        <f t="shared" si="245"/>
        <v>0</v>
      </c>
      <c r="AP385" s="23">
        <f t="shared" si="246"/>
        <v>0</v>
      </c>
      <c r="AQ385" s="23">
        <f t="shared" si="247"/>
        <v>0</v>
      </c>
      <c r="AR385" s="23">
        <f t="shared" si="248"/>
        <v>0</v>
      </c>
      <c r="AS385" s="23">
        <f t="shared" si="249"/>
        <v>7211.8341207057683</v>
      </c>
      <c r="AT385" s="23">
        <f t="shared" si="250"/>
        <v>9083.1860794422173</v>
      </c>
      <c r="AU385" s="23">
        <f t="shared" si="251"/>
        <v>10532.729891628518</v>
      </c>
      <c r="AW385" s="25"/>
      <c r="AX385" s="25"/>
      <c r="AY385" s="25"/>
      <c r="AZ385" s="25"/>
      <c r="BA385" s="25"/>
      <c r="BB385" s="25"/>
      <c r="BC385" s="25"/>
      <c r="BD385" s="25">
        <f t="shared" si="257"/>
        <v>26827.750091776503</v>
      </c>
      <c r="BE385" s="25">
        <f t="shared" si="258"/>
        <v>19615.915971070735</v>
      </c>
      <c r="BF385" s="25">
        <f t="shared" si="259"/>
        <v>10532.729891628518</v>
      </c>
      <c r="BG385" s="25">
        <f t="shared" si="260"/>
        <v>0</v>
      </c>
      <c r="BI385" s="25"/>
      <c r="BJ385" s="25"/>
      <c r="BK385" s="25"/>
      <c r="BL385" s="25"/>
      <c r="BM385" s="25"/>
      <c r="BN385" s="25"/>
      <c r="BO385" s="25"/>
      <c r="BP385" s="25">
        <f t="shared" si="263"/>
        <v>26827.750091776503</v>
      </c>
      <c r="BQ385" s="25">
        <f t="shared" si="264"/>
        <v>19615.915971070735</v>
      </c>
      <c r="BR385" s="25">
        <f t="shared" si="265"/>
        <v>10532.729891628518</v>
      </c>
      <c r="BS385" s="25">
        <f t="shared" si="266"/>
        <v>0</v>
      </c>
    </row>
    <row r="386" spans="1:71" x14ac:dyDescent="0.2">
      <c r="A386" s="29">
        <f t="shared" si="261"/>
        <v>3.7799999999999634</v>
      </c>
      <c r="B386" s="30">
        <v>5.9059140712903649E-2</v>
      </c>
      <c r="C386" s="30">
        <v>6.0718424000407674E-2</v>
      </c>
      <c r="D386" s="30">
        <v>6.2793799973450554E-2</v>
      </c>
      <c r="E386" s="30">
        <v>6.5266671349739236E-2</v>
      </c>
      <c r="F386" s="30">
        <v>6.8092811191040867E-2</v>
      </c>
      <c r="G386" s="30">
        <v>7.122209199618533E-2</v>
      </c>
      <c r="H386" s="30">
        <v>7.4608239610705812E-2</v>
      </c>
      <c r="I386" s="30">
        <v>7.8210630213044349E-2</v>
      </c>
      <c r="J386" s="30">
        <v>8.199323620426946E-2</v>
      </c>
      <c r="K386" s="30">
        <v>8.5923258598782248E-2</v>
      </c>
      <c r="L386" s="30">
        <v>8.9970187059284806E-2</v>
      </c>
      <c r="N386" s="1"/>
      <c r="O386" s="1"/>
      <c r="P386" s="1"/>
      <c r="Q386" s="1"/>
      <c r="R386" s="1"/>
      <c r="S386" s="1"/>
      <c r="T386" s="1"/>
      <c r="U386" s="66">
        <f t="shared" si="270"/>
        <v>0.96164942760131711</v>
      </c>
      <c r="V386" s="62">
        <f t="shared" si="268"/>
        <v>0.95983237599737337</v>
      </c>
      <c r="W386" s="68">
        <f t="shared" si="269"/>
        <v>0.9176646513892408</v>
      </c>
      <c r="Y386" s="24"/>
      <c r="Z386" s="24"/>
      <c r="AA386" s="24"/>
      <c r="AB386" s="24"/>
      <c r="AC386" s="24"/>
      <c r="AD386" s="24"/>
      <c r="AE386" s="24"/>
      <c r="AF386" s="24">
        <f t="shared" si="253"/>
        <v>8.199323620426946E-2</v>
      </c>
      <c r="AG386" s="24">
        <f t="shared" si="254"/>
        <v>8.5923258598782248E-2</v>
      </c>
      <c r="AH386" s="24">
        <f t="shared" si="255"/>
        <v>8.9970187059284806E-2</v>
      </c>
      <c r="AL386" s="23">
        <f t="shared" si="242"/>
        <v>0</v>
      </c>
      <c r="AM386" s="23">
        <f t="shared" si="243"/>
        <v>0</v>
      </c>
      <c r="AN386" s="23">
        <f t="shared" si="244"/>
        <v>0</v>
      </c>
      <c r="AO386" s="23">
        <f t="shared" si="245"/>
        <v>0</v>
      </c>
      <c r="AP386" s="23">
        <f t="shared" si="246"/>
        <v>0</v>
      </c>
      <c r="AQ386" s="23">
        <f t="shared" si="247"/>
        <v>0</v>
      </c>
      <c r="AR386" s="23">
        <f t="shared" si="248"/>
        <v>0</v>
      </c>
      <c r="AS386" s="23">
        <f t="shared" si="249"/>
        <v>6871.4026060340084</v>
      </c>
      <c r="AT386" s="23">
        <f t="shared" si="250"/>
        <v>8744.5003498774804</v>
      </c>
      <c r="AU386" s="23">
        <f t="shared" si="251"/>
        <v>10217.195199249056</v>
      </c>
      <c r="AW386" s="25"/>
      <c r="AX386" s="25"/>
      <c r="AY386" s="25"/>
      <c r="AZ386" s="25"/>
      <c r="BA386" s="25"/>
      <c r="BB386" s="25"/>
      <c r="BC386" s="25"/>
      <c r="BD386" s="25">
        <f t="shared" si="257"/>
        <v>25833.098155160544</v>
      </c>
      <c r="BE386" s="25">
        <f t="shared" si="258"/>
        <v>18961.695549126536</v>
      </c>
      <c r="BF386" s="25">
        <f t="shared" si="259"/>
        <v>10217.195199249056</v>
      </c>
      <c r="BG386" s="25">
        <f t="shared" si="260"/>
        <v>0</v>
      </c>
      <c r="BI386" s="25"/>
      <c r="BJ386" s="25"/>
      <c r="BK386" s="25"/>
      <c r="BL386" s="25"/>
      <c r="BM386" s="25"/>
      <c r="BN386" s="25"/>
      <c r="BO386" s="25"/>
      <c r="BP386" s="25">
        <f t="shared" si="263"/>
        <v>25833.098155160544</v>
      </c>
      <c r="BQ386" s="25">
        <f t="shared" si="264"/>
        <v>18961.695549126536</v>
      </c>
      <c r="BR386" s="25">
        <f t="shared" si="265"/>
        <v>10217.195199249056</v>
      </c>
      <c r="BS386" s="25">
        <f t="shared" si="266"/>
        <v>0</v>
      </c>
    </row>
    <row r="387" spans="1:71" x14ac:dyDescent="0.2">
      <c r="A387" s="29">
        <f t="shared" si="261"/>
        <v>3.7899999999999632</v>
      </c>
      <c r="B387" s="30">
        <v>5.8396244440338398E-2</v>
      </c>
      <c r="C387" s="30">
        <v>6.0218094580502049E-2</v>
      </c>
      <c r="D387" s="30">
        <v>6.2440831236093022E-2</v>
      </c>
      <c r="E387" s="30">
        <v>6.5045911040988738E-2</v>
      </c>
      <c r="F387" s="30">
        <v>6.7989552726924252E-2</v>
      </c>
      <c r="G387" s="30">
        <v>7.1222267214701179E-2</v>
      </c>
      <c r="H387" s="30">
        <v>7.469845283701361E-2</v>
      </c>
      <c r="I387" s="30">
        <v>7.8378135706393307E-2</v>
      </c>
      <c r="J387" s="30">
        <v>8.222590969286625E-2</v>
      </c>
      <c r="K387" s="30">
        <v>8.6209577681947147E-2</v>
      </c>
      <c r="L387" s="30">
        <v>9.0299221125690263E-2</v>
      </c>
      <c r="N387" s="1"/>
      <c r="O387" s="1"/>
      <c r="P387" s="1"/>
      <c r="Q387" s="1"/>
      <c r="R387" s="1"/>
      <c r="S387" s="1"/>
      <c r="T387" s="1"/>
      <c r="U387" s="66">
        <f t="shared" si="270"/>
        <v>0.96156889019307923</v>
      </c>
      <c r="V387" s="62">
        <f t="shared" si="268"/>
        <v>0.95972071871872577</v>
      </c>
      <c r="W387" s="68">
        <f t="shared" si="269"/>
        <v>0.91740194409845222</v>
      </c>
      <c r="Y387" s="24"/>
      <c r="Z387" s="24"/>
      <c r="AA387" s="24"/>
      <c r="AB387" s="24"/>
      <c r="AC387" s="24"/>
      <c r="AD387" s="24"/>
      <c r="AE387" s="24"/>
      <c r="AF387" s="24">
        <f t="shared" si="253"/>
        <v>8.222590969286625E-2</v>
      </c>
      <c r="AG387" s="24">
        <f t="shared" si="254"/>
        <v>8.6209577681947147E-2</v>
      </c>
      <c r="AH387" s="24">
        <f t="shared" si="255"/>
        <v>9.0299221125690263E-2</v>
      </c>
      <c r="AL387" s="23">
        <f t="shared" si="242"/>
        <v>0</v>
      </c>
      <c r="AM387" s="23">
        <f t="shared" si="243"/>
        <v>0</v>
      </c>
      <c r="AN387" s="23">
        <f t="shared" si="244"/>
        <v>0</v>
      </c>
      <c r="AO387" s="23">
        <f t="shared" si="245"/>
        <v>0</v>
      </c>
      <c r="AP387" s="23">
        <f t="shared" si="246"/>
        <v>0</v>
      </c>
      <c r="AQ387" s="23">
        <f t="shared" si="247"/>
        <v>0</v>
      </c>
      <c r="AR387" s="23">
        <f t="shared" si="248"/>
        <v>0</v>
      </c>
      <c r="AS387" s="23">
        <f t="shared" si="249"/>
        <v>6982.692925395063</v>
      </c>
      <c r="AT387" s="23">
        <f t="shared" si="250"/>
        <v>8880.8762804879934</v>
      </c>
      <c r="AU387" s="23">
        <f t="shared" si="251"/>
        <v>10365.198486140383</v>
      </c>
      <c r="AW387" s="25"/>
      <c r="AX387" s="25"/>
      <c r="AY387" s="25"/>
      <c r="AZ387" s="25"/>
      <c r="BA387" s="25"/>
      <c r="BB387" s="25"/>
      <c r="BC387" s="25"/>
      <c r="BD387" s="25">
        <f t="shared" si="257"/>
        <v>26228.767692023441</v>
      </c>
      <c r="BE387" s="25">
        <f t="shared" si="258"/>
        <v>19246.074766628379</v>
      </c>
      <c r="BF387" s="25">
        <f t="shared" si="259"/>
        <v>10365.198486140383</v>
      </c>
      <c r="BG387" s="25">
        <f t="shared" si="260"/>
        <v>0</v>
      </c>
      <c r="BI387" s="25"/>
      <c r="BJ387" s="25"/>
      <c r="BK387" s="25"/>
      <c r="BL387" s="25"/>
      <c r="BM387" s="25"/>
      <c r="BN387" s="25"/>
      <c r="BO387" s="25"/>
      <c r="BP387" s="25">
        <f t="shared" si="263"/>
        <v>26228.767692023441</v>
      </c>
      <c r="BQ387" s="25">
        <f t="shared" si="264"/>
        <v>19246.074766628379</v>
      </c>
      <c r="BR387" s="25">
        <f t="shared" si="265"/>
        <v>10365.198486140383</v>
      </c>
      <c r="BS387" s="25">
        <f t="shared" si="266"/>
        <v>0</v>
      </c>
    </row>
    <row r="388" spans="1:71" x14ac:dyDescent="0.2">
      <c r="A388" s="29">
        <f t="shared" si="261"/>
        <v>3.799999999999963</v>
      </c>
      <c r="B388" s="30">
        <v>5.8107538166912075E-2</v>
      </c>
      <c r="C388" s="30">
        <v>5.9886646215643546E-2</v>
      </c>
      <c r="D388" s="30">
        <v>6.2066904000913831E-2</v>
      </c>
      <c r="E388" s="30">
        <v>6.4629324962984805E-2</v>
      </c>
      <c r="F388" s="30">
        <v>6.7530072413737596E-2</v>
      </c>
      <c r="G388" s="30">
        <v>7.0719791432387366E-2</v>
      </c>
      <c r="H388" s="30">
        <v>7.4153047442865758E-2</v>
      </c>
      <c r="I388" s="30">
        <v>7.7790010977629623E-2</v>
      </c>
      <c r="J388" s="30">
        <v>8.1595392038843653E-2</v>
      </c>
      <c r="K388" s="30">
        <v>8.5537090236638913E-2</v>
      </c>
      <c r="L388" s="30">
        <v>8.9585273794835898E-2</v>
      </c>
      <c r="N388" s="1"/>
      <c r="O388" s="1"/>
      <c r="P388" s="1"/>
      <c r="Q388" s="1"/>
      <c r="R388" s="1"/>
      <c r="S388" s="1"/>
      <c r="T388" s="1"/>
      <c r="U388" s="66">
        <f t="shared" si="270"/>
        <v>0.96185169299323758</v>
      </c>
      <c r="V388" s="62">
        <f t="shared" si="268"/>
        <v>0.96002332684420244</v>
      </c>
      <c r="W388" s="68">
        <f t="shared" si="269"/>
        <v>0.91801909287730443</v>
      </c>
      <c r="Y388" s="24"/>
      <c r="Z388" s="24"/>
      <c r="AA388" s="24"/>
      <c r="AB388" s="24"/>
      <c r="AC388" s="24"/>
      <c r="AD388" s="24"/>
      <c r="AE388" s="24"/>
      <c r="AF388" s="24">
        <f t="shared" si="253"/>
        <v>8.1595392038843653E-2</v>
      </c>
      <c r="AG388" s="24">
        <f t="shared" si="254"/>
        <v>8.5537090236638913E-2</v>
      </c>
      <c r="AH388" s="24">
        <f t="shared" si="255"/>
        <v>8.9585273794835898E-2</v>
      </c>
      <c r="AL388" s="23">
        <f t="shared" si="242"/>
        <v>0</v>
      </c>
      <c r="AM388" s="23">
        <f t="shared" si="243"/>
        <v>0</v>
      </c>
      <c r="AN388" s="23">
        <f t="shared" si="244"/>
        <v>0</v>
      </c>
      <c r="AO388" s="23">
        <f t="shared" si="245"/>
        <v>0</v>
      </c>
      <c r="AP388" s="23">
        <f t="shared" si="246"/>
        <v>0</v>
      </c>
      <c r="AQ388" s="23">
        <f t="shared" si="247"/>
        <v>0</v>
      </c>
      <c r="AR388" s="23">
        <f t="shared" si="248"/>
        <v>0</v>
      </c>
      <c r="AS388" s="23">
        <f t="shared" si="249"/>
        <v>6681.514338030237</v>
      </c>
      <c r="AT388" s="23">
        <f t="shared" si="250"/>
        <v>8560.8746792473412</v>
      </c>
      <c r="AU388" s="23">
        <f t="shared" si="251"/>
        <v>10044.462655774752</v>
      </c>
      <c r="AW388" s="25"/>
      <c r="AX388" s="25"/>
      <c r="AY388" s="25"/>
      <c r="AZ388" s="25"/>
      <c r="BA388" s="25"/>
      <c r="BB388" s="25"/>
      <c r="BC388" s="25"/>
      <c r="BD388" s="25">
        <f t="shared" si="257"/>
        <v>25286.851673052333</v>
      </c>
      <c r="BE388" s="25">
        <f t="shared" si="258"/>
        <v>18605.337335022094</v>
      </c>
      <c r="BF388" s="25">
        <f t="shared" si="259"/>
        <v>10044.462655774752</v>
      </c>
      <c r="BG388" s="25">
        <f t="shared" si="260"/>
        <v>0</v>
      </c>
      <c r="BI388" s="25"/>
      <c r="BJ388" s="25"/>
      <c r="BK388" s="25"/>
      <c r="BL388" s="25"/>
      <c r="BM388" s="25"/>
      <c r="BN388" s="25"/>
      <c r="BO388" s="25"/>
      <c r="BP388" s="25">
        <f t="shared" si="263"/>
        <v>25286.851673052333</v>
      </c>
      <c r="BQ388" s="25">
        <f t="shared" si="264"/>
        <v>18605.337335022094</v>
      </c>
      <c r="BR388" s="25">
        <f t="shared" si="265"/>
        <v>10044.462655774752</v>
      </c>
      <c r="BS388" s="25">
        <f t="shared" si="266"/>
        <v>0</v>
      </c>
    </row>
    <row r="389" spans="1:71" x14ac:dyDescent="0.2">
      <c r="A389" s="29">
        <f t="shared" si="261"/>
        <v>3.8099999999999627</v>
      </c>
      <c r="B389" s="30">
        <v>5.9510138867509797E-2</v>
      </c>
      <c r="C389" s="30">
        <v>6.130741444690261E-2</v>
      </c>
      <c r="D389" s="30">
        <v>6.3501035664325745E-2</v>
      </c>
      <c r="E389" s="30">
        <v>6.6071756296135056E-2</v>
      </c>
      <c r="F389" s="30">
        <v>6.8975863800157383E-2</v>
      </c>
      <c r="G389" s="30">
        <v>7.2164313846912242E-2</v>
      </c>
      <c r="H389" s="30">
        <v>7.5592014272376801E-2</v>
      </c>
      <c r="I389" s="30">
        <v>7.921945523741164E-2</v>
      </c>
      <c r="J389" s="30">
        <v>8.3011638262403931E-2</v>
      </c>
      <c r="K389" s="30">
        <v>8.693673525727845E-2</v>
      </c>
      <c r="L389" s="30">
        <v>9.0965176920492871E-2</v>
      </c>
      <c r="N389" s="1"/>
      <c r="O389" s="1"/>
      <c r="P389" s="1"/>
      <c r="Q389" s="1"/>
      <c r="R389" s="1"/>
      <c r="S389" s="1"/>
      <c r="T389" s="1"/>
      <c r="U389" s="66">
        <f t="shared" si="270"/>
        <v>0.96116448191431914</v>
      </c>
      <c r="V389" s="62">
        <f t="shared" si="268"/>
        <v>0.95934375277806427</v>
      </c>
      <c r="W389" s="68">
        <f t="shared" si="269"/>
        <v>0.91673509080827187</v>
      </c>
      <c r="Y389" s="24"/>
      <c r="Z389" s="24"/>
      <c r="AA389" s="24"/>
      <c r="AB389" s="24"/>
      <c r="AC389" s="24"/>
      <c r="AD389" s="24"/>
      <c r="AE389" s="24"/>
      <c r="AF389" s="24">
        <f t="shared" si="253"/>
        <v>8.3011638262403931E-2</v>
      </c>
      <c r="AG389" s="24">
        <f t="shared" si="254"/>
        <v>8.693673525727845E-2</v>
      </c>
      <c r="AH389" s="24">
        <f t="shared" si="255"/>
        <v>9.0965176920492871E-2</v>
      </c>
      <c r="AL389" s="23">
        <f t="shared" si="242"/>
        <v>0</v>
      </c>
      <c r="AM389" s="23">
        <f t="shared" si="243"/>
        <v>0</v>
      </c>
      <c r="AN389" s="23">
        <f t="shared" si="244"/>
        <v>0</v>
      </c>
      <c r="AO389" s="23">
        <f t="shared" si="245"/>
        <v>0</v>
      </c>
      <c r="AP389" s="23">
        <f t="shared" si="246"/>
        <v>0</v>
      </c>
      <c r="AQ389" s="23">
        <f t="shared" si="247"/>
        <v>0</v>
      </c>
      <c r="AR389" s="23">
        <f t="shared" si="248"/>
        <v>0</v>
      </c>
      <c r="AS389" s="23">
        <f t="shared" si="249"/>
        <v>7357.3634018822559</v>
      </c>
      <c r="AT389" s="23">
        <f t="shared" si="250"/>
        <v>9226.1850252275017</v>
      </c>
      <c r="AU389" s="23">
        <f t="shared" si="251"/>
        <v>10662.916616230141</v>
      </c>
      <c r="AW389" s="25"/>
      <c r="AX389" s="25"/>
      <c r="AY389" s="25"/>
      <c r="AZ389" s="25"/>
      <c r="BA389" s="25"/>
      <c r="BB389" s="25"/>
      <c r="BC389" s="25"/>
      <c r="BD389" s="25">
        <f t="shared" si="257"/>
        <v>27246.4650433399</v>
      </c>
      <c r="BE389" s="25">
        <f t="shared" si="258"/>
        <v>19889.101641457644</v>
      </c>
      <c r="BF389" s="25">
        <f t="shared" si="259"/>
        <v>10662.916616230141</v>
      </c>
      <c r="BG389" s="25">
        <f t="shared" si="260"/>
        <v>0</v>
      </c>
      <c r="BI389" s="25"/>
      <c r="BJ389" s="25"/>
      <c r="BK389" s="25"/>
      <c r="BL389" s="25"/>
      <c r="BM389" s="25"/>
      <c r="BN389" s="25"/>
      <c r="BO389" s="25"/>
      <c r="BP389" s="25">
        <f t="shared" si="263"/>
        <v>27246.4650433399</v>
      </c>
      <c r="BQ389" s="25">
        <f t="shared" si="264"/>
        <v>19889.101641457644</v>
      </c>
      <c r="BR389" s="25">
        <f t="shared" si="265"/>
        <v>10662.916616230141</v>
      </c>
      <c r="BS389" s="25">
        <f t="shared" si="266"/>
        <v>0</v>
      </c>
    </row>
    <row r="390" spans="1:71" x14ac:dyDescent="0.2">
      <c r="A390" s="29">
        <f t="shared" si="261"/>
        <v>3.8199999999999625</v>
      </c>
      <c r="B390" s="30">
        <v>5.9079680923839716E-2</v>
      </c>
      <c r="C390" s="30">
        <v>6.0850602227355485E-2</v>
      </c>
      <c r="D390" s="30">
        <v>6.302563169529897E-2</v>
      </c>
      <c r="E390" s="30">
        <v>6.5584648718255964E-2</v>
      </c>
      <c r="F390" s="30">
        <v>6.8483446230845124E-2</v>
      </c>
      <c r="G390" s="30">
        <v>7.1672668733244085E-2</v>
      </c>
      <c r="H390" s="30">
        <v>7.510694361974167E-2</v>
      </c>
      <c r="I390" s="30">
        <v>7.8746457719337457E-2</v>
      </c>
      <c r="J390" s="30">
        <v>8.2555881288211522E-2</v>
      </c>
      <c r="K390" s="30">
        <v>8.6503035941518105E-2</v>
      </c>
      <c r="L390" s="30">
        <v>9.0557992384270217E-2</v>
      </c>
      <c r="N390" s="1"/>
      <c r="O390" s="1"/>
      <c r="P390" s="1"/>
      <c r="Q390" s="1"/>
      <c r="R390" s="1"/>
      <c r="S390" s="1"/>
      <c r="T390" s="1"/>
      <c r="U390" s="66">
        <f t="shared" si="270"/>
        <v>0.96139182300340542</v>
      </c>
      <c r="V390" s="62">
        <f t="shared" si="268"/>
        <v>0.95956239149163602</v>
      </c>
      <c r="W390" s="68">
        <f t="shared" si="269"/>
        <v>0.9171327644190419</v>
      </c>
      <c r="Y390" s="24"/>
      <c r="Z390" s="24"/>
      <c r="AA390" s="24"/>
      <c r="AB390" s="24"/>
      <c r="AC390" s="24"/>
      <c r="AD390" s="24"/>
      <c r="AE390" s="24"/>
      <c r="AF390" s="24">
        <f t="shared" si="253"/>
        <v>8.2555881288211522E-2</v>
      </c>
      <c r="AG390" s="24">
        <f t="shared" si="254"/>
        <v>8.6503035941518105E-2</v>
      </c>
      <c r="AH390" s="24">
        <f t="shared" si="255"/>
        <v>9.0557992384270217E-2</v>
      </c>
      <c r="AL390" s="23">
        <f t="shared" si="242"/>
        <v>0</v>
      </c>
      <c r="AM390" s="23">
        <f t="shared" si="243"/>
        <v>0</v>
      </c>
      <c r="AN390" s="23">
        <f t="shared" si="244"/>
        <v>0</v>
      </c>
      <c r="AO390" s="23">
        <f t="shared" si="245"/>
        <v>0</v>
      </c>
      <c r="AP390" s="23">
        <f t="shared" si="246"/>
        <v>0</v>
      </c>
      <c r="AQ390" s="23">
        <f t="shared" si="247"/>
        <v>0</v>
      </c>
      <c r="AR390" s="23">
        <f t="shared" si="248"/>
        <v>0</v>
      </c>
      <c r="AS390" s="23">
        <f t="shared" si="249"/>
        <v>7140.0231008349137</v>
      </c>
      <c r="AT390" s="23">
        <f t="shared" si="250"/>
        <v>9020.2069375727351</v>
      </c>
      <c r="AU390" s="23">
        <f t="shared" si="251"/>
        <v>10480.820979169477</v>
      </c>
      <c r="AW390" s="25"/>
      <c r="AX390" s="25"/>
      <c r="AY390" s="25"/>
      <c r="AZ390" s="25"/>
      <c r="BA390" s="25"/>
      <c r="BB390" s="25"/>
      <c r="BC390" s="25"/>
      <c r="BD390" s="25">
        <f t="shared" si="257"/>
        <v>26641.051017577127</v>
      </c>
      <c r="BE390" s="25">
        <f t="shared" si="258"/>
        <v>19501.027916742212</v>
      </c>
      <c r="BF390" s="25">
        <f t="shared" si="259"/>
        <v>10480.820979169477</v>
      </c>
      <c r="BG390" s="25">
        <f t="shared" si="260"/>
        <v>0</v>
      </c>
      <c r="BI390" s="25"/>
      <c r="BJ390" s="25"/>
      <c r="BK390" s="25"/>
      <c r="BL390" s="25"/>
      <c r="BM390" s="25"/>
      <c r="BN390" s="25"/>
      <c r="BO390" s="25"/>
      <c r="BP390" s="25">
        <f t="shared" si="263"/>
        <v>26641.051017577127</v>
      </c>
      <c r="BQ390" s="25">
        <f t="shared" si="264"/>
        <v>19501.027916742212</v>
      </c>
      <c r="BR390" s="25">
        <f t="shared" si="265"/>
        <v>10480.820979169477</v>
      </c>
      <c r="BS390" s="25">
        <f t="shared" si="266"/>
        <v>0</v>
      </c>
    </row>
    <row r="391" spans="1:71" x14ac:dyDescent="0.2">
      <c r="A391" s="29">
        <f t="shared" si="261"/>
        <v>3.8299999999999623</v>
      </c>
      <c r="B391" s="30">
        <v>5.7910918246164553E-2</v>
      </c>
      <c r="C391" s="30">
        <v>5.9885644281435779E-2</v>
      </c>
      <c r="D391" s="30">
        <v>6.2251715606922144E-2</v>
      </c>
      <c r="E391" s="30">
        <v>6.4988886791777917E-2</v>
      </c>
      <c r="F391" s="30">
        <v>6.8053201881558167E-2</v>
      </c>
      <c r="G391" s="30">
        <v>7.1395736787758984E-2</v>
      </c>
      <c r="H391" s="30">
        <v>7.4971579972264668E-2</v>
      </c>
      <c r="I391" s="30">
        <v>7.8741356340654184E-2</v>
      </c>
      <c r="J391" s="30">
        <v>8.2670146471376466E-2</v>
      </c>
      <c r="K391" s="30">
        <v>8.6726163457929051E-2</v>
      </c>
      <c r="L391" s="30">
        <v>9.0879859910271282E-2</v>
      </c>
      <c r="N391" s="1"/>
      <c r="O391" s="1"/>
      <c r="P391" s="1"/>
      <c r="Q391" s="1"/>
      <c r="R391" s="1"/>
      <c r="S391" s="1"/>
      <c r="T391" s="1"/>
      <c r="U391" s="66">
        <f t="shared" si="270"/>
        <v>0.96139427521840892</v>
      </c>
      <c r="V391" s="62">
        <f t="shared" si="268"/>
        <v>0.95950757077146487</v>
      </c>
      <c r="W391" s="68">
        <f t="shared" si="269"/>
        <v>0.91692814969153491</v>
      </c>
      <c r="Y391" s="24"/>
      <c r="Z391" s="24"/>
      <c r="AA391" s="24"/>
      <c r="AB391" s="24"/>
      <c r="AC391" s="24"/>
      <c r="AD391" s="24"/>
      <c r="AE391" s="24"/>
      <c r="AF391" s="24">
        <f t="shared" si="253"/>
        <v>8.2670146471376466E-2</v>
      </c>
      <c r="AG391" s="24">
        <f t="shared" si="254"/>
        <v>8.6726163457929051E-2</v>
      </c>
      <c r="AH391" s="24">
        <f t="shared" si="255"/>
        <v>9.0879859910271282E-2</v>
      </c>
      <c r="AL391" s="23">
        <f t="shared" si="242"/>
        <v>0</v>
      </c>
      <c r="AM391" s="23">
        <f t="shared" si="243"/>
        <v>0</v>
      </c>
      <c r="AN391" s="23">
        <f t="shared" si="244"/>
        <v>0</v>
      </c>
      <c r="AO391" s="23">
        <f t="shared" si="245"/>
        <v>0</v>
      </c>
      <c r="AP391" s="23">
        <f t="shared" si="246"/>
        <v>0</v>
      </c>
      <c r="AQ391" s="23">
        <f t="shared" si="247"/>
        <v>0</v>
      </c>
      <c r="AR391" s="23">
        <f t="shared" si="248"/>
        <v>0</v>
      </c>
      <c r="AS391" s="23">
        <f t="shared" si="249"/>
        <v>7194.9682593147427</v>
      </c>
      <c r="AT391" s="23">
        <f t="shared" si="250"/>
        <v>9126.7378751169472</v>
      </c>
      <c r="AU391" s="23">
        <f t="shared" si="251"/>
        <v>10626.047378024512</v>
      </c>
      <c r="AW391" s="25"/>
      <c r="AX391" s="25"/>
      <c r="AY391" s="25"/>
      <c r="AZ391" s="25"/>
      <c r="BA391" s="25"/>
      <c r="BB391" s="25"/>
      <c r="BC391" s="25"/>
      <c r="BD391" s="25">
        <f t="shared" si="257"/>
        <v>26947.753512456202</v>
      </c>
      <c r="BE391" s="25">
        <f t="shared" si="258"/>
        <v>19752.785253141461</v>
      </c>
      <c r="BF391" s="25">
        <f t="shared" si="259"/>
        <v>10626.047378024512</v>
      </c>
      <c r="BG391" s="25">
        <f t="shared" si="260"/>
        <v>0</v>
      </c>
      <c r="BI391" s="25"/>
      <c r="BJ391" s="25"/>
      <c r="BK391" s="25"/>
      <c r="BL391" s="25"/>
      <c r="BM391" s="25"/>
      <c r="BN391" s="25"/>
      <c r="BO391" s="25"/>
      <c r="BP391" s="25">
        <f t="shared" si="263"/>
        <v>26947.753512456202</v>
      </c>
      <c r="BQ391" s="25">
        <f t="shared" si="264"/>
        <v>19752.785253141461</v>
      </c>
      <c r="BR391" s="25">
        <f t="shared" si="265"/>
        <v>10626.047378024512</v>
      </c>
      <c r="BS391" s="25">
        <f t="shared" si="266"/>
        <v>0</v>
      </c>
    </row>
    <row r="392" spans="1:71" x14ac:dyDescent="0.2">
      <c r="A392" s="29">
        <f t="shared" si="261"/>
        <v>3.8399999999999621</v>
      </c>
      <c r="B392" s="30">
        <v>5.7556471158137903E-2</v>
      </c>
      <c r="C392" s="30">
        <v>5.9482018485797344E-2</v>
      </c>
      <c r="D392" s="30">
        <v>6.1809704617290379E-2</v>
      </c>
      <c r="E392" s="30">
        <v>6.4518294527803402E-2</v>
      </c>
      <c r="F392" s="30">
        <v>6.7563214688651785E-2</v>
      </c>
      <c r="G392" s="30">
        <v>7.0895100724591931E-2</v>
      </c>
      <c r="H392" s="30">
        <v>7.4468629414099555E-2</v>
      </c>
      <c r="I392" s="30">
        <v>7.8243990893063081E-2</v>
      </c>
      <c r="J392" s="30">
        <v>8.2185803394138071E-2</v>
      </c>
      <c r="K392" s="30">
        <v>8.6261799006513692E-2</v>
      </c>
      <c r="L392" s="30">
        <v>9.0441939886522257E-2</v>
      </c>
      <c r="N392" s="1"/>
      <c r="O392" s="1"/>
      <c r="P392" s="1"/>
      <c r="Q392" s="1"/>
      <c r="R392" s="1"/>
      <c r="S392" s="1"/>
      <c r="T392" s="1"/>
      <c r="U392" s="66">
        <f t="shared" si="270"/>
        <v>0.96163338709567592</v>
      </c>
      <c r="V392" s="62">
        <f t="shared" si="268"/>
        <v>0.95973996433461295</v>
      </c>
      <c r="W392" s="68">
        <f t="shared" si="269"/>
        <v>0.91735403740465782</v>
      </c>
      <c r="Y392" s="24"/>
      <c r="Z392" s="24"/>
      <c r="AA392" s="24"/>
      <c r="AB392" s="24"/>
      <c r="AC392" s="24"/>
      <c r="AD392" s="24"/>
      <c r="AE392" s="24"/>
      <c r="AF392" s="24">
        <f t="shared" si="253"/>
        <v>8.2185803394138071E-2</v>
      </c>
      <c r="AG392" s="24">
        <f t="shared" si="254"/>
        <v>8.6261799006513692E-2</v>
      </c>
      <c r="AH392" s="24">
        <f t="shared" si="255"/>
        <v>9.0441939886522257E-2</v>
      </c>
      <c r="AL392" s="23">
        <f t="shared" ref="AL392:AL455" si="271">N*(Y392-fix)*N392*time</f>
        <v>0</v>
      </c>
      <c r="AM392" s="23">
        <f t="shared" ref="AM392:AM455" si="272">N*(Z392-fix)*O392*time</f>
        <v>0</v>
      </c>
      <c r="AN392" s="23">
        <f t="shared" ref="AN392:AN455" si="273">N*(AA392-fix)*P392*time</f>
        <v>0</v>
      </c>
      <c r="AO392" s="23">
        <f t="shared" ref="AO392:AO455" si="274">N*(AB392-fix)*Q392*time</f>
        <v>0</v>
      </c>
      <c r="AP392" s="23">
        <f t="shared" ref="AP392:AP455" si="275">N*(AC392-fix)*R392*time</f>
        <v>0</v>
      </c>
      <c r="AQ392" s="23">
        <f t="shared" ref="AQ392:AQ455" si="276">N*(AD392-fix)*S392*time</f>
        <v>0</v>
      </c>
      <c r="AR392" s="23">
        <f t="shared" ref="AR392:AR455" si="277">N*(AE392-fix)*T392*time</f>
        <v>0</v>
      </c>
      <c r="AS392" s="23">
        <f t="shared" ref="AS392:AS455" si="278">N*(AF392-fix)*U392*time</f>
        <v>6963.8775091765465</v>
      </c>
      <c r="AT392" s="23">
        <f t="shared" ref="AT392:AT455" si="279">N*(AG392-fix)*V392*time</f>
        <v>8906.1138179006703</v>
      </c>
      <c r="AU392" s="23">
        <f t="shared" ref="AU392:AU455" si="280">N*(AH392-fix)*W392*time</f>
        <v>10430.1190316104</v>
      </c>
      <c r="AW392" s="25"/>
      <c r="AX392" s="25"/>
      <c r="AY392" s="25"/>
      <c r="AZ392" s="25"/>
      <c r="BA392" s="25"/>
      <c r="BB392" s="25"/>
      <c r="BC392" s="25"/>
      <c r="BD392" s="25">
        <f t="shared" si="257"/>
        <v>26300.110358687616</v>
      </c>
      <c r="BE392" s="25">
        <f t="shared" si="258"/>
        <v>19336.232849511071</v>
      </c>
      <c r="BF392" s="25">
        <f t="shared" si="259"/>
        <v>10430.1190316104</v>
      </c>
      <c r="BG392" s="25">
        <f t="shared" si="260"/>
        <v>0</v>
      </c>
      <c r="BI392" s="25"/>
      <c r="BJ392" s="25"/>
      <c r="BK392" s="25"/>
      <c r="BL392" s="25"/>
      <c r="BM392" s="25"/>
      <c r="BN392" s="25"/>
      <c r="BO392" s="25"/>
      <c r="BP392" s="25">
        <f t="shared" si="263"/>
        <v>26300.110358687616</v>
      </c>
      <c r="BQ392" s="25">
        <f t="shared" si="264"/>
        <v>19336.232849511071</v>
      </c>
      <c r="BR392" s="25">
        <f t="shared" si="265"/>
        <v>10430.1190316104</v>
      </c>
      <c r="BS392" s="25">
        <f t="shared" si="266"/>
        <v>0</v>
      </c>
    </row>
    <row r="393" spans="1:71" x14ac:dyDescent="0.2">
      <c r="A393" s="29">
        <f t="shared" si="261"/>
        <v>3.8499999999999619</v>
      </c>
      <c r="B393" s="30">
        <v>5.6903644274078444E-2</v>
      </c>
      <c r="C393" s="30">
        <v>5.8897140710868767E-2</v>
      </c>
      <c r="D393" s="30">
        <v>6.1287497184604717E-2</v>
      </c>
      <c r="E393" s="30">
        <v>6.4053186808534585E-2</v>
      </c>
      <c r="F393" s="30">
        <v>6.7149712317119248E-2</v>
      </c>
      <c r="G393" s="30">
        <v>7.052795991207722E-2</v>
      </c>
      <c r="H393" s="30">
        <v>7.4142884518385188E-2</v>
      </c>
      <c r="I393" s="30">
        <v>7.7954931242354183E-2</v>
      </c>
      <c r="J393" s="30">
        <v>8.192894588931128E-2</v>
      </c>
      <c r="K393" s="30">
        <v>8.6032869646786109E-2</v>
      </c>
      <c r="L393" s="30">
        <v>9.0236864443018303E-2</v>
      </c>
      <c r="N393" s="1"/>
      <c r="O393" s="1"/>
      <c r="P393" s="1"/>
      <c r="Q393" s="1"/>
      <c r="R393" s="1"/>
      <c r="S393" s="1"/>
      <c r="T393" s="1"/>
      <c r="U393" s="66">
        <f t="shared" si="270"/>
        <v>0.96177238184536928</v>
      </c>
      <c r="V393" s="62">
        <f t="shared" si="268"/>
        <v>0.9598632304561614</v>
      </c>
      <c r="W393" s="68">
        <f t="shared" si="269"/>
        <v>0.91756407071756307</v>
      </c>
      <c r="Y393" s="24"/>
      <c r="Z393" s="24"/>
      <c r="AA393" s="24"/>
      <c r="AB393" s="24"/>
      <c r="AC393" s="24"/>
      <c r="AD393" s="24"/>
      <c r="AE393" s="24"/>
      <c r="AF393" s="24">
        <f t="shared" ref="AF393:AF408" si="281">(J393*$AF$7-I393*$X$7)/($AF$7-$X$7)</f>
        <v>8.192894588931128E-2</v>
      </c>
      <c r="AG393" s="24">
        <f t="shared" ref="AG393:AG456" si="282">(K393*$AG$7-J393*$X$7)/($AG$7-$X$7)</f>
        <v>8.6032869646786109E-2</v>
      </c>
      <c r="AH393" s="24">
        <f t="shared" ref="AH393:AH456" si="283">(L393*$AH$7-K393*$X$7)/($AH$7-$X$7)</f>
        <v>9.0236864443018303E-2</v>
      </c>
      <c r="AL393" s="23">
        <f t="shared" si="271"/>
        <v>0</v>
      </c>
      <c r="AM393" s="23">
        <f t="shared" si="272"/>
        <v>0</v>
      </c>
      <c r="AN393" s="23">
        <f t="shared" si="273"/>
        <v>0</v>
      </c>
      <c r="AO393" s="23">
        <f t="shared" si="274"/>
        <v>0</v>
      </c>
      <c r="AP393" s="23">
        <f t="shared" si="275"/>
        <v>0</v>
      </c>
      <c r="AQ393" s="23">
        <f t="shared" si="276"/>
        <v>0</v>
      </c>
      <c r="AR393" s="23">
        <f t="shared" si="277"/>
        <v>0</v>
      </c>
      <c r="AS393" s="23">
        <f t="shared" si="278"/>
        <v>6841.3648428079478</v>
      </c>
      <c r="AT393" s="23">
        <f t="shared" si="279"/>
        <v>8797.3872550515825</v>
      </c>
      <c r="AU393" s="23">
        <f t="shared" si="280"/>
        <v>10338.422136044435</v>
      </c>
      <c r="AW393" s="25"/>
      <c r="AX393" s="25"/>
      <c r="AY393" s="25"/>
      <c r="AZ393" s="25"/>
      <c r="BA393" s="25"/>
      <c r="BB393" s="25"/>
      <c r="BC393" s="25"/>
      <c r="BD393" s="25">
        <f t="shared" ref="BD393:BD408" si="284">SUM(AS393:AU393)</f>
        <v>25977.174233903967</v>
      </c>
      <c r="BE393" s="25">
        <f t="shared" ref="BE393:BE456" si="285">SUM(AT393:AU393)</f>
        <v>19135.809391096016</v>
      </c>
      <c r="BF393" s="25">
        <f t="shared" ref="BF393:BF456" si="286">SUM(AU393)</f>
        <v>10338.422136044435</v>
      </c>
      <c r="BG393" s="25">
        <f t="shared" ref="BG393:BG456" si="287">SUM(AV393)</f>
        <v>0</v>
      </c>
      <c r="BI393" s="25"/>
      <c r="BJ393" s="25"/>
      <c r="BK393" s="25"/>
      <c r="BL393" s="25"/>
      <c r="BM393" s="25"/>
      <c r="BN393" s="25"/>
      <c r="BO393" s="25"/>
      <c r="BP393" s="25">
        <f t="shared" si="263"/>
        <v>25977.174233903967</v>
      </c>
      <c r="BQ393" s="25">
        <f t="shared" si="264"/>
        <v>19135.809391096016</v>
      </c>
      <c r="BR393" s="25">
        <f t="shared" si="265"/>
        <v>10338.422136044435</v>
      </c>
      <c r="BS393" s="25">
        <f t="shared" si="266"/>
        <v>0</v>
      </c>
    </row>
    <row r="394" spans="1:71" x14ac:dyDescent="0.2">
      <c r="A394" s="29">
        <f t="shared" ref="A394:A457" si="288">A393+0.01</f>
        <v>3.8599999999999617</v>
      </c>
      <c r="B394" s="30">
        <v>5.6176676268040418E-2</v>
      </c>
      <c r="C394" s="30">
        <v>5.8316720054419846E-2</v>
      </c>
      <c r="D394" s="30">
        <v>6.0838999002931993E-2</v>
      </c>
      <c r="E394" s="30">
        <v>6.3722084853094343E-2</v>
      </c>
      <c r="F394" s="30">
        <v>6.6921943214495294E-2</v>
      </c>
      <c r="G394" s="30">
        <v>7.0390094542911882E-2</v>
      </c>
      <c r="H394" s="30">
        <v>7.4082154572005898E-2</v>
      </c>
      <c r="I394" s="30">
        <v>7.7959205956261587E-2</v>
      </c>
      <c r="J394" s="30">
        <v>8.1986704829896603E-2</v>
      </c>
      <c r="K394" s="30">
        <v>8.6133184417958003E-2</v>
      </c>
      <c r="L394" s="30">
        <v>9.036938948146872E-2</v>
      </c>
      <c r="N394" s="1"/>
      <c r="O394" s="1"/>
      <c r="P394" s="1"/>
      <c r="Q394" s="1"/>
      <c r="R394" s="1"/>
      <c r="S394" s="1"/>
      <c r="T394" s="1"/>
      <c r="U394" s="66">
        <f t="shared" si="270"/>
        <v>0.9617703261966779</v>
      </c>
      <c r="V394" s="62">
        <f t="shared" si="268"/>
        <v>0.959835510514783</v>
      </c>
      <c r="W394" s="68">
        <f t="shared" si="269"/>
        <v>0.91747203010436718</v>
      </c>
      <c r="Y394" s="24"/>
      <c r="Z394" s="24"/>
      <c r="AA394" s="24"/>
      <c r="AB394" s="24"/>
      <c r="AC394" s="24"/>
      <c r="AD394" s="24"/>
      <c r="AE394" s="24"/>
      <c r="AF394" s="24">
        <f t="shared" si="281"/>
        <v>8.1986704829896603E-2</v>
      </c>
      <c r="AG394" s="24">
        <f t="shared" si="282"/>
        <v>8.6133184417958003E-2</v>
      </c>
      <c r="AH394" s="24">
        <f t="shared" si="283"/>
        <v>9.036938948146872E-2</v>
      </c>
      <c r="AL394" s="23">
        <f t="shared" si="271"/>
        <v>0</v>
      </c>
      <c r="AM394" s="23">
        <f t="shared" si="272"/>
        <v>0</v>
      </c>
      <c r="AN394" s="23">
        <f t="shared" si="273"/>
        <v>0</v>
      </c>
      <c r="AO394" s="23">
        <f t="shared" si="274"/>
        <v>0</v>
      </c>
      <c r="AP394" s="23">
        <f t="shared" si="275"/>
        <v>0</v>
      </c>
      <c r="AQ394" s="23">
        <f t="shared" si="276"/>
        <v>0</v>
      </c>
      <c r="AR394" s="23">
        <f t="shared" si="277"/>
        <v>0</v>
      </c>
      <c r="AS394" s="23">
        <f t="shared" si="278"/>
        <v>6869.1256379486158</v>
      </c>
      <c r="AT394" s="23">
        <f t="shared" si="279"/>
        <v>8845.276034636252</v>
      </c>
      <c r="AU394" s="23">
        <f t="shared" si="280"/>
        <v>10398.179099643268</v>
      </c>
      <c r="AW394" s="25"/>
      <c r="AX394" s="25"/>
      <c r="AY394" s="25"/>
      <c r="AZ394" s="25"/>
      <c r="BA394" s="25"/>
      <c r="BB394" s="25"/>
      <c r="BC394" s="25"/>
      <c r="BD394" s="25">
        <f t="shared" si="284"/>
        <v>26112.580772228135</v>
      </c>
      <c r="BE394" s="25">
        <f t="shared" si="285"/>
        <v>19243.45513427952</v>
      </c>
      <c r="BF394" s="25">
        <f t="shared" si="286"/>
        <v>10398.179099643268</v>
      </c>
      <c r="BG394" s="25">
        <f t="shared" si="287"/>
        <v>0</v>
      </c>
      <c r="BI394" s="25"/>
      <c r="BJ394" s="25"/>
      <c r="BK394" s="25"/>
      <c r="BL394" s="25"/>
      <c r="BM394" s="25"/>
      <c r="BN394" s="25"/>
      <c r="BO394" s="25"/>
      <c r="BP394" s="25">
        <f t="shared" si="263"/>
        <v>26112.580772228135</v>
      </c>
      <c r="BQ394" s="25">
        <f t="shared" si="264"/>
        <v>19243.45513427952</v>
      </c>
      <c r="BR394" s="25">
        <f t="shared" si="265"/>
        <v>10398.179099643268</v>
      </c>
      <c r="BS394" s="25">
        <f t="shared" si="266"/>
        <v>0</v>
      </c>
    </row>
    <row r="395" spans="1:71" x14ac:dyDescent="0.2">
      <c r="A395" s="29">
        <f t="shared" si="288"/>
        <v>3.8699999999999615</v>
      </c>
      <c r="B395" s="30">
        <v>5.5147580700203751E-2</v>
      </c>
      <c r="C395" s="30">
        <v>5.7352240307738299E-2</v>
      </c>
      <c r="D395" s="30">
        <v>5.9931490478694782E-2</v>
      </c>
      <c r="E395" s="30">
        <v>6.2863762247333824E-2</v>
      </c>
      <c r="F395" s="30">
        <v>6.6105240909446736E-2</v>
      </c>
      <c r="G395" s="30">
        <v>6.9607835089458392E-2</v>
      </c>
      <c r="H395" s="30">
        <v>7.3327574248002236E-2</v>
      </c>
      <c r="I395" s="30">
        <v>7.7225931426846819E-2</v>
      </c>
      <c r="J395" s="30">
        <v>8.1268726106769718E-2</v>
      </c>
      <c r="K395" s="30">
        <v>8.5424836749737484E-2</v>
      </c>
      <c r="L395" s="30">
        <v>8.966534426947706E-2</v>
      </c>
      <c r="N395" s="1"/>
      <c r="O395" s="1"/>
      <c r="P395" s="1"/>
      <c r="Q395" s="1"/>
      <c r="R395" s="1"/>
      <c r="S395" s="1"/>
      <c r="T395" s="1"/>
      <c r="U395" s="66">
        <f t="shared" si="270"/>
        <v>0.96212301168822256</v>
      </c>
      <c r="V395" s="62">
        <f t="shared" si="268"/>
        <v>0.96018014310792477</v>
      </c>
      <c r="W395" s="68">
        <f t="shared" si="269"/>
        <v>0.91812214950564663</v>
      </c>
      <c r="Y395" s="24"/>
      <c r="Z395" s="24"/>
      <c r="AA395" s="24"/>
      <c r="AB395" s="24"/>
      <c r="AC395" s="24"/>
      <c r="AD395" s="24"/>
      <c r="AE395" s="24"/>
      <c r="AF395" s="24">
        <f t="shared" si="281"/>
        <v>8.1268726106769718E-2</v>
      </c>
      <c r="AG395" s="24">
        <f t="shared" si="282"/>
        <v>8.5424836749737484E-2</v>
      </c>
      <c r="AH395" s="24">
        <f t="shared" si="283"/>
        <v>8.966534426947706E-2</v>
      </c>
      <c r="AL395" s="23">
        <f t="shared" si="271"/>
        <v>0</v>
      </c>
      <c r="AM395" s="23">
        <f t="shared" si="272"/>
        <v>0</v>
      </c>
      <c r="AN395" s="23">
        <f t="shared" si="273"/>
        <v>0</v>
      </c>
      <c r="AO395" s="23">
        <f t="shared" si="274"/>
        <v>0</v>
      </c>
      <c r="AP395" s="23">
        <f t="shared" si="275"/>
        <v>0</v>
      </c>
      <c r="AQ395" s="23">
        <f t="shared" si="276"/>
        <v>0</v>
      </c>
      <c r="AR395" s="23">
        <f t="shared" si="277"/>
        <v>0</v>
      </c>
      <c r="AS395" s="23">
        <f t="shared" si="278"/>
        <v>6526.2526514122601</v>
      </c>
      <c r="AT395" s="23">
        <f t="shared" si="279"/>
        <v>8508.3812819401446</v>
      </c>
      <c r="AU395" s="23">
        <f t="shared" si="280"/>
        <v>10082.347483163383</v>
      </c>
      <c r="AW395" s="25"/>
      <c r="AX395" s="25"/>
      <c r="AY395" s="25"/>
      <c r="AZ395" s="25"/>
      <c r="BA395" s="25"/>
      <c r="BB395" s="25"/>
      <c r="BC395" s="25"/>
      <c r="BD395" s="25">
        <f t="shared" si="284"/>
        <v>25116.981416515788</v>
      </c>
      <c r="BE395" s="25">
        <f t="shared" si="285"/>
        <v>18590.728765103529</v>
      </c>
      <c r="BF395" s="25">
        <f t="shared" si="286"/>
        <v>10082.347483163383</v>
      </c>
      <c r="BG395" s="25">
        <f t="shared" si="287"/>
        <v>0</v>
      </c>
      <c r="BI395" s="25"/>
      <c r="BJ395" s="25"/>
      <c r="BK395" s="25"/>
      <c r="BL395" s="25"/>
      <c r="BM395" s="25"/>
      <c r="BN395" s="25"/>
      <c r="BO395" s="25"/>
      <c r="BP395" s="25">
        <f t="shared" si="263"/>
        <v>25116.981416515788</v>
      </c>
      <c r="BQ395" s="25">
        <f t="shared" si="264"/>
        <v>18590.728765103529</v>
      </c>
      <c r="BR395" s="25">
        <f t="shared" si="265"/>
        <v>10082.347483163383</v>
      </c>
      <c r="BS395" s="25">
        <f t="shared" si="266"/>
        <v>0</v>
      </c>
    </row>
    <row r="396" spans="1:71" x14ac:dyDescent="0.2">
      <c r="A396" s="29">
        <f t="shared" si="288"/>
        <v>3.8799999999999613</v>
      </c>
      <c r="B396" s="30">
        <v>5.5162030494532555E-2</v>
      </c>
      <c r="C396" s="30">
        <v>5.7449651010594224E-2</v>
      </c>
      <c r="D396" s="30">
        <v>6.0101394891722462E-2</v>
      </c>
      <c r="E396" s="30">
        <v>6.3095684469017782E-2</v>
      </c>
      <c r="F396" s="30">
        <v>6.6389052888390851E-2</v>
      </c>
      <c r="G396" s="30">
        <v>6.9933922248348379E-2</v>
      </c>
      <c r="H396" s="30">
        <v>7.3686860063969239E-2</v>
      </c>
      <c r="I396" s="30">
        <v>7.7609854017759425E-2</v>
      </c>
      <c r="J396" s="30">
        <v>8.1669211369131078E-2</v>
      </c>
      <c r="K396" s="30">
        <v>8.5834280429553544E-2</v>
      </c>
      <c r="L396" s="30">
        <v>9.0076602997385305E-2</v>
      </c>
      <c r="N396" s="1"/>
      <c r="O396" s="1"/>
      <c r="P396" s="1"/>
      <c r="Q396" s="1"/>
      <c r="R396" s="1"/>
      <c r="S396" s="1"/>
      <c r="T396" s="1"/>
      <c r="U396" s="66">
        <f t="shared" si="270"/>
        <v>0.96193833903407866</v>
      </c>
      <c r="V396" s="62">
        <f t="shared" si="268"/>
        <v>0.95998789335860157</v>
      </c>
      <c r="W396" s="68">
        <f t="shared" si="269"/>
        <v>0.91774630714262317</v>
      </c>
      <c r="Y396" s="24"/>
      <c r="Z396" s="24"/>
      <c r="AA396" s="24"/>
      <c r="AB396" s="24"/>
      <c r="AC396" s="24"/>
      <c r="AD396" s="24"/>
      <c r="AE396" s="24"/>
      <c r="AF396" s="24">
        <f t="shared" si="281"/>
        <v>8.1669211369131078E-2</v>
      </c>
      <c r="AG396" s="24">
        <f t="shared" si="282"/>
        <v>8.5834280429553544E-2</v>
      </c>
      <c r="AH396" s="24">
        <f t="shared" si="283"/>
        <v>9.0076602997385305E-2</v>
      </c>
      <c r="AL396" s="23">
        <f t="shared" si="271"/>
        <v>0</v>
      </c>
      <c r="AM396" s="23">
        <f t="shared" si="272"/>
        <v>0</v>
      </c>
      <c r="AN396" s="23">
        <f t="shared" si="273"/>
        <v>0</v>
      </c>
      <c r="AO396" s="23">
        <f t="shared" si="274"/>
        <v>0</v>
      </c>
      <c r="AP396" s="23">
        <f t="shared" si="275"/>
        <v>0</v>
      </c>
      <c r="AQ396" s="23">
        <f t="shared" si="276"/>
        <v>0</v>
      </c>
      <c r="AR396" s="23">
        <f t="shared" si="277"/>
        <v>0</v>
      </c>
      <c r="AS396" s="23">
        <f t="shared" si="278"/>
        <v>6717.6210477762788</v>
      </c>
      <c r="AT396" s="23">
        <f t="shared" si="279"/>
        <v>8703.2081996723373</v>
      </c>
      <c r="AU396" s="23">
        <f t="shared" si="280"/>
        <v>10266.935764125514</v>
      </c>
      <c r="AW396" s="25"/>
      <c r="AX396" s="25"/>
      <c r="AY396" s="25"/>
      <c r="AZ396" s="25"/>
      <c r="BA396" s="25"/>
      <c r="BB396" s="25"/>
      <c r="BC396" s="25"/>
      <c r="BD396" s="25">
        <f t="shared" si="284"/>
        <v>25687.765011574127</v>
      </c>
      <c r="BE396" s="25">
        <f t="shared" si="285"/>
        <v>18970.143963797851</v>
      </c>
      <c r="BF396" s="25">
        <f t="shared" si="286"/>
        <v>10266.935764125514</v>
      </c>
      <c r="BG396" s="25">
        <f t="shared" si="287"/>
        <v>0</v>
      </c>
      <c r="BI396" s="25"/>
      <c r="BJ396" s="25"/>
      <c r="BK396" s="25"/>
      <c r="BL396" s="25"/>
      <c r="BM396" s="25"/>
      <c r="BN396" s="25"/>
      <c r="BO396" s="25"/>
      <c r="BP396" s="25">
        <f t="shared" si="263"/>
        <v>25687.765011574127</v>
      </c>
      <c r="BQ396" s="25">
        <f t="shared" si="264"/>
        <v>18970.143963797851</v>
      </c>
      <c r="BR396" s="25">
        <f t="shared" si="265"/>
        <v>10266.935764125514</v>
      </c>
      <c r="BS396" s="25">
        <f t="shared" si="266"/>
        <v>0</v>
      </c>
    </row>
    <row r="397" spans="1:71" x14ac:dyDescent="0.2">
      <c r="A397" s="29">
        <f t="shared" si="288"/>
        <v>3.889999999999961</v>
      </c>
      <c r="B397" s="30">
        <v>5.5013575760546114E-2</v>
      </c>
      <c r="C397" s="30">
        <v>5.7337022619031071E-2</v>
      </c>
      <c r="D397" s="30">
        <v>6.0025751033339632E-2</v>
      </c>
      <c r="E397" s="30">
        <v>6.3057616349417311E-2</v>
      </c>
      <c r="F397" s="30">
        <v>6.6388937462712891E-2</v>
      </c>
      <c r="G397" s="30">
        <v>6.997208502436171E-2</v>
      </c>
      <c r="H397" s="30">
        <v>7.3763598722553406E-2</v>
      </c>
      <c r="I397" s="30">
        <v>7.7725414930228845E-2</v>
      </c>
      <c r="J397" s="30">
        <v>8.1823762913791662E-2</v>
      </c>
      <c r="K397" s="30">
        <v>8.6027895241856028E-2</v>
      </c>
      <c r="L397" s="30">
        <v>9.0309249123230434E-2</v>
      </c>
      <c r="N397" s="1"/>
      <c r="O397" s="1"/>
      <c r="P397" s="1"/>
      <c r="Q397" s="1"/>
      <c r="R397" s="1"/>
      <c r="S397" s="1"/>
      <c r="T397" s="1"/>
      <c r="U397" s="66">
        <f t="shared" si="270"/>
        <v>0.96188275940370327</v>
      </c>
      <c r="V397" s="62">
        <f t="shared" si="268"/>
        <v>0.95991371241894619</v>
      </c>
      <c r="W397" s="68">
        <f t="shared" si="269"/>
        <v>0.91756863506415254</v>
      </c>
      <c r="Y397" s="24"/>
      <c r="Z397" s="24"/>
      <c r="AA397" s="24"/>
      <c r="AB397" s="24"/>
      <c r="AC397" s="24"/>
      <c r="AD397" s="24"/>
      <c r="AE397" s="24"/>
      <c r="AF397" s="24">
        <f t="shared" si="281"/>
        <v>8.1823762913791662E-2</v>
      </c>
      <c r="AG397" s="24">
        <f t="shared" si="282"/>
        <v>8.6027895241856028E-2</v>
      </c>
      <c r="AH397" s="24">
        <f t="shared" si="283"/>
        <v>9.0309249123230434E-2</v>
      </c>
      <c r="AL397" s="23">
        <f t="shared" si="271"/>
        <v>0</v>
      </c>
      <c r="AM397" s="23">
        <f t="shared" si="272"/>
        <v>0</v>
      </c>
      <c r="AN397" s="23">
        <f t="shared" si="273"/>
        <v>0</v>
      </c>
      <c r="AO397" s="23">
        <f t="shared" si="274"/>
        <v>0</v>
      </c>
      <c r="AP397" s="23">
        <f t="shared" si="275"/>
        <v>0</v>
      </c>
      <c r="AQ397" s="23">
        <f t="shared" si="276"/>
        <v>0</v>
      </c>
      <c r="AR397" s="23">
        <f t="shared" si="277"/>
        <v>0</v>
      </c>
      <c r="AS397" s="23">
        <f t="shared" si="278"/>
        <v>6791.563144904886</v>
      </c>
      <c r="AT397" s="23">
        <f t="shared" si="279"/>
        <v>8795.4624351503753</v>
      </c>
      <c r="AU397" s="23">
        <f t="shared" si="280"/>
        <v>10371.682519781289</v>
      </c>
      <c r="AW397" s="25"/>
      <c r="AX397" s="25"/>
      <c r="AY397" s="25"/>
      <c r="AZ397" s="25"/>
      <c r="BA397" s="25"/>
      <c r="BB397" s="25"/>
      <c r="BC397" s="25"/>
      <c r="BD397" s="25">
        <f t="shared" si="284"/>
        <v>25958.708099836549</v>
      </c>
      <c r="BE397" s="25">
        <f t="shared" si="285"/>
        <v>19167.144954931664</v>
      </c>
      <c r="BF397" s="25">
        <f t="shared" si="286"/>
        <v>10371.682519781289</v>
      </c>
      <c r="BG397" s="25">
        <f t="shared" si="287"/>
        <v>0</v>
      </c>
      <c r="BI397" s="25"/>
      <c r="BJ397" s="25"/>
      <c r="BK397" s="25"/>
      <c r="BL397" s="25"/>
      <c r="BM397" s="25"/>
      <c r="BN397" s="25"/>
      <c r="BO397" s="25"/>
      <c r="BP397" s="25">
        <f t="shared" si="263"/>
        <v>25958.708099836549</v>
      </c>
      <c r="BQ397" s="25">
        <f t="shared" si="264"/>
        <v>19167.144954931664</v>
      </c>
      <c r="BR397" s="25">
        <f t="shared" si="265"/>
        <v>10371.682519781289</v>
      </c>
      <c r="BS397" s="25">
        <f t="shared" si="266"/>
        <v>0</v>
      </c>
    </row>
    <row r="398" spans="1:71" x14ac:dyDescent="0.2">
      <c r="A398" s="29">
        <f t="shared" si="288"/>
        <v>3.8999999999999608</v>
      </c>
      <c r="B398" s="30">
        <v>5.6669645347234392E-2</v>
      </c>
      <c r="C398" s="30">
        <v>5.8888228508581331E-2</v>
      </c>
      <c r="D398" s="30">
        <v>6.1480059418202511E-2</v>
      </c>
      <c r="E398" s="30">
        <v>6.4422298215161045E-2</v>
      </c>
      <c r="F398" s="30">
        <v>6.7670917524084342E-2</v>
      </c>
      <c r="G398" s="30">
        <v>7.117810174472472E-2</v>
      </c>
      <c r="H398" s="30">
        <v>7.4900226992307833E-2</v>
      </c>
      <c r="I398" s="30">
        <v>7.8799042520119211E-2</v>
      </c>
      <c r="J398" s="30">
        <v>8.2840563970135797E-2</v>
      </c>
      <c r="K398" s="30">
        <v>8.699381271476142E-2</v>
      </c>
      <c r="L398" s="30">
        <v>9.1229986036913832E-2</v>
      </c>
      <c r="N398" s="1"/>
      <c r="O398" s="1"/>
      <c r="P398" s="1"/>
      <c r="Q398" s="1"/>
      <c r="R398" s="1"/>
      <c r="S398" s="1"/>
      <c r="T398" s="1"/>
      <c r="U398" s="66">
        <f t="shared" si="270"/>
        <v>0.96136654603696003</v>
      </c>
      <c r="V398" s="62">
        <f t="shared" si="268"/>
        <v>0.95942581581450737</v>
      </c>
      <c r="W398" s="68">
        <f t="shared" si="269"/>
        <v>0.91668276739336108</v>
      </c>
      <c r="Y398" s="24"/>
      <c r="Z398" s="24"/>
      <c r="AA398" s="24"/>
      <c r="AB398" s="24"/>
      <c r="AC398" s="24"/>
      <c r="AD398" s="24"/>
      <c r="AE398" s="24"/>
      <c r="AF398" s="24">
        <f t="shared" si="281"/>
        <v>8.2840563970135797E-2</v>
      </c>
      <c r="AG398" s="24">
        <f t="shared" si="282"/>
        <v>8.699381271476142E-2</v>
      </c>
      <c r="AH398" s="24">
        <f t="shared" si="283"/>
        <v>9.1229986036913832E-2</v>
      </c>
      <c r="AL398" s="23">
        <f t="shared" si="271"/>
        <v>0</v>
      </c>
      <c r="AM398" s="23">
        <f t="shared" si="272"/>
        <v>0</v>
      </c>
      <c r="AN398" s="23">
        <f t="shared" si="273"/>
        <v>0</v>
      </c>
      <c r="AO398" s="23">
        <f t="shared" si="274"/>
        <v>0</v>
      </c>
      <c r="AP398" s="23">
        <f t="shared" si="275"/>
        <v>0</v>
      </c>
      <c r="AQ398" s="23">
        <f t="shared" si="276"/>
        <v>0</v>
      </c>
      <c r="AR398" s="23">
        <f t="shared" si="277"/>
        <v>0</v>
      </c>
      <c r="AS398" s="23">
        <f t="shared" si="278"/>
        <v>7276.6775782756795</v>
      </c>
      <c r="AT398" s="23">
        <f t="shared" si="279"/>
        <v>9254.3550336225035</v>
      </c>
      <c r="AU398" s="23">
        <f t="shared" si="280"/>
        <v>10783.680998264897</v>
      </c>
      <c r="AW398" s="25"/>
      <c r="AX398" s="25"/>
      <c r="AY398" s="25"/>
      <c r="AZ398" s="25"/>
      <c r="BA398" s="25"/>
      <c r="BB398" s="25"/>
      <c r="BC398" s="25"/>
      <c r="BD398" s="25">
        <f t="shared" si="284"/>
        <v>27314.713610163082</v>
      </c>
      <c r="BE398" s="25">
        <f t="shared" si="285"/>
        <v>20038.036031887401</v>
      </c>
      <c r="BF398" s="25">
        <f t="shared" si="286"/>
        <v>10783.680998264897</v>
      </c>
      <c r="BG398" s="25">
        <f t="shared" si="287"/>
        <v>0</v>
      </c>
      <c r="BI398" s="25"/>
      <c r="BJ398" s="25"/>
      <c r="BK398" s="25"/>
      <c r="BL398" s="25"/>
      <c r="BM398" s="25"/>
      <c r="BN398" s="25"/>
      <c r="BO398" s="25"/>
      <c r="BP398" s="25">
        <f t="shared" si="263"/>
        <v>27314.713610163082</v>
      </c>
      <c r="BQ398" s="25">
        <f t="shared" si="264"/>
        <v>20038.036031887401</v>
      </c>
      <c r="BR398" s="25">
        <f t="shared" si="265"/>
        <v>10783.680998264897</v>
      </c>
      <c r="BS398" s="25">
        <f t="shared" si="266"/>
        <v>0</v>
      </c>
    </row>
    <row r="399" spans="1:71" x14ac:dyDescent="0.2">
      <c r="A399" s="29">
        <f t="shared" si="288"/>
        <v>3.9099999999999606</v>
      </c>
      <c r="B399" s="30">
        <v>5.5750242215567687E-2</v>
      </c>
      <c r="C399" s="30">
        <v>5.7896115178474539E-2</v>
      </c>
      <c r="D399" s="30">
        <v>6.0426906403929274E-2</v>
      </c>
      <c r="E399" s="30">
        <v>6.3318825415048352E-2</v>
      </c>
      <c r="F399" s="30">
        <v>6.6527239378241204E-2</v>
      </c>
      <c r="G399" s="30">
        <v>7.0003884507660055E-2</v>
      </c>
      <c r="H399" s="30">
        <v>7.3704710486847333E-2</v>
      </c>
      <c r="I399" s="30">
        <v>7.7591016531552412E-2</v>
      </c>
      <c r="J399" s="30">
        <v>8.1628341920104416E-2</v>
      </c>
      <c r="K399" s="30">
        <v>8.5785214266317841E-2</v>
      </c>
      <c r="L399" s="30">
        <v>9.0032328480699406E-2</v>
      </c>
      <c r="N399" s="1"/>
      <c r="O399" s="1"/>
      <c r="P399" s="1"/>
      <c r="Q399" s="1"/>
      <c r="R399" s="1"/>
      <c r="S399" s="1"/>
      <c r="T399" s="1"/>
      <c r="U399" s="66">
        <f t="shared" si="270"/>
        <v>0.9619473993268437</v>
      </c>
      <c r="V399" s="62">
        <f t="shared" si="268"/>
        <v>0.96000751064717471</v>
      </c>
      <c r="W399" s="68">
        <f t="shared" si="269"/>
        <v>0.91779133853748829</v>
      </c>
      <c r="Y399" s="24"/>
      <c r="Z399" s="24"/>
      <c r="AA399" s="24"/>
      <c r="AB399" s="24"/>
      <c r="AC399" s="24"/>
      <c r="AD399" s="24"/>
      <c r="AE399" s="24"/>
      <c r="AF399" s="24">
        <f t="shared" si="281"/>
        <v>8.1628341920104416E-2</v>
      </c>
      <c r="AG399" s="24">
        <f t="shared" si="282"/>
        <v>8.5785214266317841E-2</v>
      </c>
      <c r="AH399" s="24">
        <f t="shared" si="283"/>
        <v>9.0032328480699406E-2</v>
      </c>
      <c r="AL399" s="23">
        <f t="shared" si="271"/>
        <v>0</v>
      </c>
      <c r="AM399" s="23">
        <f t="shared" si="272"/>
        <v>0</v>
      </c>
      <c r="AN399" s="23">
        <f t="shared" si="273"/>
        <v>0</v>
      </c>
      <c r="AO399" s="23">
        <f t="shared" si="274"/>
        <v>0</v>
      </c>
      <c r="AP399" s="23">
        <f t="shared" si="275"/>
        <v>0</v>
      </c>
      <c r="AQ399" s="23">
        <f t="shared" si="276"/>
        <v>0</v>
      </c>
      <c r="AR399" s="23">
        <f t="shared" si="277"/>
        <v>0</v>
      </c>
      <c r="AS399" s="23">
        <f t="shared" si="278"/>
        <v>6698.0271895196056</v>
      </c>
      <c r="AT399" s="23">
        <f t="shared" si="279"/>
        <v>8679.8341065389686</v>
      </c>
      <c r="AU399" s="23">
        <f t="shared" si="280"/>
        <v>10247.122151664489</v>
      </c>
      <c r="AW399" s="25"/>
      <c r="AX399" s="25"/>
      <c r="AY399" s="25"/>
      <c r="AZ399" s="25"/>
      <c r="BA399" s="25"/>
      <c r="BB399" s="25"/>
      <c r="BC399" s="25"/>
      <c r="BD399" s="25">
        <f t="shared" si="284"/>
        <v>25624.983447723062</v>
      </c>
      <c r="BE399" s="25">
        <f t="shared" si="285"/>
        <v>18926.956258203456</v>
      </c>
      <c r="BF399" s="25">
        <f t="shared" si="286"/>
        <v>10247.122151664489</v>
      </c>
      <c r="BG399" s="25">
        <f t="shared" si="287"/>
        <v>0</v>
      </c>
      <c r="BI399" s="25"/>
      <c r="BJ399" s="25"/>
      <c r="BK399" s="25"/>
      <c r="BL399" s="25"/>
      <c r="BM399" s="25"/>
      <c r="BN399" s="25"/>
      <c r="BO399" s="25"/>
      <c r="BP399" s="25">
        <f t="shared" si="263"/>
        <v>25624.983447723062</v>
      </c>
      <c r="BQ399" s="25">
        <f t="shared" si="264"/>
        <v>18926.956258203456</v>
      </c>
      <c r="BR399" s="25">
        <f t="shared" si="265"/>
        <v>10247.122151664489</v>
      </c>
      <c r="BS399" s="25">
        <f t="shared" si="266"/>
        <v>0</v>
      </c>
    </row>
    <row r="400" spans="1:71" x14ac:dyDescent="0.2">
      <c r="A400" s="29">
        <f t="shared" si="288"/>
        <v>3.9199999999999604</v>
      </c>
      <c r="B400" s="30">
        <v>5.5261683009224113E-2</v>
      </c>
      <c r="C400" s="30">
        <v>5.7506154088736147E-2</v>
      </c>
      <c r="D400" s="30">
        <v>6.0124741631158038E-2</v>
      </c>
      <c r="E400" s="30">
        <v>6.3093663896091057E-2</v>
      </c>
      <c r="F400" s="30">
        <v>6.6368638186455858E-2</v>
      </c>
      <c r="G400" s="30">
        <v>6.9901905415159796E-2</v>
      </c>
      <c r="H400" s="30">
        <v>7.3649940811221851E-2</v>
      </c>
      <c r="I400" s="30">
        <v>7.757454547560988E-2</v>
      </c>
      <c r="J400" s="30">
        <v>8.1641734424383244E-2</v>
      </c>
      <c r="K400" s="30">
        <v>8.5820493789767485E-2</v>
      </c>
      <c r="L400" s="30">
        <v>9.008196850156798E-2</v>
      </c>
      <c r="N400" s="1"/>
      <c r="O400" s="1"/>
      <c r="P400" s="1"/>
      <c r="Q400" s="1"/>
      <c r="R400" s="1"/>
      <c r="S400" s="1"/>
      <c r="T400" s="1"/>
      <c r="U400" s="66">
        <f t="shared" si="270"/>
        <v>0.96195532150417928</v>
      </c>
      <c r="V400" s="62">
        <f t="shared" si="268"/>
        <v>0.96000108221635094</v>
      </c>
      <c r="W400" s="68">
        <f t="shared" si="269"/>
        <v>0.91775895986759382</v>
      </c>
      <c r="Y400" s="24"/>
      <c r="Z400" s="24"/>
      <c r="AA400" s="24"/>
      <c r="AB400" s="24"/>
      <c r="AC400" s="24"/>
      <c r="AD400" s="24"/>
      <c r="AE400" s="24"/>
      <c r="AF400" s="24">
        <f t="shared" si="281"/>
        <v>8.1641734424383244E-2</v>
      </c>
      <c r="AG400" s="24">
        <f t="shared" si="282"/>
        <v>8.5820493789767485E-2</v>
      </c>
      <c r="AH400" s="24">
        <f t="shared" si="283"/>
        <v>9.008196850156798E-2</v>
      </c>
      <c r="AL400" s="23">
        <f t="shared" si="271"/>
        <v>0</v>
      </c>
      <c r="AM400" s="23">
        <f t="shared" si="272"/>
        <v>0</v>
      </c>
      <c r="AN400" s="23">
        <f t="shared" si="273"/>
        <v>0</v>
      </c>
      <c r="AO400" s="23">
        <f t="shared" si="274"/>
        <v>0</v>
      </c>
      <c r="AP400" s="23">
        <f t="shared" si="275"/>
        <v>0</v>
      </c>
      <c r="AQ400" s="23">
        <f t="shared" si="276"/>
        <v>0</v>
      </c>
      <c r="AR400" s="23">
        <f t="shared" si="277"/>
        <v>0</v>
      </c>
      <c r="AS400" s="23">
        <f t="shared" si="278"/>
        <v>6704.5238469166643</v>
      </c>
      <c r="AT400" s="23">
        <f t="shared" si="279"/>
        <v>8696.7101747217312</v>
      </c>
      <c r="AU400" s="23">
        <f t="shared" si="280"/>
        <v>10269.53943141526</v>
      </c>
      <c r="AW400" s="25"/>
      <c r="AX400" s="25"/>
      <c r="AY400" s="25"/>
      <c r="AZ400" s="25"/>
      <c r="BA400" s="25"/>
      <c r="BB400" s="25"/>
      <c r="BC400" s="25"/>
      <c r="BD400" s="25">
        <f t="shared" si="284"/>
        <v>25670.773453053655</v>
      </c>
      <c r="BE400" s="25">
        <f t="shared" si="285"/>
        <v>18966.249606136989</v>
      </c>
      <c r="BF400" s="25">
        <f t="shared" si="286"/>
        <v>10269.53943141526</v>
      </c>
      <c r="BG400" s="25">
        <f t="shared" si="287"/>
        <v>0</v>
      </c>
      <c r="BI400" s="25"/>
      <c r="BJ400" s="25"/>
      <c r="BK400" s="25"/>
      <c r="BL400" s="25"/>
      <c r="BM400" s="25"/>
      <c r="BN400" s="25"/>
      <c r="BO400" s="25"/>
      <c r="BP400" s="25">
        <f t="shared" si="263"/>
        <v>25670.773453053655</v>
      </c>
      <c r="BQ400" s="25">
        <f t="shared" si="264"/>
        <v>18966.249606136989</v>
      </c>
      <c r="BR400" s="25">
        <f t="shared" si="265"/>
        <v>10269.53943141526</v>
      </c>
      <c r="BS400" s="25">
        <f t="shared" si="266"/>
        <v>0</v>
      </c>
    </row>
    <row r="401" spans="1:71" x14ac:dyDescent="0.2">
      <c r="A401" s="29">
        <f t="shared" si="288"/>
        <v>3.9299999999999602</v>
      </c>
      <c r="B401" s="30">
        <v>5.5236696198255331E-2</v>
      </c>
      <c r="C401" s="30">
        <v>5.7548863984007291E-2</v>
      </c>
      <c r="D401" s="30">
        <v>6.0230243137954671E-2</v>
      </c>
      <c r="E401" s="30">
        <v>6.3256792649734161E-2</v>
      </c>
      <c r="F401" s="30">
        <v>6.6584308215572569E-2</v>
      </c>
      <c r="G401" s="30">
        <v>7.0165261029616927E-2</v>
      </c>
      <c r="H401" s="30">
        <v>7.3956376558707695E-2</v>
      </c>
      <c r="I401" s="30">
        <v>7.7919682431631498E-2</v>
      </c>
      <c r="J401" s="30">
        <v>8.2021394223341648E-2</v>
      </c>
      <c r="K401" s="30">
        <v>8.6230681580042573E-2</v>
      </c>
      <c r="L401" s="30">
        <v>9.0518864559971934E-2</v>
      </c>
      <c r="N401" s="1"/>
      <c r="O401" s="1"/>
      <c r="P401" s="1"/>
      <c r="Q401" s="1"/>
      <c r="R401" s="1"/>
      <c r="S401" s="1"/>
      <c r="T401" s="1"/>
      <c r="U401" s="66">
        <f t="shared" si="270"/>
        <v>0.96178933266106592</v>
      </c>
      <c r="V401" s="62">
        <f t="shared" si="268"/>
        <v>0.95981886260332649</v>
      </c>
      <c r="W401" s="68">
        <f t="shared" si="269"/>
        <v>0.91738258354560376</v>
      </c>
      <c r="Y401" s="24"/>
      <c r="Z401" s="24"/>
      <c r="AA401" s="24"/>
      <c r="AB401" s="24"/>
      <c r="AC401" s="24"/>
      <c r="AD401" s="24"/>
      <c r="AE401" s="24"/>
      <c r="AF401" s="24">
        <f t="shared" si="281"/>
        <v>8.2021394223341648E-2</v>
      </c>
      <c r="AG401" s="24">
        <f t="shared" si="282"/>
        <v>8.6230681580042573E-2</v>
      </c>
      <c r="AH401" s="24">
        <f t="shared" si="283"/>
        <v>9.0518864559971934E-2</v>
      </c>
      <c r="AL401" s="23">
        <f t="shared" si="271"/>
        <v>0</v>
      </c>
      <c r="AM401" s="23">
        <f t="shared" si="272"/>
        <v>0</v>
      </c>
      <c r="AN401" s="23">
        <f t="shared" si="273"/>
        <v>0</v>
      </c>
      <c r="AO401" s="23">
        <f t="shared" si="274"/>
        <v>0</v>
      </c>
      <c r="AP401" s="23">
        <f t="shared" si="275"/>
        <v>0</v>
      </c>
      <c r="AQ401" s="23">
        <f t="shared" si="276"/>
        <v>0</v>
      </c>
      <c r="AR401" s="23">
        <f t="shared" si="277"/>
        <v>0</v>
      </c>
      <c r="AS401" s="23">
        <f t="shared" si="278"/>
        <v>6885.9433296040479</v>
      </c>
      <c r="AT401" s="23">
        <f t="shared" si="279"/>
        <v>8891.9124249460292</v>
      </c>
      <c r="AU401" s="23">
        <f t="shared" si="280"/>
        <v>10465.728272956048</v>
      </c>
      <c r="AW401" s="25"/>
      <c r="AX401" s="25"/>
      <c r="AY401" s="25"/>
      <c r="AZ401" s="25"/>
      <c r="BA401" s="25"/>
      <c r="BB401" s="25"/>
      <c r="BC401" s="25"/>
      <c r="BD401" s="25">
        <f t="shared" si="284"/>
        <v>26243.584027506127</v>
      </c>
      <c r="BE401" s="25">
        <f t="shared" si="285"/>
        <v>19357.640697902076</v>
      </c>
      <c r="BF401" s="25">
        <f t="shared" si="286"/>
        <v>10465.728272956048</v>
      </c>
      <c r="BG401" s="25">
        <f t="shared" si="287"/>
        <v>0</v>
      </c>
      <c r="BI401" s="25"/>
      <c r="BJ401" s="25"/>
      <c r="BK401" s="25"/>
      <c r="BL401" s="25"/>
      <c r="BM401" s="25"/>
      <c r="BN401" s="25"/>
      <c r="BO401" s="25"/>
      <c r="BP401" s="25">
        <f t="shared" si="263"/>
        <v>26243.584027506127</v>
      </c>
      <c r="BQ401" s="25">
        <f t="shared" si="264"/>
        <v>19357.640697902076</v>
      </c>
      <c r="BR401" s="25">
        <f t="shared" si="265"/>
        <v>10465.728272956048</v>
      </c>
      <c r="BS401" s="25">
        <f t="shared" si="266"/>
        <v>0</v>
      </c>
    </row>
    <row r="402" spans="1:71" x14ac:dyDescent="0.2">
      <c r="A402" s="29">
        <f t="shared" si="288"/>
        <v>3.93999999999996</v>
      </c>
      <c r="B402" s="30">
        <v>5.567566467115509E-2</v>
      </c>
      <c r="C402" s="30">
        <v>5.790067818666924E-2</v>
      </c>
      <c r="D402" s="30">
        <v>6.0504288851774057E-2</v>
      </c>
      <c r="E402" s="30">
        <v>6.3461676228157654E-2</v>
      </c>
      <c r="F402" s="30">
        <v>6.6728190531862297E-2</v>
      </c>
      <c r="G402" s="30">
        <v>7.0256006726156894E-2</v>
      </c>
      <c r="H402" s="30">
        <v>7.4001573130253948E-2</v>
      </c>
      <c r="I402" s="30">
        <v>7.7926616470130952E-2</v>
      </c>
      <c r="J402" s="30">
        <v>8.1997025627487438E-2</v>
      </c>
      <c r="K402" s="30">
        <v>8.6181626683546439E-2</v>
      </c>
      <c r="L402" s="30">
        <v>9.0451387858446031E-2</v>
      </c>
      <c r="N402" s="1"/>
      <c r="O402" s="1"/>
      <c r="P402" s="1"/>
      <c r="Q402" s="1"/>
      <c r="R402" s="1"/>
      <c r="S402" s="1"/>
      <c r="T402" s="1"/>
      <c r="U402" s="66">
        <f t="shared" si="270"/>
        <v>0.96178599812471577</v>
      </c>
      <c r="V402" s="62">
        <f t="shared" si="268"/>
        <v>0.95983055739355083</v>
      </c>
      <c r="W402" s="68">
        <f t="shared" si="269"/>
        <v>0.9174275867570918</v>
      </c>
      <c r="Y402" s="24"/>
      <c r="Z402" s="24"/>
      <c r="AA402" s="24"/>
      <c r="AB402" s="24"/>
      <c r="AC402" s="24"/>
      <c r="AD402" s="24"/>
      <c r="AE402" s="24"/>
      <c r="AF402" s="24">
        <f t="shared" si="281"/>
        <v>8.1997025627487438E-2</v>
      </c>
      <c r="AG402" s="24">
        <f t="shared" si="282"/>
        <v>8.6181626683546439E-2</v>
      </c>
      <c r="AH402" s="24">
        <f t="shared" si="283"/>
        <v>9.0451387858446031E-2</v>
      </c>
      <c r="AL402" s="23">
        <f t="shared" si="271"/>
        <v>0</v>
      </c>
      <c r="AM402" s="23">
        <f t="shared" si="272"/>
        <v>0</v>
      </c>
      <c r="AN402" s="23">
        <f t="shared" si="273"/>
        <v>0</v>
      </c>
      <c r="AO402" s="23">
        <f t="shared" si="274"/>
        <v>0</v>
      </c>
      <c r="AP402" s="23">
        <f t="shared" si="275"/>
        <v>0</v>
      </c>
      <c r="AQ402" s="23">
        <f t="shared" si="276"/>
        <v>0</v>
      </c>
      <c r="AR402" s="23">
        <f t="shared" si="277"/>
        <v>0</v>
      </c>
      <c r="AS402" s="23">
        <f t="shared" si="278"/>
        <v>6874.2007688040867</v>
      </c>
      <c r="AT402" s="23">
        <f t="shared" si="279"/>
        <v>8868.478572992808</v>
      </c>
      <c r="AU402" s="23">
        <f t="shared" si="280"/>
        <v>10435.289187044096</v>
      </c>
      <c r="AW402" s="25"/>
      <c r="AX402" s="25"/>
      <c r="AY402" s="25"/>
      <c r="AZ402" s="25"/>
      <c r="BA402" s="25"/>
      <c r="BB402" s="25"/>
      <c r="BC402" s="25"/>
      <c r="BD402" s="25">
        <f t="shared" si="284"/>
        <v>26177.968528840989</v>
      </c>
      <c r="BE402" s="25">
        <f t="shared" si="285"/>
        <v>19303.767760036906</v>
      </c>
      <c r="BF402" s="25">
        <f t="shared" si="286"/>
        <v>10435.289187044096</v>
      </c>
      <c r="BG402" s="25">
        <f t="shared" si="287"/>
        <v>0</v>
      </c>
      <c r="BI402" s="25"/>
      <c r="BJ402" s="25"/>
      <c r="BK402" s="25"/>
      <c r="BL402" s="25"/>
      <c r="BM402" s="25"/>
      <c r="BN402" s="25"/>
      <c r="BO402" s="25"/>
      <c r="BP402" s="25">
        <f t="shared" si="263"/>
        <v>26177.968528840989</v>
      </c>
      <c r="BQ402" s="25">
        <f t="shared" si="264"/>
        <v>19303.767760036906</v>
      </c>
      <c r="BR402" s="25">
        <f t="shared" si="265"/>
        <v>10435.289187044096</v>
      </c>
      <c r="BS402" s="25">
        <f t="shared" si="266"/>
        <v>0</v>
      </c>
    </row>
    <row r="403" spans="1:71" x14ac:dyDescent="0.2">
      <c r="A403" s="29">
        <f t="shared" si="288"/>
        <v>3.9499999999999598</v>
      </c>
      <c r="B403" s="30">
        <v>5.7314912926226876E-2</v>
      </c>
      <c r="C403" s="30">
        <v>5.9484884915907706E-2</v>
      </c>
      <c r="D403" s="30">
        <v>6.2028605270037035E-2</v>
      </c>
      <c r="E403" s="30">
        <v>6.4921216534132603E-2</v>
      </c>
      <c r="F403" s="30">
        <v>6.8118362161861137E-2</v>
      </c>
      <c r="G403" s="30">
        <v>7.1572657000101389E-2</v>
      </c>
      <c r="H403" s="30">
        <v>7.5241007478157124E-2</v>
      </c>
      <c r="I403" s="30">
        <v>7.908557463621077E-2</v>
      </c>
      <c r="J403" s="30">
        <v>8.3072656058096439E-2</v>
      </c>
      <c r="K403" s="30">
        <v>8.7171469827416276E-2</v>
      </c>
      <c r="L403" s="30">
        <v>9.135336800486682E-2</v>
      </c>
      <c r="N403" s="1"/>
      <c r="O403" s="1"/>
      <c r="P403" s="1"/>
      <c r="Q403" s="1"/>
      <c r="R403" s="1"/>
      <c r="S403" s="1"/>
      <c r="T403" s="1"/>
      <c r="U403" s="66">
        <f t="shared" si="270"/>
        <v>0.96122882470720383</v>
      </c>
      <c r="V403" s="62">
        <f t="shared" si="268"/>
        <v>0.95931448470398195</v>
      </c>
      <c r="W403" s="68">
        <f t="shared" si="269"/>
        <v>0.91651992664502235</v>
      </c>
      <c r="Y403" s="24"/>
      <c r="Z403" s="24"/>
      <c r="AA403" s="24"/>
      <c r="AB403" s="24"/>
      <c r="AC403" s="24"/>
      <c r="AD403" s="24"/>
      <c r="AE403" s="24"/>
      <c r="AF403" s="24">
        <f t="shared" si="281"/>
        <v>8.3072656058096439E-2</v>
      </c>
      <c r="AG403" s="24">
        <f t="shared" si="282"/>
        <v>8.7171469827416276E-2</v>
      </c>
      <c r="AH403" s="24">
        <f t="shared" si="283"/>
        <v>9.135336800486682E-2</v>
      </c>
      <c r="AL403" s="23">
        <f t="shared" si="271"/>
        <v>0</v>
      </c>
      <c r="AM403" s="23">
        <f t="shared" si="272"/>
        <v>0</v>
      </c>
      <c r="AN403" s="23">
        <f t="shared" si="273"/>
        <v>0</v>
      </c>
      <c r="AO403" s="23">
        <f t="shared" si="274"/>
        <v>0</v>
      </c>
      <c r="AP403" s="23">
        <f t="shared" si="275"/>
        <v>0</v>
      </c>
      <c r="AQ403" s="23">
        <f t="shared" si="276"/>
        <v>0</v>
      </c>
      <c r="AR403" s="23">
        <f t="shared" si="277"/>
        <v>0</v>
      </c>
      <c r="AS403" s="23">
        <f t="shared" si="278"/>
        <v>7387.1819545044264</v>
      </c>
      <c r="AT403" s="23">
        <f t="shared" si="279"/>
        <v>9338.4956853818367</v>
      </c>
      <c r="AU403" s="23">
        <f t="shared" si="280"/>
        <v>10838.30638691121</v>
      </c>
      <c r="AW403" s="25"/>
      <c r="AX403" s="25"/>
      <c r="AY403" s="25"/>
      <c r="AZ403" s="25"/>
      <c r="BA403" s="25"/>
      <c r="BB403" s="25"/>
      <c r="BC403" s="25"/>
      <c r="BD403" s="25">
        <f t="shared" si="284"/>
        <v>27563.984026797472</v>
      </c>
      <c r="BE403" s="25">
        <f t="shared" si="285"/>
        <v>20176.802072293045</v>
      </c>
      <c r="BF403" s="25">
        <f t="shared" si="286"/>
        <v>10838.30638691121</v>
      </c>
      <c r="BG403" s="25">
        <f t="shared" si="287"/>
        <v>0</v>
      </c>
      <c r="BI403" s="25"/>
      <c r="BJ403" s="25"/>
      <c r="BK403" s="25"/>
      <c r="BL403" s="25"/>
      <c r="BM403" s="25"/>
      <c r="BN403" s="25"/>
      <c r="BO403" s="25"/>
      <c r="BP403" s="25">
        <f t="shared" si="263"/>
        <v>27563.984026797472</v>
      </c>
      <c r="BQ403" s="25">
        <f t="shared" si="264"/>
        <v>20176.802072293045</v>
      </c>
      <c r="BR403" s="25">
        <f t="shared" si="265"/>
        <v>10838.30638691121</v>
      </c>
      <c r="BS403" s="25">
        <f t="shared" si="266"/>
        <v>0</v>
      </c>
    </row>
    <row r="404" spans="1:71" x14ac:dyDescent="0.2">
      <c r="A404" s="29">
        <f t="shared" si="288"/>
        <v>3.9599999999999596</v>
      </c>
      <c r="B404" s="30">
        <v>5.6082199876503945E-2</v>
      </c>
      <c r="C404" s="30">
        <v>5.8296089790384135E-2</v>
      </c>
      <c r="D404" s="30">
        <v>6.0885950260576402E-2</v>
      </c>
      <c r="E404" s="30">
        <v>6.3826328094972962E-2</v>
      </c>
      <c r="F404" s="30">
        <v>6.7072597591253641E-2</v>
      </c>
      <c r="G404" s="30">
        <v>7.0577248517905547E-2</v>
      </c>
      <c r="H404" s="30">
        <v>7.4297079611874983E-2</v>
      </c>
      <c r="I404" s="30">
        <v>7.8194120388776794E-2</v>
      </c>
      <c r="J404" s="30">
        <v>8.2234511474053501E-2</v>
      </c>
      <c r="K404" s="30">
        <v>8.6387297463918891E-2</v>
      </c>
      <c r="L404" s="30">
        <v>9.0623648880032895E-2</v>
      </c>
      <c r="N404" s="1"/>
      <c r="O404" s="1"/>
      <c r="P404" s="1"/>
      <c r="Q404" s="1"/>
      <c r="R404" s="1"/>
      <c r="S404" s="1"/>
      <c r="T404" s="1"/>
      <c r="U404" s="66">
        <f t="shared" si="270"/>
        <v>0.96165736596561069</v>
      </c>
      <c r="V404" s="62">
        <f t="shared" si="268"/>
        <v>0.95971659107379037</v>
      </c>
      <c r="W404" s="68">
        <f t="shared" si="269"/>
        <v>0.91723891811186709</v>
      </c>
      <c r="Y404" s="24"/>
      <c r="Z404" s="24"/>
      <c r="AA404" s="24"/>
      <c r="AB404" s="24"/>
      <c r="AC404" s="24"/>
      <c r="AD404" s="24"/>
      <c r="AE404" s="24"/>
      <c r="AF404" s="24">
        <f t="shared" si="281"/>
        <v>8.2234511474053501E-2</v>
      </c>
      <c r="AG404" s="24">
        <f t="shared" si="282"/>
        <v>8.6387297463918891E-2</v>
      </c>
      <c r="AH404" s="24">
        <f t="shared" si="283"/>
        <v>9.0623648880032895E-2</v>
      </c>
      <c r="AL404" s="23">
        <f t="shared" si="271"/>
        <v>0</v>
      </c>
      <c r="AM404" s="23">
        <f t="shared" si="272"/>
        <v>0</v>
      </c>
      <c r="AN404" s="23">
        <f t="shared" si="273"/>
        <v>0</v>
      </c>
      <c r="AO404" s="23">
        <f t="shared" si="274"/>
        <v>0</v>
      </c>
      <c r="AP404" s="23">
        <f t="shared" si="275"/>
        <v>0</v>
      </c>
      <c r="AQ404" s="23">
        <f t="shared" si="276"/>
        <v>0</v>
      </c>
      <c r="AR404" s="23">
        <f t="shared" si="277"/>
        <v>0</v>
      </c>
      <c r="AS404" s="23">
        <f t="shared" si="278"/>
        <v>6987.4713992994602</v>
      </c>
      <c r="AT404" s="23">
        <f t="shared" si="279"/>
        <v>8966.1183965530217</v>
      </c>
      <c r="AU404" s="23">
        <f t="shared" si="280"/>
        <v>10512.145430203862</v>
      </c>
      <c r="AW404" s="25"/>
      <c r="AX404" s="25"/>
      <c r="AY404" s="25"/>
      <c r="AZ404" s="25"/>
      <c r="BA404" s="25"/>
      <c r="BB404" s="25"/>
      <c r="BC404" s="25"/>
      <c r="BD404" s="25">
        <f t="shared" si="284"/>
        <v>26465.735226056342</v>
      </c>
      <c r="BE404" s="25">
        <f t="shared" si="285"/>
        <v>19478.263826756884</v>
      </c>
      <c r="BF404" s="25">
        <f t="shared" si="286"/>
        <v>10512.145430203862</v>
      </c>
      <c r="BG404" s="25">
        <f t="shared" si="287"/>
        <v>0</v>
      </c>
      <c r="BI404" s="25"/>
      <c r="BJ404" s="25"/>
      <c r="BK404" s="25"/>
      <c r="BL404" s="25"/>
      <c r="BM404" s="25"/>
      <c r="BN404" s="25"/>
      <c r="BO404" s="25"/>
      <c r="BP404" s="25">
        <f t="shared" si="263"/>
        <v>26465.735226056342</v>
      </c>
      <c r="BQ404" s="25">
        <f t="shared" si="264"/>
        <v>19478.263826756884</v>
      </c>
      <c r="BR404" s="25">
        <f t="shared" si="265"/>
        <v>10512.145430203862</v>
      </c>
      <c r="BS404" s="25">
        <f t="shared" si="266"/>
        <v>0</v>
      </c>
    </row>
    <row r="405" spans="1:71" x14ac:dyDescent="0.2">
      <c r="A405" s="29">
        <f t="shared" si="288"/>
        <v>3.9699999999999593</v>
      </c>
      <c r="B405" s="30">
        <v>5.6398665767876048E-2</v>
      </c>
      <c r="C405" s="30">
        <v>5.8705269603814815E-2</v>
      </c>
      <c r="D405" s="30">
        <v>6.1371798096297815E-2</v>
      </c>
      <c r="E405" s="30">
        <v>6.4373140009499522E-2</v>
      </c>
      <c r="F405" s="30">
        <v>6.7665334528939816E-2</v>
      </c>
      <c r="G405" s="30">
        <v>7.1201677854709863E-2</v>
      </c>
      <c r="H405" s="30">
        <v>7.493979171702933E-2</v>
      </c>
      <c r="I405" s="30">
        <v>7.8842504760544024E-2</v>
      </c>
      <c r="J405" s="30">
        <v>8.287673148399996E-2</v>
      </c>
      <c r="K405" s="30">
        <v>8.7012273997464654E-2</v>
      </c>
      <c r="L405" s="30">
        <v>9.1221052393857097E-2</v>
      </c>
      <c r="N405" s="1"/>
      <c r="O405" s="1"/>
      <c r="P405" s="1"/>
      <c r="Q405" s="1"/>
      <c r="R405" s="1"/>
      <c r="S405" s="1"/>
      <c r="T405" s="1"/>
      <c r="U405" s="66">
        <f t="shared" si="270"/>
        <v>0.96134565469197686</v>
      </c>
      <c r="V405" s="62">
        <f t="shared" si="268"/>
        <v>0.95940846594813567</v>
      </c>
      <c r="W405" s="68">
        <f t="shared" si="269"/>
        <v>0.91666584440985344</v>
      </c>
      <c r="Y405" s="24"/>
      <c r="Z405" s="24"/>
      <c r="AA405" s="24"/>
      <c r="AB405" s="24"/>
      <c r="AC405" s="24"/>
      <c r="AD405" s="24"/>
      <c r="AE405" s="24"/>
      <c r="AF405" s="24">
        <f t="shared" si="281"/>
        <v>8.287673148399996E-2</v>
      </c>
      <c r="AG405" s="24">
        <f t="shared" si="282"/>
        <v>8.7012273997464654E-2</v>
      </c>
      <c r="AH405" s="24">
        <f t="shared" si="283"/>
        <v>9.1221052393857097E-2</v>
      </c>
      <c r="AL405" s="23">
        <f t="shared" si="271"/>
        <v>0</v>
      </c>
      <c r="AM405" s="23">
        <f t="shared" si="272"/>
        <v>0</v>
      </c>
      <c r="AN405" s="23">
        <f t="shared" si="273"/>
        <v>0</v>
      </c>
      <c r="AO405" s="23">
        <f t="shared" si="274"/>
        <v>0</v>
      </c>
      <c r="AP405" s="23">
        <f t="shared" si="275"/>
        <v>0</v>
      </c>
      <c r="AQ405" s="23">
        <f t="shared" si="276"/>
        <v>0</v>
      </c>
      <c r="AR405" s="23">
        <f t="shared" si="277"/>
        <v>0</v>
      </c>
      <c r="AS405" s="23">
        <f t="shared" si="278"/>
        <v>7293.9041907858036</v>
      </c>
      <c r="AT405" s="23">
        <f t="shared" si="279"/>
        <v>9263.0436370875668</v>
      </c>
      <c r="AU405" s="23">
        <f t="shared" si="280"/>
        <v>10779.387336790907</v>
      </c>
      <c r="AW405" s="25"/>
      <c r="AX405" s="25"/>
      <c r="AY405" s="25"/>
      <c r="AZ405" s="25"/>
      <c r="BA405" s="25"/>
      <c r="BB405" s="25"/>
      <c r="BC405" s="25"/>
      <c r="BD405" s="25">
        <f t="shared" si="284"/>
        <v>27336.335164664277</v>
      </c>
      <c r="BE405" s="25">
        <f t="shared" si="285"/>
        <v>20042.430973878472</v>
      </c>
      <c r="BF405" s="25">
        <f t="shared" si="286"/>
        <v>10779.387336790907</v>
      </c>
      <c r="BG405" s="25">
        <f t="shared" si="287"/>
        <v>0</v>
      </c>
      <c r="BI405" s="25"/>
      <c r="BJ405" s="25"/>
      <c r="BK405" s="25"/>
      <c r="BL405" s="25"/>
      <c r="BM405" s="25"/>
      <c r="BN405" s="25"/>
      <c r="BO405" s="25"/>
      <c r="BP405" s="25">
        <f t="shared" si="263"/>
        <v>27336.335164664277</v>
      </c>
      <c r="BQ405" s="25">
        <f t="shared" si="264"/>
        <v>20042.430973878472</v>
      </c>
      <c r="BR405" s="25">
        <f t="shared" si="265"/>
        <v>10779.387336790907</v>
      </c>
      <c r="BS405" s="25">
        <f t="shared" si="266"/>
        <v>0</v>
      </c>
    </row>
    <row r="406" spans="1:71" x14ac:dyDescent="0.2">
      <c r="A406" s="29">
        <f t="shared" si="288"/>
        <v>3.9799999999999591</v>
      </c>
      <c r="B406" s="30">
        <v>5.7523557878201396E-2</v>
      </c>
      <c r="C406" s="30">
        <v>5.9787093915101126E-2</v>
      </c>
      <c r="D406" s="30">
        <v>6.2413214246271713E-2</v>
      </c>
      <c r="E406" s="30">
        <v>6.5376350710683775E-2</v>
      </c>
      <c r="F406" s="30">
        <v>6.8632404872455269E-2</v>
      </c>
      <c r="G406" s="30">
        <v>7.2134674354397549E-2</v>
      </c>
      <c r="H406" s="30">
        <v>7.5840798062601508E-2</v>
      </c>
      <c r="I406" s="30">
        <v>7.9713597925512122E-2</v>
      </c>
      <c r="J406" s="30">
        <v>8.3719956647872643E-2</v>
      </c>
      <c r="K406" s="30">
        <v>8.782962835463512E-2</v>
      </c>
      <c r="L406" s="30">
        <v>9.2014477318949392E-2</v>
      </c>
      <c r="N406" s="1"/>
      <c r="O406" s="1"/>
      <c r="P406" s="1"/>
      <c r="Q406" s="1"/>
      <c r="R406" s="1"/>
      <c r="S406" s="1"/>
      <c r="T406" s="1"/>
      <c r="U406" s="66">
        <f t="shared" si="270"/>
        <v>0.96092703504828525</v>
      </c>
      <c r="V406" s="62">
        <f t="shared" si="268"/>
        <v>0.95900405252655974</v>
      </c>
      <c r="W406" s="68">
        <f t="shared" si="269"/>
        <v>0.91591690970207396</v>
      </c>
      <c r="Y406" s="24"/>
      <c r="Z406" s="24"/>
      <c r="AA406" s="24"/>
      <c r="AB406" s="24"/>
      <c r="AC406" s="24"/>
      <c r="AD406" s="24"/>
      <c r="AE406" s="24"/>
      <c r="AF406" s="24">
        <f t="shared" si="281"/>
        <v>8.3719956647872643E-2</v>
      </c>
      <c r="AG406" s="24">
        <f t="shared" si="282"/>
        <v>8.782962835463512E-2</v>
      </c>
      <c r="AH406" s="24">
        <f t="shared" si="283"/>
        <v>9.2014477318949392E-2</v>
      </c>
      <c r="AL406" s="23">
        <f t="shared" si="271"/>
        <v>0</v>
      </c>
      <c r="AM406" s="23">
        <f t="shared" si="272"/>
        <v>0</v>
      </c>
      <c r="AN406" s="23">
        <f t="shared" si="273"/>
        <v>0</v>
      </c>
      <c r="AO406" s="23">
        <f t="shared" si="274"/>
        <v>0</v>
      </c>
      <c r="AP406" s="23">
        <f t="shared" si="275"/>
        <v>0</v>
      </c>
      <c r="AQ406" s="23">
        <f t="shared" si="276"/>
        <v>0</v>
      </c>
      <c r="AR406" s="23">
        <f t="shared" si="277"/>
        <v>0</v>
      </c>
      <c r="AS406" s="23">
        <f t="shared" si="278"/>
        <v>7695.866975771075</v>
      </c>
      <c r="AT406" s="23">
        <f t="shared" si="279"/>
        <v>9651.0621149520211</v>
      </c>
      <c r="AU406" s="23">
        <f t="shared" si="280"/>
        <v>11133.936010020961</v>
      </c>
      <c r="AW406" s="25"/>
      <c r="AX406" s="25"/>
      <c r="AY406" s="25"/>
      <c r="AZ406" s="25"/>
      <c r="BA406" s="25"/>
      <c r="BB406" s="25"/>
      <c r="BC406" s="25"/>
      <c r="BD406" s="25">
        <f t="shared" si="284"/>
        <v>28480.865100744057</v>
      </c>
      <c r="BE406" s="25">
        <f t="shared" si="285"/>
        <v>20784.998124972983</v>
      </c>
      <c r="BF406" s="25">
        <f t="shared" si="286"/>
        <v>11133.936010020961</v>
      </c>
      <c r="BG406" s="25">
        <f t="shared" si="287"/>
        <v>0</v>
      </c>
      <c r="BI406" s="25"/>
      <c r="BJ406" s="25"/>
      <c r="BK406" s="25"/>
      <c r="BL406" s="25"/>
      <c r="BM406" s="25"/>
      <c r="BN406" s="25"/>
      <c r="BO406" s="25"/>
      <c r="BP406" s="25">
        <f t="shared" si="263"/>
        <v>28480.865100744057</v>
      </c>
      <c r="BQ406" s="25">
        <f t="shared" si="264"/>
        <v>20784.998124972983</v>
      </c>
      <c r="BR406" s="25">
        <f t="shared" si="265"/>
        <v>11133.936010020961</v>
      </c>
      <c r="BS406" s="25">
        <f t="shared" si="266"/>
        <v>0</v>
      </c>
    </row>
    <row r="407" spans="1:71" x14ac:dyDescent="0.2">
      <c r="A407" s="29">
        <f t="shared" si="288"/>
        <v>3.9899999999999589</v>
      </c>
      <c r="B407" s="30">
        <v>5.7037554055707297E-2</v>
      </c>
      <c r="C407" s="30">
        <v>5.9263539784624064E-2</v>
      </c>
      <c r="D407" s="30">
        <v>6.1859574304102362E-2</v>
      </c>
      <c r="E407" s="30">
        <v>6.4799361589263152E-2</v>
      </c>
      <c r="F407" s="30">
        <v>6.8038391038983043E-2</v>
      </c>
      <c r="G407" s="30">
        <v>7.1529684689134773E-2</v>
      </c>
      <c r="H407" s="30">
        <v>7.5230620819117175E-2</v>
      </c>
      <c r="I407" s="30">
        <v>7.9103736814896505E-2</v>
      </c>
      <c r="J407" s="30">
        <v>8.3115605938669151E-2</v>
      </c>
      <c r="K407" s="30">
        <v>8.7235656848856785E-2</v>
      </c>
      <c r="L407" s="30">
        <v>9.1435420624259453E-2</v>
      </c>
      <c r="N407" s="1"/>
      <c r="O407" s="1"/>
      <c r="P407" s="1"/>
      <c r="Q407" s="1"/>
      <c r="R407" s="1"/>
      <c r="S407" s="1"/>
      <c r="T407" s="1"/>
      <c r="U407" s="66">
        <f t="shared" si="270"/>
        <v>0.96122009574200207</v>
      </c>
      <c r="V407" s="62">
        <f t="shared" si="268"/>
        <v>0.95929388370391055</v>
      </c>
      <c r="W407" s="68">
        <f t="shared" si="269"/>
        <v>0.91646109984881874</v>
      </c>
      <c r="Y407" s="24"/>
      <c r="Z407" s="24"/>
      <c r="AA407" s="24"/>
      <c r="AB407" s="24"/>
      <c r="AC407" s="24"/>
      <c r="AD407" s="24"/>
      <c r="AE407" s="24"/>
      <c r="AF407" s="24">
        <f t="shared" si="281"/>
        <v>8.3115605938669151E-2</v>
      </c>
      <c r="AG407" s="24">
        <f t="shared" si="282"/>
        <v>8.7235656848856785E-2</v>
      </c>
      <c r="AH407" s="24">
        <f t="shared" si="283"/>
        <v>9.1435420624259453E-2</v>
      </c>
      <c r="AL407" s="23">
        <f t="shared" si="271"/>
        <v>0</v>
      </c>
      <c r="AM407" s="23">
        <f t="shared" si="272"/>
        <v>0</v>
      </c>
      <c r="AN407" s="23">
        <f t="shared" si="273"/>
        <v>0</v>
      </c>
      <c r="AO407" s="23">
        <f t="shared" si="274"/>
        <v>0</v>
      </c>
      <c r="AP407" s="23">
        <f t="shared" si="275"/>
        <v>0</v>
      </c>
      <c r="AQ407" s="23">
        <f t="shared" si="276"/>
        <v>0</v>
      </c>
      <c r="AR407" s="23">
        <f t="shared" si="277"/>
        <v>0</v>
      </c>
      <c r="AS407" s="23">
        <f t="shared" si="278"/>
        <v>7407.7570153078068</v>
      </c>
      <c r="AT407" s="23">
        <f t="shared" si="279"/>
        <v>9369.0822524384712</v>
      </c>
      <c r="AU407" s="23">
        <f t="shared" si="280"/>
        <v>10875.209747540091</v>
      </c>
      <c r="AW407" s="25"/>
      <c r="AX407" s="25"/>
      <c r="AY407" s="25"/>
      <c r="AZ407" s="25"/>
      <c r="BA407" s="25"/>
      <c r="BB407" s="25"/>
      <c r="BC407" s="25"/>
      <c r="BD407" s="25">
        <f t="shared" si="284"/>
        <v>27652.049015286368</v>
      </c>
      <c r="BE407" s="25">
        <f t="shared" si="285"/>
        <v>20244.291999978563</v>
      </c>
      <c r="BF407" s="25">
        <f t="shared" si="286"/>
        <v>10875.209747540091</v>
      </c>
      <c r="BG407" s="25">
        <f t="shared" si="287"/>
        <v>0</v>
      </c>
      <c r="BI407" s="25"/>
      <c r="BJ407" s="25"/>
      <c r="BK407" s="25"/>
      <c r="BL407" s="25"/>
      <c r="BM407" s="25"/>
      <c r="BN407" s="25"/>
      <c r="BO407" s="25"/>
      <c r="BP407" s="25">
        <f t="shared" si="263"/>
        <v>27652.049015286368</v>
      </c>
      <c r="BQ407" s="25">
        <f t="shared" si="264"/>
        <v>20244.291999978563</v>
      </c>
      <c r="BR407" s="25">
        <f t="shared" si="265"/>
        <v>10875.209747540091</v>
      </c>
      <c r="BS407" s="25">
        <f t="shared" si="266"/>
        <v>0</v>
      </c>
    </row>
    <row r="408" spans="1:71" x14ac:dyDescent="0.2">
      <c r="A408" s="29">
        <f t="shared" si="288"/>
        <v>3.9999999999999587</v>
      </c>
      <c r="B408" s="30">
        <v>5.6693087036034685E-2</v>
      </c>
      <c r="C408" s="30">
        <v>5.8977440195848635E-2</v>
      </c>
      <c r="D408" s="30">
        <v>6.1626644765891518E-2</v>
      </c>
      <c r="E408" s="30">
        <v>6.4614220688913579E-2</v>
      </c>
      <c r="F408" s="30">
        <v>6.7895785447622925E-2</v>
      </c>
      <c r="G408" s="30">
        <v>7.1424623307665344E-2</v>
      </c>
      <c r="H408" s="30">
        <v>7.5158388960938655E-2</v>
      </c>
      <c r="I408" s="30">
        <v>7.905987227043583E-2</v>
      </c>
      <c r="J408" s="30">
        <v>8.3095874252833463E-2</v>
      </c>
      <c r="K408" s="30">
        <v>8.7236035462973233E-2</v>
      </c>
      <c r="L408" s="30">
        <v>9.1452091253989592E-2</v>
      </c>
      <c r="N408" s="1"/>
      <c r="O408" s="1"/>
      <c r="P408" s="1"/>
      <c r="Q408" s="1"/>
      <c r="R408" s="1"/>
      <c r="S408" s="1"/>
      <c r="T408" s="1"/>
      <c r="U408" s="66">
        <f t="shared" si="270"/>
        <v>0.96124117771400208</v>
      </c>
      <c r="V408" s="62">
        <f t="shared" si="268"/>
        <v>0.9593033479933657</v>
      </c>
      <c r="W408" s="68">
        <f t="shared" si="269"/>
        <v>0.91646075286377482</v>
      </c>
      <c r="Y408" s="24"/>
      <c r="Z408" s="24"/>
      <c r="AA408" s="24"/>
      <c r="AB408" s="24"/>
      <c r="AC408" s="24"/>
      <c r="AD408" s="24"/>
      <c r="AE408" s="24"/>
      <c r="AF408" s="24">
        <f t="shared" si="281"/>
        <v>8.3095874252833463E-2</v>
      </c>
      <c r="AG408" s="24">
        <f t="shared" si="282"/>
        <v>8.7236035462973233E-2</v>
      </c>
      <c r="AH408" s="24">
        <f t="shared" si="283"/>
        <v>9.1452091253989592E-2</v>
      </c>
      <c r="AL408" s="23">
        <f t="shared" si="271"/>
        <v>0</v>
      </c>
      <c r="AM408" s="23">
        <f t="shared" si="272"/>
        <v>0</v>
      </c>
      <c r="AN408" s="23">
        <f t="shared" si="273"/>
        <v>0</v>
      </c>
      <c r="AO408" s="23">
        <f t="shared" si="274"/>
        <v>0</v>
      </c>
      <c r="AP408" s="23">
        <f t="shared" si="275"/>
        <v>0</v>
      </c>
      <c r="AQ408" s="23">
        <f t="shared" si="276"/>
        <v>0</v>
      </c>
      <c r="AR408" s="23">
        <f t="shared" si="277"/>
        <v>0</v>
      </c>
      <c r="AS408" s="23">
        <f t="shared" si="278"/>
        <v>7398.4360315674612</v>
      </c>
      <c r="AT408" s="23">
        <f t="shared" si="279"/>
        <v>9369.3562896829826</v>
      </c>
      <c r="AU408" s="23">
        <f t="shared" si="280"/>
        <v>10882.844618969539</v>
      </c>
      <c r="AW408" s="25"/>
      <c r="AX408" s="25"/>
      <c r="AY408" s="25"/>
      <c r="AZ408" s="25"/>
      <c r="BA408" s="25"/>
      <c r="BB408" s="25"/>
      <c r="BC408" s="25"/>
      <c r="BD408" s="25">
        <f t="shared" si="284"/>
        <v>27650.636940219982</v>
      </c>
      <c r="BE408" s="25">
        <f t="shared" si="285"/>
        <v>20252.200908652521</v>
      </c>
      <c r="BF408" s="25">
        <f t="shared" si="286"/>
        <v>10882.844618969539</v>
      </c>
      <c r="BG408" s="25">
        <f t="shared" si="287"/>
        <v>0</v>
      </c>
      <c r="BI408" s="25"/>
      <c r="BJ408" s="25"/>
      <c r="BK408" s="25"/>
      <c r="BL408" s="25"/>
      <c r="BM408" s="25"/>
      <c r="BN408" s="25"/>
      <c r="BO408" s="25"/>
      <c r="BP408" s="25">
        <f t="shared" si="263"/>
        <v>27650.636940219982</v>
      </c>
      <c r="BQ408" s="25">
        <f t="shared" si="264"/>
        <v>20252.200908652521</v>
      </c>
      <c r="BR408" s="25">
        <f t="shared" si="265"/>
        <v>10882.844618969539</v>
      </c>
      <c r="BS408" s="25">
        <f t="shared" si="266"/>
        <v>0</v>
      </c>
    </row>
    <row r="409" spans="1:71" x14ac:dyDescent="0.2">
      <c r="A409" s="29">
        <f t="shared" si="288"/>
        <v>4.0099999999999589</v>
      </c>
      <c r="B409" s="30">
        <v>5.7483065461323757E-2</v>
      </c>
      <c r="C409" s="30">
        <v>5.9731870909752606E-2</v>
      </c>
      <c r="D409" s="30">
        <v>6.2353317333790827E-2</v>
      </c>
      <c r="E409" s="30">
        <v>6.5320186871617711E-2</v>
      </c>
      <c r="F409" s="30">
        <v>6.8587667758167409E-2</v>
      </c>
      <c r="G409" s="30">
        <v>7.210874675798902E-2</v>
      </c>
      <c r="H409" s="30">
        <v>7.5840794482245594E-2</v>
      </c>
      <c r="I409" s="30">
        <v>7.9746292761981613E-2</v>
      </c>
      <c r="J409" s="30">
        <v>8.379171003666841E-2</v>
      </c>
      <c r="K409" s="30">
        <v>8.7946338590601664E-2</v>
      </c>
      <c r="L409" s="30">
        <v>9.2181557988923718E-2</v>
      </c>
      <c r="N409" s="1"/>
      <c r="O409" s="1"/>
      <c r="P409" s="1"/>
      <c r="Q409" s="1"/>
      <c r="R409" s="1"/>
      <c r="S409" s="1"/>
      <c r="T409" s="1"/>
      <c r="U409" s="1"/>
      <c r="V409" s="62">
        <f t="shared" si="268"/>
        <v>0.95896964724841849</v>
      </c>
      <c r="W409" s="68">
        <f>EXP(-K409*($W$7-$V$7))</f>
        <v>0.95697963356654259</v>
      </c>
      <c r="Y409" s="24"/>
      <c r="Z409" s="24"/>
      <c r="AA409" s="24"/>
      <c r="AB409" s="24"/>
      <c r="AC409" s="24"/>
      <c r="AD409" s="24"/>
      <c r="AE409" s="24"/>
      <c r="AF409" s="24"/>
      <c r="AG409" s="24">
        <f t="shared" si="282"/>
        <v>8.7946338590601664E-2</v>
      </c>
      <c r="AH409" s="24">
        <f t="shared" si="283"/>
        <v>9.2181557988923718E-2</v>
      </c>
      <c r="AL409" s="23">
        <f t="shared" si="271"/>
        <v>0</v>
      </c>
      <c r="AM409" s="23">
        <f t="shared" si="272"/>
        <v>0</v>
      </c>
      <c r="AN409" s="23">
        <f t="shared" si="273"/>
        <v>0</v>
      </c>
      <c r="AO409" s="23">
        <f t="shared" si="274"/>
        <v>0</v>
      </c>
      <c r="AP409" s="23">
        <f t="shared" si="275"/>
        <v>0</v>
      </c>
      <c r="AQ409" s="23">
        <f t="shared" si="276"/>
        <v>0</v>
      </c>
      <c r="AR409" s="23">
        <f t="shared" si="277"/>
        <v>0</v>
      </c>
      <c r="AS409" s="23">
        <f t="shared" si="278"/>
        <v>0</v>
      </c>
      <c r="AT409" s="23">
        <f t="shared" si="279"/>
        <v>9706.6766598645136</v>
      </c>
      <c r="AU409" s="23">
        <f t="shared" si="280"/>
        <v>11713.043124596259</v>
      </c>
      <c r="AW409" s="25"/>
      <c r="AX409" s="25"/>
      <c r="AY409" s="25"/>
      <c r="AZ409" s="25"/>
      <c r="BA409" s="25"/>
      <c r="BB409" s="25"/>
      <c r="BC409" s="25"/>
      <c r="BD409" s="25"/>
      <c r="BE409" s="25">
        <f t="shared" si="285"/>
        <v>21419.719784460773</v>
      </c>
      <c r="BF409" s="25">
        <f t="shared" si="286"/>
        <v>11713.043124596259</v>
      </c>
      <c r="BG409" s="25">
        <f t="shared" si="287"/>
        <v>0</v>
      </c>
      <c r="BI409" s="25"/>
      <c r="BJ409" s="25"/>
      <c r="BK409" s="25"/>
      <c r="BL409" s="25"/>
      <c r="BM409" s="25"/>
      <c r="BN409" s="25"/>
      <c r="BO409" s="25"/>
      <c r="BP409" s="25"/>
      <c r="BQ409" s="25">
        <f t="shared" si="264"/>
        <v>21419.719784460773</v>
      </c>
      <c r="BR409" s="25">
        <f t="shared" si="265"/>
        <v>11713.043124596259</v>
      </c>
      <c r="BS409" s="25">
        <f t="shared" si="266"/>
        <v>0</v>
      </c>
    </row>
    <row r="410" spans="1:71" x14ac:dyDescent="0.2">
      <c r="A410" s="29">
        <f t="shared" si="288"/>
        <v>4.0199999999999587</v>
      </c>
      <c r="B410" s="30">
        <v>5.7402026950143611E-2</v>
      </c>
      <c r="C410" s="30">
        <v>5.9616522114953156E-2</v>
      </c>
      <c r="D410" s="30">
        <v>6.2210522732932851E-2</v>
      </c>
      <c r="E410" s="30">
        <v>6.5156128081720596E-2</v>
      </c>
      <c r="F410" s="30">
        <v>6.8408148556303755E-2</v>
      </c>
      <c r="G410" s="30">
        <v>7.191932246143562E-2</v>
      </c>
      <c r="H410" s="30">
        <v>7.5646784621413846E-2</v>
      </c>
      <c r="I410" s="30">
        <v>7.9552757117322889E-2</v>
      </c>
      <c r="J410" s="30">
        <v>8.3603424270455667E-2</v>
      </c>
      <c r="K410" s="30">
        <v>8.7767778717106587E-2</v>
      </c>
      <c r="L410" s="30">
        <v>9.2016892960521693E-2</v>
      </c>
      <c r="N410" s="1"/>
      <c r="O410" s="1"/>
      <c r="P410" s="1"/>
      <c r="Q410" s="1"/>
      <c r="R410" s="1"/>
      <c r="S410" s="1"/>
      <c r="T410" s="1"/>
      <c r="U410" s="1"/>
      <c r="V410" s="62">
        <f t="shared" si="268"/>
        <v>0.95905993166557291</v>
      </c>
      <c r="W410" s="68">
        <f t="shared" ref="W410:W473" si="289">EXP(-K410*($W$7-$V$7))</f>
        <v>0.9570650764618075</v>
      </c>
      <c r="Y410" s="24"/>
      <c r="Z410" s="24"/>
      <c r="AA410" s="24"/>
      <c r="AB410" s="24"/>
      <c r="AC410" s="24"/>
      <c r="AD410" s="24"/>
      <c r="AE410" s="24"/>
      <c r="AF410" s="24"/>
      <c r="AG410" s="24">
        <f t="shared" si="282"/>
        <v>8.7767778717106587E-2</v>
      </c>
      <c r="AH410" s="24">
        <f t="shared" si="283"/>
        <v>9.2016892960521693E-2</v>
      </c>
      <c r="AL410" s="23">
        <f t="shared" si="271"/>
        <v>0</v>
      </c>
      <c r="AM410" s="23">
        <f t="shared" si="272"/>
        <v>0</v>
      </c>
      <c r="AN410" s="23">
        <f t="shared" si="273"/>
        <v>0</v>
      </c>
      <c r="AO410" s="23">
        <f t="shared" si="274"/>
        <v>0</v>
      </c>
      <c r="AP410" s="23">
        <f t="shared" si="275"/>
        <v>0</v>
      </c>
      <c r="AQ410" s="23">
        <f t="shared" si="276"/>
        <v>0</v>
      </c>
      <c r="AR410" s="23">
        <f t="shared" si="277"/>
        <v>0</v>
      </c>
      <c r="AS410" s="23">
        <f t="shared" si="278"/>
        <v>0</v>
      </c>
      <c r="AT410" s="23">
        <f t="shared" si="279"/>
        <v>9621.9657073703711</v>
      </c>
      <c r="AU410" s="23">
        <f t="shared" si="280"/>
        <v>11635.291337029639</v>
      </c>
      <c r="AW410" s="25"/>
      <c r="AX410" s="25"/>
      <c r="AY410" s="25"/>
      <c r="AZ410" s="25"/>
      <c r="BA410" s="25"/>
      <c r="BB410" s="25"/>
      <c r="BC410" s="25"/>
      <c r="BD410" s="25"/>
      <c r="BE410" s="25">
        <f t="shared" si="285"/>
        <v>21257.257044400008</v>
      </c>
      <c r="BF410" s="25">
        <f t="shared" si="286"/>
        <v>11635.291337029639</v>
      </c>
      <c r="BG410" s="25">
        <f t="shared" si="287"/>
        <v>0</v>
      </c>
      <c r="BI410" s="25"/>
      <c r="BJ410" s="25"/>
      <c r="BK410" s="25"/>
      <c r="BL410" s="25"/>
      <c r="BM410" s="25"/>
      <c r="BN410" s="25"/>
      <c r="BO410" s="25"/>
      <c r="BP410" s="25"/>
      <c r="BQ410" s="25">
        <f t="shared" si="264"/>
        <v>21257.257044400008</v>
      </c>
      <c r="BR410" s="25">
        <f t="shared" si="265"/>
        <v>11635.291337029639</v>
      </c>
      <c r="BS410" s="25">
        <f t="shared" si="266"/>
        <v>0</v>
      </c>
    </row>
    <row r="411" spans="1:71" x14ac:dyDescent="0.2">
      <c r="A411" s="29">
        <f t="shared" si="288"/>
        <v>4.0299999999999585</v>
      </c>
      <c r="B411" s="30">
        <v>5.7157873305057873E-2</v>
      </c>
      <c r="C411" s="30">
        <v>5.9288611159467181E-2</v>
      </c>
      <c r="D411" s="30">
        <v>6.1806447900543578E-2</v>
      </c>
      <c r="E411" s="30">
        <v>6.4682850758286836E-2</v>
      </c>
      <c r="F411" s="30">
        <v>6.7872299587831933E-2</v>
      </c>
      <c r="G411" s="30">
        <v>7.132732920008629E-2</v>
      </c>
      <c r="H411" s="30">
        <v>7.5004882865711664E-2</v>
      </c>
      <c r="I411" s="30">
        <v>7.8866967140959449E-2</v>
      </c>
      <c r="J411" s="30">
        <v>8.287952663083907E-2</v>
      </c>
      <c r="K411" s="30">
        <v>8.7011298887857122E-2</v>
      </c>
      <c r="L411" s="30">
        <v>9.1233094020045799E-2</v>
      </c>
      <c r="N411" s="1"/>
      <c r="O411" s="1"/>
      <c r="P411" s="1"/>
      <c r="Q411" s="1"/>
      <c r="R411" s="1"/>
      <c r="S411" s="1"/>
      <c r="T411" s="1"/>
      <c r="U411" s="1"/>
      <c r="V411" s="62">
        <f t="shared" si="268"/>
        <v>0.95940712510530213</v>
      </c>
      <c r="W411" s="68">
        <f t="shared" si="289"/>
        <v>0.95742714514471594</v>
      </c>
      <c r="Y411" s="24"/>
      <c r="Z411" s="24"/>
      <c r="AA411" s="24"/>
      <c r="AB411" s="24"/>
      <c r="AC411" s="24"/>
      <c r="AD411" s="24"/>
      <c r="AE411" s="24"/>
      <c r="AF411" s="24"/>
      <c r="AG411" s="24">
        <f t="shared" si="282"/>
        <v>8.7011298887857122E-2</v>
      </c>
      <c r="AH411" s="24">
        <f t="shared" si="283"/>
        <v>9.1233094020045799E-2</v>
      </c>
      <c r="AL411" s="23">
        <f t="shared" si="271"/>
        <v>0</v>
      </c>
      <c r="AM411" s="23">
        <f t="shared" si="272"/>
        <v>0</v>
      </c>
      <c r="AN411" s="23">
        <f t="shared" si="273"/>
        <v>0</v>
      </c>
      <c r="AO411" s="23">
        <f t="shared" si="274"/>
        <v>0</v>
      </c>
      <c r="AP411" s="23">
        <f t="shared" si="275"/>
        <v>0</v>
      </c>
      <c r="AQ411" s="23">
        <f t="shared" si="276"/>
        <v>0</v>
      </c>
      <c r="AR411" s="23">
        <f t="shared" si="277"/>
        <v>0</v>
      </c>
      <c r="AS411" s="23">
        <f t="shared" si="278"/>
        <v>0</v>
      </c>
      <c r="AT411" s="23">
        <f t="shared" si="279"/>
        <v>9262.5629277604276</v>
      </c>
      <c r="AU411" s="23">
        <f t="shared" si="280"/>
        <v>11264.477910066891</v>
      </c>
      <c r="AW411" s="25"/>
      <c r="AX411" s="25"/>
      <c r="AY411" s="25"/>
      <c r="AZ411" s="25"/>
      <c r="BA411" s="25"/>
      <c r="BB411" s="25"/>
      <c r="BC411" s="25"/>
      <c r="BD411" s="25"/>
      <c r="BE411" s="25">
        <f t="shared" si="285"/>
        <v>20527.040837827321</v>
      </c>
      <c r="BF411" s="25">
        <f t="shared" si="286"/>
        <v>11264.477910066891</v>
      </c>
      <c r="BG411" s="25">
        <f t="shared" si="287"/>
        <v>0</v>
      </c>
      <c r="BI411" s="25"/>
      <c r="BJ411" s="25"/>
      <c r="BK411" s="25"/>
      <c r="BL411" s="25"/>
      <c r="BM411" s="25"/>
      <c r="BN411" s="25"/>
      <c r="BO411" s="25"/>
      <c r="BP411" s="25"/>
      <c r="BQ411" s="25">
        <f t="shared" si="264"/>
        <v>20527.040837827321</v>
      </c>
      <c r="BR411" s="25">
        <f t="shared" si="265"/>
        <v>11264.477910066891</v>
      </c>
      <c r="BS411" s="25">
        <f t="shared" si="266"/>
        <v>0</v>
      </c>
    </row>
    <row r="412" spans="1:71" x14ac:dyDescent="0.2">
      <c r="A412" s="29">
        <f t="shared" si="288"/>
        <v>4.0399999999999583</v>
      </c>
      <c r="B412" s="30">
        <v>5.6994245983308822E-2</v>
      </c>
      <c r="C412" s="30">
        <v>5.9187241301591656E-2</v>
      </c>
      <c r="D412" s="30">
        <v>6.1761321705173587E-2</v>
      </c>
      <c r="E412" s="30">
        <v>6.4687831713548652E-2</v>
      </c>
      <c r="F412" s="30">
        <v>6.7921426489896214E-2</v>
      </c>
      <c r="G412" s="30">
        <v>7.1414940897058743E-2</v>
      </c>
      <c r="H412" s="30">
        <v>7.512562947961475E-2</v>
      </c>
      <c r="I412" s="30">
        <v>7.9015786092130322E-2</v>
      </c>
      <c r="J412" s="30">
        <v>8.3051618622957915E-2</v>
      </c>
      <c r="K412" s="30">
        <v>8.7202112701564444E-2</v>
      </c>
      <c r="L412" s="30">
        <v>9.1438319302909396E-2</v>
      </c>
      <c r="N412" s="1"/>
      <c r="O412" s="1"/>
      <c r="P412" s="1"/>
      <c r="Q412" s="1"/>
      <c r="R412" s="1"/>
      <c r="S412" s="1"/>
      <c r="T412" s="1"/>
      <c r="U412" s="1"/>
      <c r="V412" s="62">
        <f t="shared" si="268"/>
        <v>0.9593245755151778</v>
      </c>
      <c r="W412" s="68">
        <f t="shared" si="289"/>
        <v>0.95733580433960108</v>
      </c>
      <c r="Y412" s="24"/>
      <c r="Z412" s="24"/>
      <c r="AA412" s="24"/>
      <c r="AB412" s="24"/>
      <c r="AC412" s="24"/>
      <c r="AD412" s="24"/>
      <c r="AE412" s="24"/>
      <c r="AF412" s="24"/>
      <c r="AG412" s="24">
        <f t="shared" si="282"/>
        <v>8.7202112701564444E-2</v>
      </c>
      <c r="AH412" s="24">
        <f t="shared" si="283"/>
        <v>9.1438319302909396E-2</v>
      </c>
      <c r="AL412" s="23">
        <f t="shared" si="271"/>
        <v>0</v>
      </c>
      <c r="AM412" s="23">
        <f t="shared" si="272"/>
        <v>0</v>
      </c>
      <c r="AN412" s="23">
        <f t="shared" si="273"/>
        <v>0</v>
      </c>
      <c r="AO412" s="23">
        <f t="shared" si="274"/>
        <v>0</v>
      </c>
      <c r="AP412" s="23">
        <f t="shared" si="275"/>
        <v>0</v>
      </c>
      <c r="AQ412" s="23">
        <f t="shared" si="276"/>
        <v>0</v>
      </c>
      <c r="AR412" s="23">
        <f t="shared" si="277"/>
        <v>0</v>
      </c>
      <c r="AS412" s="23">
        <f t="shared" si="278"/>
        <v>0</v>
      </c>
      <c r="AT412" s="23">
        <f t="shared" si="279"/>
        <v>9353.2921460144753</v>
      </c>
      <c r="AU412" s="23">
        <f t="shared" si="280"/>
        <v>11361.638007958392</v>
      </c>
      <c r="AW412" s="25"/>
      <c r="AX412" s="25"/>
      <c r="AY412" s="25"/>
      <c r="AZ412" s="25"/>
      <c r="BA412" s="25"/>
      <c r="BB412" s="25"/>
      <c r="BC412" s="25"/>
      <c r="BD412" s="25"/>
      <c r="BE412" s="25">
        <f t="shared" si="285"/>
        <v>20714.930153972869</v>
      </c>
      <c r="BF412" s="25">
        <f t="shared" si="286"/>
        <v>11361.638007958392</v>
      </c>
      <c r="BG412" s="25">
        <f t="shared" si="287"/>
        <v>0</v>
      </c>
      <c r="BI412" s="25"/>
      <c r="BJ412" s="25"/>
      <c r="BK412" s="25"/>
      <c r="BL412" s="25"/>
      <c r="BM412" s="25"/>
      <c r="BN412" s="25"/>
      <c r="BO412" s="25"/>
      <c r="BP412" s="25"/>
      <c r="BQ412" s="25">
        <f t="shared" ref="BQ412:BQ458" si="290">MAX(BE412,0)</f>
        <v>20714.930153972869</v>
      </c>
      <c r="BR412" s="25">
        <f t="shared" ref="BR412:BR475" si="291">MAX(BF412,0)</f>
        <v>11361.638007958392</v>
      </c>
      <c r="BS412" s="25">
        <f t="shared" ref="BS412:BS475" si="292">MAX(BG412,0)</f>
        <v>0</v>
      </c>
    </row>
    <row r="413" spans="1:71" x14ac:dyDescent="0.2">
      <c r="A413" s="29">
        <f t="shared" si="288"/>
        <v>4.0499999999999581</v>
      </c>
      <c r="B413" s="30">
        <v>5.6722644863640787E-2</v>
      </c>
      <c r="C413" s="30">
        <v>5.892131647280275E-2</v>
      </c>
      <c r="D413" s="30">
        <v>6.1501509423414452E-2</v>
      </c>
      <c r="E413" s="30">
        <v>6.4434190437747438E-2</v>
      </c>
      <c r="F413" s="30">
        <v>6.7673931434815537E-2</v>
      </c>
      <c r="G413" s="30">
        <v>7.1173606506748158E-2</v>
      </c>
      <c r="H413" s="30">
        <v>7.4890519945440812E-2</v>
      </c>
      <c r="I413" s="30">
        <v>7.8786991376387061E-2</v>
      </c>
      <c r="J413" s="30">
        <v>8.2829230620067015E-2</v>
      </c>
      <c r="K413" s="30">
        <v>8.6986210191619548E-2</v>
      </c>
      <c r="L413" s="30">
        <v>9.1228960841965884E-2</v>
      </c>
      <c r="N413" s="1"/>
      <c r="O413" s="1"/>
      <c r="P413" s="1"/>
      <c r="Q413" s="1"/>
      <c r="R413" s="1"/>
      <c r="S413" s="1"/>
      <c r="T413" s="1"/>
      <c r="U413" s="1"/>
      <c r="V413" s="62">
        <f t="shared" si="268"/>
        <v>0.95943125258422945</v>
      </c>
      <c r="W413" s="68">
        <f t="shared" si="289"/>
        <v>0.95743915551945402</v>
      </c>
      <c r="Y413" s="24"/>
      <c r="Z413" s="24"/>
      <c r="AA413" s="24"/>
      <c r="AB413" s="24"/>
      <c r="AC413" s="24"/>
      <c r="AD413" s="24"/>
      <c r="AE413" s="24"/>
      <c r="AF413" s="24"/>
      <c r="AG413" s="24">
        <f t="shared" si="282"/>
        <v>8.6986210191619548E-2</v>
      </c>
      <c r="AH413" s="24">
        <f t="shared" si="283"/>
        <v>9.1228960841965884E-2</v>
      </c>
      <c r="AL413" s="23">
        <f t="shared" si="271"/>
        <v>0</v>
      </c>
      <c r="AM413" s="23">
        <f t="shared" si="272"/>
        <v>0</v>
      </c>
      <c r="AN413" s="23">
        <f t="shared" si="273"/>
        <v>0</v>
      </c>
      <c r="AO413" s="23">
        <f t="shared" si="274"/>
        <v>0</v>
      </c>
      <c r="AP413" s="23">
        <f t="shared" si="275"/>
        <v>0</v>
      </c>
      <c r="AQ413" s="23">
        <f t="shared" si="276"/>
        <v>0</v>
      </c>
      <c r="AR413" s="23">
        <f t="shared" si="277"/>
        <v>0</v>
      </c>
      <c r="AS413" s="23">
        <f t="shared" si="278"/>
        <v>0</v>
      </c>
      <c r="AT413" s="23">
        <f t="shared" si="279"/>
        <v>9250.7604260433145</v>
      </c>
      <c r="AU413" s="23">
        <f t="shared" si="280"/>
        <v>11262.640583220245</v>
      </c>
      <c r="AW413" s="25"/>
      <c r="AX413" s="25"/>
      <c r="AY413" s="25"/>
      <c r="AZ413" s="25"/>
      <c r="BA413" s="25"/>
      <c r="BB413" s="25"/>
      <c r="BC413" s="25"/>
      <c r="BD413" s="25"/>
      <c r="BE413" s="25">
        <f t="shared" si="285"/>
        <v>20513.401009263558</v>
      </c>
      <c r="BF413" s="25">
        <f t="shared" si="286"/>
        <v>11262.640583220245</v>
      </c>
      <c r="BG413" s="25">
        <f t="shared" si="287"/>
        <v>0</v>
      </c>
      <c r="BI413" s="25"/>
      <c r="BJ413" s="25"/>
      <c r="BK413" s="25"/>
      <c r="BL413" s="25"/>
      <c r="BM413" s="25"/>
      <c r="BN413" s="25"/>
      <c r="BO413" s="25"/>
      <c r="BP413" s="25"/>
      <c r="BQ413" s="25">
        <f t="shared" si="290"/>
        <v>20513.401009263558</v>
      </c>
      <c r="BR413" s="25">
        <f t="shared" si="291"/>
        <v>11262.640583220245</v>
      </c>
      <c r="BS413" s="25">
        <f t="shared" si="292"/>
        <v>0</v>
      </c>
    </row>
    <row r="414" spans="1:71" x14ac:dyDescent="0.2">
      <c r="A414" s="29">
        <f t="shared" si="288"/>
        <v>4.0599999999999579</v>
      </c>
      <c r="B414" s="30">
        <v>5.5940299656234913E-2</v>
      </c>
      <c r="C414" s="30">
        <v>5.828525929863769E-2</v>
      </c>
      <c r="D414" s="30">
        <v>6.0995083530256775E-2</v>
      </c>
      <c r="E414" s="30">
        <v>6.4041073826687292E-2</v>
      </c>
      <c r="F414" s="30">
        <v>6.7378427971731561E-2</v>
      </c>
      <c r="G414" s="30">
        <v>7.096076615665145E-2</v>
      </c>
      <c r="H414" s="30">
        <v>7.4746148600616624E-2</v>
      </c>
      <c r="I414" s="30">
        <v>7.8697626882757096E-2</v>
      </c>
      <c r="J414" s="30">
        <v>8.2782119114236455E-2</v>
      </c>
      <c r="K414" s="30">
        <v>8.6969291213156261E-2</v>
      </c>
      <c r="L414" s="30">
        <v>9.1230860322949248E-2</v>
      </c>
      <c r="N414" s="1"/>
      <c r="O414" s="1"/>
      <c r="P414" s="1"/>
      <c r="Q414" s="1"/>
      <c r="R414" s="1"/>
      <c r="S414" s="1"/>
      <c r="T414" s="1"/>
      <c r="U414" s="1"/>
      <c r="V414" s="62">
        <f t="shared" si="268"/>
        <v>0.9594538529759381</v>
      </c>
      <c r="W414" s="68">
        <f t="shared" si="289"/>
        <v>0.95744725499993877</v>
      </c>
      <c r="Y414" s="24"/>
      <c r="Z414" s="24"/>
      <c r="AA414" s="24"/>
      <c r="AB414" s="24"/>
      <c r="AC414" s="24"/>
      <c r="AD414" s="24"/>
      <c r="AE414" s="24"/>
      <c r="AF414" s="24"/>
      <c r="AG414" s="24">
        <f t="shared" si="282"/>
        <v>8.6969291213156261E-2</v>
      </c>
      <c r="AH414" s="24">
        <f t="shared" si="283"/>
        <v>9.1230860322949248E-2</v>
      </c>
      <c r="AL414" s="23">
        <f t="shared" si="271"/>
        <v>0</v>
      </c>
      <c r="AM414" s="23">
        <f t="shared" si="272"/>
        <v>0</v>
      </c>
      <c r="AN414" s="23">
        <f t="shared" si="273"/>
        <v>0</v>
      </c>
      <c r="AO414" s="23">
        <f t="shared" si="274"/>
        <v>0</v>
      </c>
      <c r="AP414" s="23">
        <f t="shared" si="275"/>
        <v>0</v>
      </c>
      <c r="AQ414" s="23">
        <f t="shared" si="276"/>
        <v>0</v>
      </c>
      <c r="AR414" s="23">
        <f t="shared" si="277"/>
        <v>0</v>
      </c>
      <c r="AS414" s="23">
        <f t="shared" si="278"/>
        <v>0</v>
      </c>
      <c r="AT414" s="23">
        <f t="shared" si="279"/>
        <v>9242.8618476992015</v>
      </c>
      <c r="AU414" s="23">
        <f t="shared" si="280"/>
        <v>11263.645186236696</v>
      </c>
      <c r="AW414" s="25"/>
      <c r="AX414" s="25"/>
      <c r="AY414" s="25"/>
      <c r="AZ414" s="25"/>
      <c r="BA414" s="25"/>
      <c r="BB414" s="25"/>
      <c r="BC414" s="25"/>
      <c r="BD414" s="25"/>
      <c r="BE414" s="25">
        <f t="shared" si="285"/>
        <v>20506.507033935897</v>
      </c>
      <c r="BF414" s="25">
        <f t="shared" si="286"/>
        <v>11263.645186236696</v>
      </c>
      <c r="BG414" s="25">
        <f t="shared" si="287"/>
        <v>0</v>
      </c>
      <c r="BI414" s="25"/>
      <c r="BJ414" s="25"/>
      <c r="BK414" s="25"/>
      <c r="BL414" s="25"/>
      <c r="BM414" s="25"/>
      <c r="BN414" s="25"/>
      <c r="BO414" s="25"/>
      <c r="BP414" s="25"/>
      <c r="BQ414" s="25">
        <f t="shared" si="290"/>
        <v>20506.507033935897</v>
      </c>
      <c r="BR414" s="25">
        <f t="shared" si="291"/>
        <v>11263.645186236696</v>
      </c>
      <c r="BS414" s="25">
        <f t="shared" si="292"/>
        <v>0</v>
      </c>
    </row>
    <row r="415" spans="1:71" x14ac:dyDescent="0.2">
      <c r="A415" s="29">
        <f t="shared" si="288"/>
        <v>4.0699999999999577</v>
      </c>
      <c r="B415" s="30">
        <v>5.4744899451202478E-2</v>
      </c>
      <c r="C415" s="30">
        <v>5.7311812511789087E-2</v>
      </c>
      <c r="D415" s="30">
        <v>6.0220851209969069E-2</v>
      </c>
      <c r="E415" s="30">
        <v>6.3443864514402967E-2</v>
      </c>
      <c r="F415" s="30">
        <v>6.6936885395880941E-2</v>
      </c>
      <c r="G415" s="30">
        <v>7.0654487258872717E-2</v>
      </c>
      <c r="H415" s="30">
        <v>7.4555692687861858E-2</v>
      </c>
      <c r="I415" s="30">
        <v>7.860449165986827E-2</v>
      </c>
      <c r="J415" s="30">
        <v>8.2768717196497116E-2</v>
      </c>
      <c r="K415" s="30">
        <v>8.7018935396116159E-2</v>
      </c>
      <c r="L415" s="30">
        <v>9.1327756670174259E-2</v>
      </c>
      <c r="N415" s="1"/>
      <c r="O415" s="1"/>
      <c r="P415" s="1"/>
      <c r="Q415" s="1"/>
      <c r="R415" s="1"/>
      <c r="S415" s="1"/>
      <c r="T415" s="1"/>
      <c r="U415" s="1"/>
      <c r="V415" s="62">
        <f t="shared" si="268"/>
        <v>0.95946028225828539</v>
      </c>
      <c r="W415" s="68">
        <f t="shared" si="289"/>
        <v>0.95742348945154454</v>
      </c>
      <c r="Y415" s="24"/>
      <c r="Z415" s="24"/>
      <c r="AA415" s="24"/>
      <c r="AB415" s="24"/>
      <c r="AC415" s="24"/>
      <c r="AD415" s="24"/>
      <c r="AE415" s="24"/>
      <c r="AF415" s="24"/>
      <c r="AG415" s="24">
        <f t="shared" si="282"/>
        <v>8.7018935396116159E-2</v>
      </c>
      <c r="AH415" s="24">
        <f t="shared" si="283"/>
        <v>9.1327756670174259E-2</v>
      </c>
      <c r="AL415" s="23">
        <f t="shared" si="271"/>
        <v>0</v>
      </c>
      <c r="AM415" s="23">
        <f t="shared" si="272"/>
        <v>0</v>
      </c>
      <c r="AN415" s="23">
        <f t="shared" si="273"/>
        <v>0</v>
      </c>
      <c r="AO415" s="23">
        <f t="shared" si="274"/>
        <v>0</v>
      </c>
      <c r="AP415" s="23">
        <f t="shared" si="275"/>
        <v>0</v>
      </c>
      <c r="AQ415" s="23">
        <f t="shared" si="276"/>
        <v>0</v>
      </c>
      <c r="AR415" s="23">
        <f t="shared" si="277"/>
        <v>0</v>
      </c>
      <c r="AS415" s="23">
        <f t="shared" si="278"/>
        <v>0</v>
      </c>
      <c r="AT415" s="23">
        <f t="shared" si="279"/>
        <v>9266.7395948413887</v>
      </c>
      <c r="AU415" s="23">
        <f t="shared" si="280"/>
        <v>11309.751021913067</v>
      </c>
      <c r="AW415" s="25"/>
      <c r="AX415" s="25"/>
      <c r="AY415" s="25"/>
      <c r="AZ415" s="25"/>
      <c r="BA415" s="25"/>
      <c r="BB415" s="25"/>
      <c r="BC415" s="25"/>
      <c r="BD415" s="25"/>
      <c r="BE415" s="25">
        <f t="shared" si="285"/>
        <v>20576.490616754454</v>
      </c>
      <c r="BF415" s="25">
        <f t="shared" si="286"/>
        <v>11309.751021913067</v>
      </c>
      <c r="BG415" s="25">
        <f t="shared" si="287"/>
        <v>0</v>
      </c>
      <c r="BI415" s="25"/>
      <c r="BJ415" s="25"/>
      <c r="BK415" s="25"/>
      <c r="BL415" s="25"/>
      <c r="BM415" s="25"/>
      <c r="BN415" s="25"/>
      <c r="BO415" s="25"/>
      <c r="BP415" s="25"/>
      <c r="BQ415" s="25">
        <f t="shared" si="290"/>
        <v>20576.490616754454</v>
      </c>
      <c r="BR415" s="25">
        <f t="shared" si="291"/>
        <v>11309.751021913067</v>
      </c>
      <c r="BS415" s="25">
        <f t="shared" si="292"/>
        <v>0</v>
      </c>
    </row>
    <row r="416" spans="1:71" x14ac:dyDescent="0.2">
      <c r="A416" s="29">
        <f t="shared" si="288"/>
        <v>4.0799999999999574</v>
      </c>
      <c r="B416" s="30">
        <v>5.4693860292453336E-2</v>
      </c>
      <c r="C416" s="30">
        <v>5.7114252511154692E-2</v>
      </c>
      <c r="D416" s="30">
        <v>5.9892164094507337E-2</v>
      </c>
      <c r="E416" s="30">
        <v>6.299851474510719E-2</v>
      </c>
      <c r="F416" s="30">
        <v>6.6388692468248175E-2</v>
      </c>
      <c r="G416" s="30">
        <v>7.001674155164149E-2</v>
      </c>
      <c r="H416" s="30">
        <v>7.3841163952727648E-2</v>
      </c>
      <c r="I416" s="30">
        <v>7.7825405063658995E-2</v>
      </c>
      <c r="J416" s="30">
        <v>8.1936730008870293E-2</v>
      </c>
      <c r="K416" s="30">
        <v>8.6145122415741973E-2</v>
      </c>
      <c r="L416" s="30">
        <v>9.0422603409634969E-2</v>
      </c>
      <c r="N416" s="1"/>
      <c r="O416" s="1"/>
      <c r="P416" s="1"/>
      <c r="Q416" s="1"/>
      <c r="R416" s="1"/>
      <c r="S416" s="1"/>
      <c r="T416" s="1"/>
      <c r="U416" s="1"/>
      <c r="V416" s="62">
        <f t="shared" si="268"/>
        <v>0.9598594946183584</v>
      </c>
      <c r="W416" s="68">
        <f t="shared" si="289"/>
        <v>0.95784188538123649</v>
      </c>
      <c r="Y416" s="24"/>
      <c r="Z416" s="24"/>
      <c r="AA416" s="24"/>
      <c r="AB416" s="24"/>
      <c r="AC416" s="24"/>
      <c r="AD416" s="24"/>
      <c r="AE416" s="24"/>
      <c r="AF416" s="24"/>
      <c r="AG416" s="24">
        <f t="shared" si="282"/>
        <v>8.6145122415741973E-2</v>
      </c>
      <c r="AH416" s="24">
        <f t="shared" si="283"/>
        <v>9.0422603409634969E-2</v>
      </c>
      <c r="AL416" s="23">
        <f t="shared" si="271"/>
        <v>0</v>
      </c>
      <c r="AM416" s="23">
        <f t="shared" si="272"/>
        <v>0</v>
      </c>
      <c r="AN416" s="23">
        <f t="shared" si="273"/>
        <v>0</v>
      </c>
      <c r="AO416" s="23">
        <f t="shared" si="274"/>
        <v>0</v>
      </c>
      <c r="AP416" s="23">
        <f t="shared" si="275"/>
        <v>0</v>
      </c>
      <c r="AQ416" s="23">
        <f t="shared" si="276"/>
        <v>0</v>
      </c>
      <c r="AR416" s="23">
        <f t="shared" si="277"/>
        <v>0</v>
      </c>
      <c r="AS416" s="23">
        <f t="shared" si="278"/>
        <v>0</v>
      </c>
      <c r="AT416" s="23">
        <f t="shared" si="279"/>
        <v>8851.2264582008575</v>
      </c>
      <c r="AU416" s="23">
        <f t="shared" si="280"/>
        <v>10881.196552321011</v>
      </c>
      <c r="AW416" s="25"/>
      <c r="AX416" s="25"/>
      <c r="AY416" s="25"/>
      <c r="AZ416" s="25"/>
      <c r="BA416" s="25"/>
      <c r="BB416" s="25"/>
      <c r="BC416" s="25"/>
      <c r="BD416" s="25"/>
      <c r="BE416" s="25">
        <f t="shared" si="285"/>
        <v>19732.423010521867</v>
      </c>
      <c r="BF416" s="25">
        <f t="shared" si="286"/>
        <v>10881.196552321011</v>
      </c>
      <c r="BG416" s="25">
        <f t="shared" si="287"/>
        <v>0</v>
      </c>
      <c r="BI416" s="25"/>
      <c r="BJ416" s="25"/>
      <c r="BK416" s="25"/>
      <c r="BL416" s="25"/>
      <c r="BM416" s="25"/>
      <c r="BN416" s="25"/>
      <c r="BO416" s="25"/>
      <c r="BP416" s="25"/>
      <c r="BQ416" s="25">
        <f t="shared" si="290"/>
        <v>19732.423010521867</v>
      </c>
      <c r="BR416" s="25">
        <f t="shared" si="291"/>
        <v>10881.196552321011</v>
      </c>
      <c r="BS416" s="25">
        <f t="shared" si="292"/>
        <v>0</v>
      </c>
    </row>
    <row r="417" spans="1:71" x14ac:dyDescent="0.2">
      <c r="A417" s="29">
        <f t="shared" si="288"/>
        <v>4.0899999999999572</v>
      </c>
      <c r="B417" s="30">
        <v>5.4866348838092001E-2</v>
      </c>
      <c r="C417" s="30">
        <v>5.7331431072128333E-2</v>
      </c>
      <c r="D417" s="30">
        <v>6.0154629732105377E-2</v>
      </c>
      <c r="E417" s="30">
        <v>6.3306431949028394E-2</v>
      </c>
      <c r="F417" s="30">
        <v>6.67420740881325E-2</v>
      </c>
      <c r="G417" s="30">
        <v>7.0415562498627224E-2</v>
      </c>
      <c r="H417" s="30">
        <v>7.4285369040216209E-2</v>
      </c>
      <c r="I417" s="30">
        <v>7.8314885062400766E-2</v>
      </c>
      <c r="J417" s="30">
        <v>8.2471298509431551E-2</v>
      </c>
      <c r="K417" s="30">
        <v>8.6724501409862292E-2</v>
      </c>
      <c r="L417" s="30">
        <v>9.1046416571230193E-2</v>
      </c>
      <c r="N417" s="1"/>
      <c r="O417" s="1"/>
      <c r="P417" s="1"/>
      <c r="Q417" s="1"/>
      <c r="R417" s="1"/>
      <c r="S417" s="1"/>
      <c r="T417" s="1"/>
      <c r="U417" s="1"/>
      <c r="V417" s="62">
        <f t="shared" si="268"/>
        <v>0.95960297357650892</v>
      </c>
      <c r="W417" s="68">
        <f t="shared" si="289"/>
        <v>0.95756444883436431</v>
      </c>
      <c r="Y417" s="24"/>
      <c r="Z417" s="24"/>
      <c r="AA417" s="24"/>
      <c r="AB417" s="24"/>
      <c r="AC417" s="24"/>
      <c r="AD417" s="24"/>
      <c r="AE417" s="24"/>
      <c r="AF417" s="24"/>
      <c r="AG417" s="24">
        <f t="shared" si="282"/>
        <v>8.6724501409862292E-2</v>
      </c>
      <c r="AH417" s="24">
        <f t="shared" si="283"/>
        <v>9.1046416571230193E-2</v>
      </c>
      <c r="AL417" s="23">
        <f t="shared" si="271"/>
        <v>0</v>
      </c>
      <c r="AM417" s="23">
        <f t="shared" si="272"/>
        <v>0</v>
      </c>
      <c r="AN417" s="23">
        <f t="shared" si="273"/>
        <v>0</v>
      </c>
      <c r="AO417" s="23">
        <f t="shared" si="274"/>
        <v>0</v>
      </c>
      <c r="AP417" s="23">
        <f t="shared" si="275"/>
        <v>0</v>
      </c>
      <c r="AQ417" s="23">
        <f t="shared" si="276"/>
        <v>0</v>
      </c>
      <c r="AR417" s="23">
        <f t="shared" si="277"/>
        <v>0</v>
      </c>
      <c r="AS417" s="23">
        <f t="shared" si="278"/>
        <v>0</v>
      </c>
      <c r="AT417" s="23">
        <f t="shared" si="279"/>
        <v>9126.8478837072216</v>
      </c>
      <c r="AU417" s="23">
        <f t="shared" si="280"/>
        <v>11176.715493624581</v>
      </c>
      <c r="AW417" s="25"/>
      <c r="AX417" s="25"/>
      <c r="AY417" s="25"/>
      <c r="AZ417" s="25"/>
      <c r="BA417" s="25"/>
      <c r="BB417" s="25"/>
      <c r="BC417" s="25"/>
      <c r="BD417" s="25"/>
      <c r="BE417" s="25">
        <f t="shared" si="285"/>
        <v>20303.563377331804</v>
      </c>
      <c r="BF417" s="25">
        <f t="shared" si="286"/>
        <v>11176.715493624581</v>
      </c>
      <c r="BG417" s="25">
        <f t="shared" si="287"/>
        <v>0</v>
      </c>
      <c r="BI417" s="25"/>
      <c r="BJ417" s="25"/>
      <c r="BK417" s="25"/>
      <c r="BL417" s="25"/>
      <c r="BM417" s="25"/>
      <c r="BN417" s="25"/>
      <c r="BO417" s="25"/>
      <c r="BP417" s="25"/>
      <c r="BQ417" s="25">
        <f t="shared" si="290"/>
        <v>20303.563377331804</v>
      </c>
      <c r="BR417" s="25">
        <f t="shared" si="291"/>
        <v>11176.715493624581</v>
      </c>
      <c r="BS417" s="25">
        <f t="shared" si="292"/>
        <v>0</v>
      </c>
    </row>
    <row r="418" spans="1:71" x14ac:dyDescent="0.2">
      <c r="A418" s="29">
        <f t="shared" si="288"/>
        <v>4.099999999999957</v>
      </c>
      <c r="B418" s="30">
        <v>5.4447976901408617E-2</v>
      </c>
      <c r="C418" s="30">
        <v>5.6918047144166477E-2</v>
      </c>
      <c r="D418" s="30">
        <v>5.9746891067338034E-2</v>
      </c>
      <c r="E418" s="30">
        <v>6.2904633923570125E-2</v>
      </c>
      <c r="F418" s="30">
        <v>6.6346427786671769E-2</v>
      </c>
      <c r="G418" s="30">
        <v>7.0026306298767757E-2</v>
      </c>
      <c r="H418" s="30">
        <v>7.3902775817528146E-2</v>
      </c>
      <c r="I418" s="30">
        <v>7.7939238261654165E-2</v>
      </c>
      <c r="J418" s="30">
        <v>8.2102869181441079E-2</v>
      </c>
      <c r="K418" s="30">
        <v>8.6363533946837573E-2</v>
      </c>
      <c r="L418" s="30">
        <v>9.0693122082842803E-2</v>
      </c>
      <c r="N418" s="1"/>
      <c r="O418" s="1"/>
      <c r="P418" s="1"/>
      <c r="Q418" s="1"/>
      <c r="R418" s="1"/>
      <c r="S418" s="1"/>
      <c r="T418" s="1"/>
      <c r="U418" s="1"/>
      <c r="V418" s="62">
        <f t="shared" si="268"/>
        <v>0.95977976279893884</v>
      </c>
      <c r="W418" s="68">
        <f t="shared" si="289"/>
        <v>0.9577372892362247</v>
      </c>
      <c r="Y418" s="24"/>
      <c r="Z418" s="24"/>
      <c r="AA418" s="24"/>
      <c r="AB418" s="24"/>
      <c r="AC418" s="24"/>
      <c r="AD418" s="24"/>
      <c r="AE418" s="24"/>
      <c r="AF418" s="24"/>
      <c r="AG418" s="24">
        <f t="shared" si="282"/>
        <v>8.6363533946837573E-2</v>
      </c>
      <c r="AH418" s="24">
        <f t="shared" si="283"/>
        <v>9.0693122082842803E-2</v>
      </c>
      <c r="AL418" s="23">
        <f t="shared" si="271"/>
        <v>0</v>
      </c>
      <c r="AM418" s="23">
        <f t="shared" si="272"/>
        <v>0</v>
      </c>
      <c r="AN418" s="23">
        <f t="shared" si="273"/>
        <v>0</v>
      </c>
      <c r="AO418" s="23">
        <f t="shared" si="274"/>
        <v>0</v>
      </c>
      <c r="AP418" s="23">
        <f t="shared" si="275"/>
        <v>0</v>
      </c>
      <c r="AQ418" s="23">
        <f t="shared" si="276"/>
        <v>0</v>
      </c>
      <c r="AR418" s="23">
        <f t="shared" si="277"/>
        <v>0</v>
      </c>
      <c r="AS418" s="23">
        <f t="shared" si="278"/>
        <v>0</v>
      </c>
      <c r="AT418" s="23">
        <f t="shared" si="279"/>
        <v>8955.3047047729488</v>
      </c>
      <c r="AU418" s="23">
        <f t="shared" si="280"/>
        <v>11009.55123818603</v>
      </c>
      <c r="AW418" s="25"/>
      <c r="AX418" s="25"/>
      <c r="AY418" s="25"/>
      <c r="AZ418" s="25"/>
      <c r="BA418" s="25"/>
      <c r="BB418" s="25"/>
      <c r="BC418" s="25"/>
      <c r="BD418" s="25"/>
      <c r="BE418" s="25">
        <f t="shared" si="285"/>
        <v>19964.85594295898</v>
      </c>
      <c r="BF418" s="25">
        <f t="shared" si="286"/>
        <v>11009.55123818603</v>
      </c>
      <c r="BG418" s="25">
        <f t="shared" si="287"/>
        <v>0</v>
      </c>
      <c r="BI418" s="25"/>
      <c r="BJ418" s="25"/>
      <c r="BK418" s="25"/>
      <c r="BL418" s="25"/>
      <c r="BM418" s="25"/>
      <c r="BN418" s="25"/>
      <c r="BO418" s="25"/>
      <c r="BP418" s="25"/>
      <c r="BQ418" s="25">
        <f t="shared" si="290"/>
        <v>19964.85594295898</v>
      </c>
      <c r="BR418" s="25">
        <f t="shared" si="291"/>
        <v>11009.55123818603</v>
      </c>
      <c r="BS418" s="25">
        <f t="shared" si="292"/>
        <v>0</v>
      </c>
    </row>
    <row r="419" spans="1:71" x14ac:dyDescent="0.2">
      <c r="A419" s="29">
        <f t="shared" si="288"/>
        <v>4.1099999999999568</v>
      </c>
      <c r="B419" s="30">
        <v>5.299156030539396E-2</v>
      </c>
      <c r="C419" s="30">
        <v>5.5558715532399022E-2</v>
      </c>
      <c r="D419" s="30">
        <v>5.8474132709709345E-2</v>
      </c>
      <c r="E419" s="30">
        <v>6.1708042018652487E-2</v>
      </c>
      <c r="F419" s="30">
        <v>6.5215974728598719E-2</v>
      </c>
      <c r="G419" s="30">
        <v>6.8952453173989625E-2</v>
      </c>
      <c r="H419" s="30">
        <v>7.2876478987186855E-2</v>
      </c>
      <c r="I419" s="30">
        <v>7.6951925452128922E-2</v>
      </c>
      <c r="J419" s="30">
        <v>8.1146416695163287E-2</v>
      </c>
      <c r="K419" s="30">
        <v>8.5430252550455388E-2</v>
      </c>
      <c r="L419" s="30">
        <v>8.9775750477318533E-2</v>
      </c>
      <c r="N419" s="1"/>
      <c r="O419" s="1"/>
      <c r="P419" s="1"/>
      <c r="Q419" s="1"/>
      <c r="R419" s="1"/>
      <c r="S419" s="1"/>
      <c r="T419" s="1"/>
      <c r="U419" s="1"/>
      <c r="V419" s="62">
        <f t="shared" si="268"/>
        <v>0.96023886443761908</v>
      </c>
      <c r="W419" s="68">
        <f t="shared" si="289"/>
        <v>0.95818431272512228</v>
      </c>
      <c r="Y419" s="24"/>
      <c r="Z419" s="24"/>
      <c r="AA419" s="24"/>
      <c r="AB419" s="24"/>
      <c r="AC419" s="24"/>
      <c r="AD419" s="24"/>
      <c r="AE419" s="24"/>
      <c r="AF419" s="24"/>
      <c r="AG419" s="24">
        <f t="shared" si="282"/>
        <v>8.5430252550455388E-2</v>
      </c>
      <c r="AH419" s="24">
        <f t="shared" si="283"/>
        <v>8.9775750477318533E-2</v>
      </c>
      <c r="AL419" s="23">
        <f t="shared" si="271"/>
        <v>0</v>
      </c>
      <c r="AM419" s="23">
        <f t="shared" si="272"/>
        <v>0</v>
      </c>
      <c r="AN419" s="23">
        <f t="shared" si="273"/>
        <v>0</v>
      </c>
      <c r="AO419" s="23">
        <f t="shared" si="274"/>
        <v>0</v>
      </c>
      <c r="AP419" s="23">
        <f t="shared" si="275"/>
        <v>0</v>
      </c>
      <c r="AQ419" s="23">
        <f t="shared" si="276"/>
        <v>0</v>
      </c>
      <c r="AR419" s="23">
        <f t="shared" si="277"/>
        <v>0</v>
      </c>
      <c r="AS419" s="23">
        <f t="shared" si="278"/>
        <v>0</v>
      </c>
      <c r="AT419" s="23">
        <f t="shared" si="279"/>
        <v>8511.5018565705559</v>
      </c>
      <c r="AU419" s="23">
        <f t="shared" si="280"/>
        <v>10575.184401057038</v>
      </c>
      <c r="AW419" s="25"/>
      <c r="AX419" s="25"/>
      <c r="AY419" s="25"/>
      <c r="AZ419" s="25"/>
      <c r="BA419" s="25"/>
      <c r="BB419" s="25"/>
      <c r="BC419" s="25"/>
      <c r="BD419" s="25"/>
      <c r="BE419" s="25">
        <f t="shared" si="285"/>
        <v>19086.686257627596</v>
      </c>
      <c r="BF419" s="25">
        <f t="shared" si="286"/>
        <v>10575.184401057038</v>
      </c>
      <c r="BG419" s="25">
        <f t="shared" si="287"/>
        <v>0</v>
      </c>
      <c r="BI419" s="25"/>
      <c r="BJ419" s="25"/>
      <c r="BK419" s="25"/>
      <c r="BL419" s="25"/>
      <c r="BM419" s="25"/>
      <c r="BN419" s="25"/>
      <c r="BO419" s="25"/>
      <c r="BP419" s="25"/>
      <c r="BQ419" s="25">
        <f t="shared" si="290"/>
        <v>19086.686257627596</v>
      </c>
      <c r="BR419" s="25">
        <f t="shared" si="291"/>
        <v>10575.184401057038</v>
      </c>
      <c r="BS419" s="25">
        <f t="shared" si="292"/>
        <v>0</v>
      </c>
    </row>
    <row r="420" spans="1:71" x14ac:dyDescent="0.2">
      <c r="A420" s="29">
        <f t="shared" si="288"/>
        <v>4.1199999999999566</v>
      </c>
      <c r="B420" s="30">
        <v>5.1727535526466917E-2</v>
      </c>
      <c r="C420" s="30">
        <v>5.4306480280089477E-2</v>
      </c>
      <c r="D420" s="30">
        <v>5.7232603579570163E-2</v>
      </c>
      <c r="E420" s="30">
        <v>6.0475869184010211E-2</v>
      </c>
      <c r="F420" s="30">
        <v>6.3991812912031543E-2</v>
      </c>
      <c r="G420" s="30">
        <v>6.773506908579538E-2</v>
      </c>
      <c r="H420" s="30">
        <v>7.1664757297921211E-2</v>
      </c>
      <c r="I420" s="30">
        <v>7.5744844905556469E-2</v>
      </c>
      <c r="J420" s="30">
        <v>7.994302749261939E-2</v>
      </c>
      <c r="K420" s="30">
        <v>8.4229662390649468E-2</v>
      </c>
      <c r="L420" s="30">
        <v>8.8577118119434195E-2</v>
      </c>
      <c r="N420" s="1"/>
      <c r="O420" s="1"/>
      <c r="P420" s="1"/>
      <c r="Q420" s="1"/>
      <c r="R420" s="1"/>
      <c r="S420" s="1"/>
      <c r="T420" s="1"/>
      <c r="U420" s="1"/>
      <c r="V420" s="62">
        <f t="shared" si="268"/>
        <v>0.96081680883385789</v>
      </c>
      <c r="W420" s="68">
        <f t="shared" si="289"/>
        <v>0.95875967873110468</v>
      </c>
      <c r="Y420" s="24"/>
      <c r="Z420" s="24"/>
      <c r="AA420" s="24"/>
      <c r="AB420" s="24"/>
      <c r="AC420" s="24"/>
      <c r="AD420" s="24"/>
      <c r="AE420" s="24"/>
      <c r="AF420" s="24"/>
      <c r="AG420" s="24">
        <f t="shared" si="282"/>
        <v>8.4229662390649468E-2</v>
      </c>
      <c r="AH420" s="24">
        <f t="shared" si="283"/>
        <v>8.8577118119434195E-2</v>
      </c>
      <c r="AL420" s="23">
        <f t="shared" si="271"/>
        <v>0</v>
      </c>
      <c r="AM420" s="23">
        <f t="shared" si="272"/>
        <v>0</v>
      </c>
      <c r="AN420" s="23">
        <f t="shared" si="273"/>
        <v>0</v>
      </c>
      <c r="AO420" s="23">
        <f t="shared" si="274"/>
        <v>0</v>
      </c>
      <c r="AP420" s="23">
        <f t="shared" si="275"/>
        <v>0</v>
      </c>
      <c r="AQ420" s="23">
        <f t="shared" si="276"/>
        <v>0</v>
      </c>
      <c r="AR420" s="23">
        <f t="shared" si="277"/>
        <v>0</v>
      </c>
      <c r="AS420" s="23">
        <f t="shared" si="278"/>
        <v>0</v>
      </c>
      <c r="AT420" s="23">
        <f t="shared" si="279"/>
        <v>7939.8511193011263</v>
      </c>
      <c r="AU420" s="23">
        <f t="shared" si="280"/>
        <v>10006.934350828406</v>
      </c>
      <c r="AW420" s="25"/>
      <c r="AX420" s="25"/>
      <c r="AY420" s="25"/>
      <c r="AZ420" s="25"/>
      <c r="BA420" s="25"/>
      <c r="BB420" s="25"/>
      <c r="BC420" s="25"/>
      <c r="BD420" s="25"/>
      <c r="BE420" s="25">
        <f t="shared" si="285"/>
        <v>17946.785470129533</v>
      </c>
      <c r="BF420" s="25">
        <f t="shared" si="286"/>
        <v>10006.934350828406</v>
      </c>
      <c r="BG420" s="25">
        <f t="shared" si="287"/>
        <v>0</v>
      </c>
      <c r="BI420" s="25"/>
      <c r="BJ420" s="25"/>
      <c r="BK420" s="25"/>
      <c r="BL420" s="25"/>
      <c r="BM420" s="25"/>
      <c r="BN420" s="25"/>
      <c r="BO420" s="25"/>
      <c r="BP420" s="25"/>
      <c r="BQ420" s="25">
        <f t="shared" si="290"/>
        <v>17946.785470129533</v>
      </c>
      <c r="BR420" s="25">
        <f t="shared" si="291"/>
        <v>10006.934350828406</v>
      </c>
      <c r="BS420" s="25">
        <f t="shared" si="292"/>
        <v>0</v>
      </c>
    </row>
    <row r="421" spans="1:71" x14ac:dyDescent="0.2">
      <c r="A421" s="29">
        <f t="shared" si="288"/>
        <v>4.1299999999999564</v>
      </c>
      <c r="B421" s="30">
        <v>5.2193676531918226E-2</v>
      </c>
      <c r="C421" s="30">
        <v>5.4712744450563712E-2</v>
      </c>
      <c r="D421" s="30">
        <v>5.7584037630102655E-2</v>
      </c>
      <c r="E421" s="30">
        <v>6.0777041765124246E-2</v>
      </c>
      <c r="F421" s="30">
        <v>6.4247082310556106E-2</v>
      </c>
      <c r="G421" s="30">
        <v>6.7948688634014556E-2</v>
      </c>
      <c r="H421" s="30">
        <v>7.184088074892063E-2</v>
      </c>
      <c r="I421" s="30">
        <v>7.588750257160265E-2</v>
      </c>
      <c r="J421" s="30">
        <v>8.0056103802630355E-2</v>
      </c>
      <c r="K421" s="30">
        <v>8.431688208046402E-2</v>
      </c>
      <c r="L421" s="30">
        <v>8.8642039886893217E-2</v>
      </c>
      <c r="N421" s="1"/>
      <c r="O421" s="1"/>
      <c r="P421" s="1"/>
      <c r="Q421" s="1"/>
      <c r="R421" s="1"/>
      <c r="S421" s="1"/>
      <c r="T421" s="1"/>
      <c r="U421" s="1"/>
      <c r="V421" s="62">
        <f t="shared" si="268"/>
        <v>0.96076248755981497</v>
      </c>
      <c r="W421" s="68">
        <f t="shared" si="289"/>
        <v>0.95871786828189209</v>
      </c>
      <c r="Y421" s="24"/>
      <c r="Z421" s="24"/>
      <c r="AA421" s="24"/>
      <c r="AB421" s="24"/>
      <c r="AC421" s="24"/>
      <c r="AD421" s="24"/>
      <c r="AE421" s="24"/>
      <c r="AF421" s="24"/>
      <c r="AG421" s="24">
        <f t="shared" si="282"/>
        <v>8.431688208046402E-2</v>
      </c>
      <c r="AH421" s="24">
        <f t="shared" si="283"/>
        <v>8.8642039886893217E-2</v>
      </c>
      <c r="AL421" s="23">
        <f t="shared" si="271"/>
        <v>0</v>
      </c>
      <c r="AM421" s="23">
        <f t="shared" si="272"/>
        <v>0</v>
      </c>
      <c r="AN421" s="23">
        <f t="shared" si="273"/>
        <v>0</v>
      </c>
      <c r="AO421" s="23">
        <f t="shared" si="274"/>
        <v>0</v>
      </c>
      <c r="AP421" s="23">
        <f t="shared" si="275"/>
        <v>0</v>
      </c>
      <c r="AQ421" s="23">
        <f t="shared" si="276"/>
        <v>0</v>
      </c>
      <c r="AR421" s="23">
        <f t="shared" si="277"/>
        <v>0</v>
      </c>
      <c r="AS421" s="23">
        <f t="shared" si="278"/>
        <v>0</v>
      </c>
      <c r="AT421" s="23">
        <f t="shared" si="279"/>
        <v>7981.3009305329133</v>
      </c>
      <c r="AU421" s="23">
        <f t="shared" si="280"/>
        <v>10037.618788740619</v>
      </c>
      <c r="AW421" s="25"/>
      <c r="AX421" s="25"/>
      <c r="AY421" s="25"/>
      <c r="AZ421" s="25"/>
      <c r="BA421" s="25"/>
      <c r="BB421" s="25"/>
      <c r="BC421" s="25"/>
      <c r="BD421" s="25"/>
      <c r="BE421" s="25">
        <f t="shared" si="285"/>
        <v>18018.919719273534</v>
      </c>
      <c r="BF421" s="25">
        <f t="shared" si="286"/>
        <v>10037.618788740619</v>
      </c>
      <c r="BG421" s="25">
        <f t="shared" si="287"/>
        <v>0</v>
      </c>
      <c r="BI421" s="25"/>
      <c r="BJ421" s="25"/>
      <c r="BK421" s="25"/>
      <c r="BL421" s="25"/>
      <c r="BM421" s="25"/>
      <c r="BN421" s="25"/>
      <c r="BO421" s="25"/>
      <c r="BP421" s="25"/>
      <c r="BQ421" s="25">
        <f t="shared" si="290"/>
        <v>18018.919719273534</v>
      </c>
      <c r="BR421" s="25">
        <f t="shared" si="291"/>
        <v>10037.618788740619</v>
      </c>
      <c r="BS421" s="25">
        <f t="shared" si="292"/>
        <v>0</v>
      </c>
    </row>
    <row r="422" spans="1:71" x14ac:dyDescent="0.2">
      <c r="A422" s="29">
        <f t="shared" si="288"/>
        <v>4.1399999999999562</v>
      </c>
      <c r="B422" s="30">
        <v>5.0621172201980751E-2</v>
      </c>
      <c r="C422" s="30">
        <v>5.3183761451071086E-2</v>
      </c>
      <c r="D422" s="30">
        <v>5.6094980691714154E-2</v>
      </c>
      <c r="E422" s="30">
        <v>5.9324143979678154E-2</v>
      </c>
      <c r="F422" s="30">
        <v>6.2826669586054068E-2</v>
      </c>
      <c r="G422" s="30">
        <v>6.6557283103094958E-2</v>
      </c>
      <c r="H422" s="30">
        <v>7.0475205559465626E-2</v>
      </c>
      <c r="I422" s="30">
        <v>7.4544458053499407E-2</v>
      </c>
      <c r="J422" s="30">
        <v>7.8732745197897622E-2</v>
      </c>
      <c r="K422" s="30">
        <v>8.301040588281762E-2</v>
      </c>
      <c r="L422" s="30">
        <v>8.734977758779304E-2</v>
      </c>
      <c r="N422" s="1"/>
      <c r="O422" s="1"/>
      <c r="P422" s="1"/>
      <c r="Q422" s="1"/>
      <c r="R422" s="1"/>
      <c r="S422" s="1"/>
      <c r="T422" s="1"/>
      <c r="U422" s="1"/>
      <c r="V422" s="62">
        <f t="shared" si="268"/>
        <v>0.96139841457899466</v>
      </c>
      <c r="W422" s="68">
        <f t="shared" si="289"/>
        <v>0.95934434391607504</v>
      </c>
      <c r="Y422" s="24"/>
      <c r="Z422" s="24"/>
      <c r="AA422" s="24"/>
      <c r="AB422" s="24"/>
      <c r="AC422" s="24"/>
      <c r="AD422" s="24"/>
      <c r="AE422" s="24"/>
      <c r="AF422" s="24"/>
      <c r="AG422" s="24">
        <f t="shared" si="282"/>
        <v>8.301040588281762E-2</v>
      </c>
      <c r="AH422" s="24">
        <f t="shared" si="283"/>
        <v>8.734977758779304E-2</v>
      </c>
      <c r="AL422" s="23">
        <f t="shared" si="271"/>
        <v>0</v>
      </c>
      <c r="AM422" s="23">
        <f t="shared" si="272"/>
        <v>0</v>
      </c>
      <c r="AN422" s="23">
        <f t="shared" si="273"/>
        <v>0</v>
      </c>
      <c r="AO422" s="23">
        <f t="shared" si="274"/>
        <v>0</v>
      </c>
      <c r="AP422" s="23">
        <f t="shared" si="275"/>
        <v>0</v>
      </c>
      <c r="AQ422" s="23">
        <f t="shared" si="276"/>
        <v>0</v>
      </c>
      <c r="AR422" s="23">
        <f t="shared" si="277"/>
        <v>0</v>
      </c>
      <c r="AS422" s="23">
        <f t="shared" si="278"/>
        <v>0</v>
      </c>
      <c r="AT422" s="23">
        <f t="shared" si="279"/>
        <v>7358.5616671833923</v>
      </c>
      <c r="AU422" s="23">
        <f t="shared" si="280"/>
        <v>9424.3156220988403</v>
      </c>
      <c r="AW422" s="25"/>
      <c r="AX422" s="25"/>
      <c r="AY422" s="25"/>
      <c r="AZ422" s="25"/>
      <c r="BA422" s="25"/>
      <c r="BB422" s="25"/>
      <c r="BC422" s="25"/>
      <c r="BD422" s="25"/>
      <c r="BE422" s="25">
        <f t="shared" si="285"/>
        <v>16782.877289282231</v>
      </c>
      <c r="BF422" s="25">
        <f t="shared" si="286"/>
        <v>9424.3156220988403</v>
      </c>
      <c r="BG422" s="25">
        <f t="shared" si="287"/>
        <v>0</v>
      </c>
      <c r="BI422" s="25"/>
      <c r="BJ422" s="25"/>
      <c r="BK422" s="25"/>
      <c r="BL422" s="25"/>
      <c r="BM422" s="25"/>
      <c r="BN422" s="25"/>
      <c r="BO422" s="25"/>
      <c r="BP422" s="25"/>
      <c r="BQ422" s="25">
        <f t="shared" si="290"/>
        <v>16782.877289282231</v>
      </c>
      <c r="BR422" s="25">
        <f t="shared" si="291"/>
        <v>9424.3156220988403</v>
      </c>
      <c r="BS422" s="25">
        <f t="shared" si="292"/>
        <v>0</v>
      </c>
    </row>
    <row r="423" spans="1:71" x14ac:dyDescent="0.2">
      <c r="A423" s="29">
        <f t="shared" si="288"/>
        <v>4.1499999999999559</v>
      </c>
      <c r="B423" s="30">
        <v>5.0212119160780472E-2</v>
      </c>
      <c r="C423" s="30">
        <v>5.2727440401346436E-2</v>
      </c>
      <c r="D423" s="30">
        <v>5.5597497253109855E-2</v>
      </c>
      <c r="E423" s="30">
        <v>5.8791054885151281E-2</v>
      </c>
      <c r="F423" s="30">
        <v>6.2263243915928211E-2</v>
      </c>
      <c r="G423" s="30">
        <v>6.5968603721176231E-2</v>
      </c>
      <c r="H423" s="30">
        <v>6.9866173331172857E-2</v>
      </c>
      <c r="I423" s="30">
        <v>7.3919768043892581E-2</v>
      </c>
      <c r="J423" s="30">
        <v>7.8096864573993313E-2</v>
      </c>
      <c r="K423" s="30">
        <v>8.2367560401284096E-2</v>
      </c>
      <c r="L423" s="30">
        <v>8.6703945430953375E-2</v>
      </c>
      <c r="N423" s="1"/>
      <c r="O423" s="1"/>
      <c r="P423" s="1"/>
      <c r="Q423" s="1"/>
      <c r="R423" s="1"/>
      <c r="S423" s="1"/>
      <c r="T423" s="1"/>
      <c r="U423" s="1"/>
      <c r="V423" s="62">
        <f t="shared" si="268"/>
        <v>0.96170413048796666</v>
      </c>
      <c r="W423" s="68">
        <f t="shared" si="289"/>
        <v>0.95965274856591432</v>
      </c>
      <c r="Y423" s="24"/>
      <c r="Z423" s="24"/>
      <c r="AA423" s="24"/>
      <c r="AB423" s="24"/>
      <c r="AC423" s="24"/>
      <c r="AD423" s="24"/>
      <c r="AE423" s="24"/>
      <c r="AF423" s="24"/>
      <c r="AG423" s="24">
        <f t="shared" si="282"/>
        <v>8.2367560401284096E-2</v>
      </c>
      <c r="AH423" s="24">
        <f t="shared" si="283"/>
        <v>8.6703945430953375E-2</v>
      </c>
      <c r="AL423" s="23">
        <f t="shared" si="271"/>
        <v>0</v>
      </c>
      <c r="AM423" s="23">
        <f t="shared" si="272"/>
        <v>0</v>
      </c>
      <c r="AN423" s="23">
        <f t="shared" si="273"/>
        <v>0</v>
      </c>
      <c r="AO423" s="23">
        <f t="shared" si="274"/>
        <v>0</v>
      </c>
      <c r="AP423" s="23">
        <f t="shared" si="275"/>
        <v>0</v>
      </c>
      <c r="AQ423" s="23">
        <f t="shared" si="276"/>
        <v>0</v>
      </c>
      <c r="AR423" s="23">
        <f t="shared" si="277"/>
        <v>0</v>
      </c>
      <c r="AS423" s="23">
        <f t="shared" si="278"/>
        <v>0</v>
      </c>
      <c r="AT423" s="23">
        <f t="shared" si="279"/>
        <v>7051.7880451105739</v>
      </c>
      <c r="AU423" s="23">
        <f t="shared" si="280"/>
        <v>9117.4579961215622</v>
      </c>
      <c r="AW423" s="25"/>
      <c r="AX423" s="25"/>
      <c r="AY423" s="25"/>
      <c r="AZ423" s="25"/>
      <c r="BA423" s="25"/>
      <c r="BB423" s="25"/>
      <c r="BC423" s="25"/>
      <c r="BD423" s="25"/>
      <c r="BE423" s="25">
        <f t="shared" si="285"/>
        <v>16169.246041232136</v>
      </c>
      <c r="BF423" s="25">
        <f t="shared" si="286"/>
        <v>9117.4579961215622</v>
      </c>
      <c r="BG423" s="25">
        <f t="shared" si="287"/>
        <v>0</v>
      </c>
      <c r="BI423" s="25"/>
      <c r="BJ423" s="25"/>
      <c r="BK423" s="25"/>
      <c r="BL423" s="25"/>
      <c r="BM423" s="25"/>
      <c r="BN423" s="25"/>
      <c r="BO423" s="25"/>
      <c r="BP423" s="25"/>
      <c r="BQ423" s="25">
        <f t="shared" si="290"/>
        <v>16169.246041232136</v>
      </c>
      <c r="BR423" s="25">
        <f t="shared" si="291"/>
        <v>9117.4579961215622</v>
      </c>
      <c r="BS423" s="25">
        <f t="shared" si="292"/>
        <v>0</v>
      </c>
    </row>
    <row r="424" spans="1:71" x14ac:dyDescent="0.2">
      <c r="A424" s="29">
        <f t="shared" si="288"/>
        <v>4.1599999999999557</v>
      </c>
      <c r="B424" s="30">
        <v>4.9610984337691261E-2</v>
      </c>
      <c r="C424" s="30">
        <v>5.2246688481328851E-2</v>
      </c>
      <c r="D424" s="30">
        <v>5.5224984822624494E-2</v>
      </c>
      <c r="E424" s="30">
        <v>5.8514818940211141E-2</v>
      </c>
      <c r="F424" s="30">
        <v>6.2071759900194097E-2</v>
      </c>
      <c r="G424" s="30">
        <v>6.5850885017713065E-2</v>
      </c>
      <c r="H424" s="30">
        <v>6.9811774920177816E-2</v>
      </c>
      <c r="I424" s="30">
        <v>7.391876273480931E-2</v>
      </c>
      <c r="J424" s="30">
        <v>7.8139821079534877E-2</v>
      </c>
      <c r="K424" s="30">
        <v>8.2445529972094311E-2</v>
      </c>
      <c r="L424" s="30">
        <v>8.6808455780562621E-2</v>
      </c>
      <c r="N424" s="1"/>
      <c r="O424" s="1"/>
      <c r="P424" s="1"/>
      <c r="Q424" s="1"/>
      <c r="R424" s="1"/>
      <c r="S424" s="1"/>
      <c r="T424" s="1"/>
      <c r="U424" s="1"/>
      <c r="V424" s="62">
        <f t="shared" ref="V424:V458" si="293">EXP(-J424*($V$7-$U$7))</f>
        <v>0.9616834749853842</v>
      </c>
      <c r="W424" s="68">
        <f t="shared" si="289"/>
        <v>0.95961533743868521</v>
      </c>
      <c r="Y424" s="24"/>
      <c r="Z424" s="24"/>
      <c r="AA424" s="24"/>
      <c r="AB424" s="24"/>
      <c r="AC424" s="24"/>
      <c r="AD424" s="24"/>
      <c r="AE424" s="24"/>
      <c r="AF424" s="24"/>
      <c r="AG424" s="24">
        <f t="shared" si="282"/>
        <v>8.2445529972094311E-2</v>
      </c>
      <c r="AH424" s="24">
        <f t="shared" si="283"/>
        <v>8.6808455780562621E-2</v>
      </c>
      <c r="AL424" s="23">
        <f t="shared" si="271"/>
        <v>0</v>
      </c>
      <c r="AM424" s="23">
        <f t="shared" si="272"/>
        <v>0</v>
      </c>
      <c r="AN424" s="23">
        <f t="shared" si="273"/>
        <v>0</v>
      </c>
      <c r="AO424" s="23">
        <f t="shared" si="274"/>
        <v>0</v>
      </c>
      <c r="AP424" s="23">
        <f t="shared" si="275"/>
        <v>0</v>
      </c>
      <c r="AQ424" s="23">
        <f t="shared" si="276"/>
        <v>0</v>
      </c>
      <c r="AR424" s="23">
        <f t="shared" si="277"/>
        <v>0</v>
      </c>
      <c r="AS424" s="23">
        <f t="shared" si="278"/>
        <v>0</v>
      </c>
      <c r="AT424" s="23">
        <f t="shared" si="279"/>
        <v>7089.127610550936</v>
      </c>
      <c r="AU424" s="23">
        <f t="shared" si="280"/>
        <v>9167.2474281095292</v>
      </c>
      <c r="AW424" s="25"/>
      <c r="AX424" s="25"/>
      <c r="AY424" s="25"/>
      <c r="AZ424" s="25"/>
      <c r="BA424" s="25"/>
      <c r="BB424" s="25"/>
      <c r="BC424" s="25"/>
      <c r="BD424" s="25"/>
      <c r="BE424" s="25">
        <f t="shared" si="285"/>
        <v>16256.375038660466</v>
      </c>
      <c r="BF424" s="25">
        <f t="shared" si="286"/>
        <v>9167.2474281095292</v>
      </c>
      <c r="BG424" s="25">
        <f t="shared" si="287"/>
        <v>0</v>
      </c>
      <c r="BI424" s="25"/>
      <c r="BJ424" s="25"/>
      <c r="BK424" s="25"/>
      <c r="BL424" s="25"/>
      <c r="BM424" s="25"/>
      <c r="BN424" s="25"/>
      <c r="BO424" s="25"/>
      <c r="BP424" s="25"/>
      <c r="BQ424" s="25">
        <f t="shared" si="290"/>
        <v>16256.375038660466</v>
      </c>
      <c r="BR424" s="25">
        <f t="shared" si="291"/>
        <v>9167.2474281095292</v>
      </c>
      <c r="BS424" s="25">
        <f t="shared" si="292"/>
        <v>0</v>
      </c>
    </row>
    <row r="425" spans="1:71" x14ac:dyDescent="0.2">
      <c r="A425" s="29">
        <f t="shared" si="288"/>
        <v>4.1699999999999555</v>
      </c>
      <c r="B425" s="30">
        <v>5.0129915159548399E-2</v>
      </c>
      <c r="C425" s="30">
        <v>5.2908723593979391E-2</v>
      </c>
      <c r="D425" s="30">
        <v>5.6016950300253714E-2</v>
      </c>
      <c r="E425" s="30">
        <v>5.9423744120570748E-2</v>
      </c>
      <c r="F425" s="30">
        <v>6.3085132251770842E-2</v>
      </c>
      <c r="G425" s="30">
        <v>6.6956747714804477E-2</v>
      </c>
      <c r="H425" s="30">
        <v>7.0998729952108069E-2</v>
      </c>
      <c r="I425" s="30">
        <v>7.5175947174881602E-2</v>
      </c>
      <c r="J425" s="30">
        <v>7.9456885330267193E-2</v>
      </c>
      <c r="K425" s="30">
        <v>8.3812624545686609E-2</v>
      </c>
      <c r="L425" s="30">
        <v>8.8216225311807742E-2</v>
      </c>
      <c r="N425" s="1"/>
      <c r="O425" s="1"/>
      <c r="P425" s="1"/>
      <c r="Q425" s="1"/>
      <c r="R425" s="1"/>
      <c r="S425" s="1"/>
      <c r="T425" s="1"/>
      <c r="U425" s="1"/>
      <c r="V425" s="62">
        <f t="shared" si="293"/>
        <v>0.96105038400092746</v>
      </c>
      <c r="W425" s="68">
        <f t="shared" si="289"/>
        <v>0.95895961911118421</v>
      </c>
      <c r="Y425" s="24"/>
      <c r="Z425" s="24"/>
      <c r="AA425" s="24"/>
      <c r="AB425" s="24"/>
      <c r="AC425" s="24"/>
      <c r="AD425" s="24"/>
      <c r="AE425" s="24"/>
      <c r="AF425" s="24"/>
      <c r="AG425" s="24">
        <f t="shared" si="282"/>
        <v>8.3812624545686609E-2</v>
      </c>
      <c r="AH425" s="24">
        <f t="shared" si="283"/>
        <v>8.8216225311807742E-2</v>
      </c>
      <c r="AL425" s="23">
        <f t="shared" si="271"/>
        <v>0</v>
      </c>
      <c r="AM425" s="23">
        <f t="shared" si="272"/>
        <v>0</v>
      </c>
      <c r="AN425" s="23">
        <f t="shared" si="273"/>
        <v>0</v>
      </c>
      <c r="AO425" s="23">
        <f t="shared" si="274"/>
        <v>0</v>
      </c>
      <c r="AP425" s="23">
        <f t="shared" si="275"/>
        <v>0</v>
      </c>
      <c r="AQ425" s="23">
        <f t="shared" si="276"/>
        <v>0</v>
      </c>
      <c r="AR425" s="23">
        <f t="shared" si="277"/>
        <v>0</v>
      </c>
      <c r="AS425" s="23">
        <f t="shared" si="278"/>
        <v>0</v>
      </c>
      <c r="AT425" s="23">
        <f t="shared" si="279"/>
        <v>7741.3841115511368</v>
      </c>
      <c r="AU425" s="23">
        <f t="shared" si="280"/>
        <v>9835.9803888924471</v>
      </c>
      <c r="AW425" s="25"/>
      <c r="AX425" s="25"/>
      <c r="AY425" s="25"/>
      <c r="AZ425" s="25"/>
      <c r="BA425" s="25"/>
      <c r="BB425" s="25"/>
      <c r="BC425" s="25"/>
      <c r="BD425" s="25"/>
      <c r="BE425" s="25">
        <f t="shared" si="285"/>
        <v>17577.364500443582</v>
      </c>
      <c r="BF425" s="25">
        <f t="shared" si="286"/>
        <v>9835.9803888924471</v>
      </c>
      <c r="BG425" s="25">
        <f t="shared" si="287"/>
        <v>0</v>
      </c>
      <c r="BI425" s="25"/>
      <c r="BJ425" s="25"/>
      <c r="BK425" s="25"/>
      <c r="BL425" s="25"/>
      <c r="BM425" s="25"/>
      <c r="BN425" s="25"/>
      <c r="BO425" s="25"/>
      <c r="BP425" s="25"/>
      <c r="BQ425" s="25">
        <f t="shared" si="290"/>
        <v>17577.364500443582</v>
      </c>
      <c r="BR425" s="25">
        <f t="shared" si="291"/>
        <v>9835.9803888924471</v>
      </c>
      <c r="BS425" s="25">
        <f t="shared" si="292"/>
        <v>0</v>
      </c>
    </row>
    <row r="426" spans="1:71" x14ac:dyDescent="0.2">
      <c r="A426" s="29">
        <f t="shared" si="288"/>
        <v>4.1799999999999553</v>
      </c>
      <c r="B426" s="30">
        <v>4.9684373461647932E-2</v>
      </c>
      <c r="C426" s="30">
        <v>5.2538187423035544E-2</v>
      </c>
      <c r="D426" s="30">
        <v>5.5716271902877541E-2</v>
      </c>
      <c r="E426" s="30">
        <v>5.9187655462069159E-2</v>
      </c>
      <c r="F426" s="30">
        <v>6.2908496737473368E-2</v>
      </c>
      <c r="G426" s="30">
        <v>6.6834655875821825E-2</v>
      </c>
      <c r="H426" s="30">
        <v>7.0926502017742685E-2</v>
      </c>
      <c r="I426" s="30">
        <v>7.5149109381105764E-2</v>
      </c>
      <c r="J426" s="30">
        <v>7.9471148335663377E-2</v>
      </c>
      <c r="K426" s="30">
        <v>8.3863870356563508E-2</v>
      </c>
      <c r="L426" s="30">
        <v>8.8300501382074931E-2</v>
      </c>
      <c r="N426" s="1"/>
      <c r="O426" s="1"/>
      <c r="P426" s="1"/>
      <c r="Q426" s="1"/>
      <c r="R426" s="1"/>
      <c r="S426" s="1"/>
      <c r="T426" s="1"/>
      <c r="U426" s="1"/>
      <c r="V426" s="62">
        <f t="shared" si="293"/>
        <v>0.96104353029195955</v>
      </c>
      <c r="W426" s="68">
        <f t="shared" si="289"/>
        <v>0.95893504809433616</v>
      </c>
      <c r="Y426" s="24"/>
      <c r="Z426" s="24"/>
      <c r="AA426" s="24"/>
      <c r="AB426" s="24"/>
      <c r="AC426" s="24"/>
      <c r="AD426" s="24"/>
      <c r="AE426" s="24"/>
      <c r="AF426" s="24"/>
      <c r="AG426" s="24">
        <f t="shared" si="282"/>
        <v>8.3863870356563508E-2</v>
      </c>
      <c r="AH426" s="24">
        <f t="shared" si="283"/>
        <v>8.8300501382074931E-2</v>
      </c>
      <c r="AL426" s="23">
        <f t="shared" si="271"/>
        <v>0</v>
      </c>
      <c r="AM426" s="23">
        <f t="shared" si="272"/>
        <v>0</v>
      </c>
      <c r="AN426" s="23">
        <f t="shared" si="273"/>
        <v>0</v>
      </c>
      <c r="AO426" s="23">
        <f t="shared" si="274"/>
        <v>0</v>
      </c>
      <c r="AP426" s="23">
        <f t="shared" si="275"/>
        <v>0</v>
      </c>
      <c r="AQ426" s="23">
        <f t="shared" si="276"/>
        <v>0</v>
      </c>
      <c r="AR426" s="23">
        <f t="shared" si="277"/>
        <v>0</v>
      </c>
      <c r="AS426" s="23">
        <f t="shared" si="278"/>
        <v>0</v>
      </c>
      <c r="AT426" s="23">
        <f t="shared" si="279"/>
        <v>7765.9536315452187</v>
      </c>
      <c r="AU426" s="23">
        <f t="shared" si="280"/>
        <v>9876.1360044732792</v>
      </c>
      <c r="AW426" s="25"/>
      <c r="AX426" s="25"/>
      <c r="AY426" s="25"/>
      <c r="AZ426" s="25"/>
      <c r="BA426" s="25"/>
      <c r="BB426" s="25"/>
      <c r="BC426" s="25"/>
      <c r="BD426" s="25"/>
      <c r="BE426" s="25">
        <f t="shared" si="285"/>
        <v>17642.0896360185</v>
      </c>
      <c r="BF426" s="25">
        <f t="shared" si="286"/>
        <v>9876.1360044732792</v>
      </c>
      <c r="BG426" s="25">
        <f t="shared" si="287"/>
        <v>0</v>
      </c>
      <c r="BI426" s="25"/>
      <c r="BJ426" s="25"/>
      <c r="BK426" s="25"/>
      <c r="BL426" s="25"/>
      <c r="BM426" s="25"/>
      <c r="BN426" s="25"/>
      <c r="BO426" s="25"/>
      <c r="BP426" s="25"/>
      <c r="BQ426" s="25">
        <f t="shared" si="290"/>
        <v>17642.0896360185</v>
      </c>
      <c r="BR426" s="25">
        <f t="shared" si="291"/>
        <v>9876.1360044732792</v>
      </c>
      <c r="BS426" s="25">
        <f t="shared" si="292"/>
        <v>0</v>
      </c>
    </row>
    <row r="427" spans="1:71" x14ac:dyDescent="0.2">
      <c r="A427" s="29">
        <f t="shared" si="288"/>
        <v>4.1899999999999551</v>
      </c>
      <c r="B427" s="30">
        <v>4.9073093472087242E-2</v>
      </c>
      <c r="C427" s="30">
        <v>5.2003932440205465E-2</v>
      </c>
      <c r="D427" s="30">
        <v>5.5253795792624023E-2</v>
      </c>
      <c r="E427" s="30">
        <v>5.8791598500786482E-2</v>
      </c>
      <c r="F427" s="30">
        <v>6.2573634212719553E-2</v>
      </c>
      <c r="G427" s="30">
        <v>6.6555991909810222E-2</v>
      </c>
      <c r="H427" s="30">
        <v>7.0699271614473896E-2</v>
      </c>
      <c r="I427" s="30">
        <v>7.4968754776994939E-2</v>
      </c>
      <c r="J427" s="30">
        <v>7.9333297585664167E-2</v>
      </c>
      <c r="K427" s="30">
        <v>8.37643244027792E-2</v>
      </c>
      <c r="L427" s="30">
        <v>8.8235228239611205E-2</v>
      </c>
      <c r="N427" s="1"/>
      <c r="O427" s="1"/>
      <c r="P427" s="1"/>
      <c r="Q427" s="1"/>
      <c r="R427" s="1"/>
      <c r="S427" s="1"/>
      <c r="T427" s="1"/>
      <c r="U427" s="1"/>
      <c r="V427" s="62">
        <f t="shared" si="293"/>
        <v>0.96110977286054666</v>
      </c>
      <c r="W427" s="68">
        <f t="shared" si="289"/>
        <v>0.95898277833415424</v>
      </c>
      <c r="Y427" s="24"/>
      <c r="Z427" s="24"/>
      <c r="AA427" s="24"/>
      <c r="AB427" s="24"/>
      <c r="AC427" s="24"/>
      <c r="AD427" s="24"/>
      <c r="AE427" s="24"/>
      <c r="AF427" s="24"/>
      <c r="AG427" s="24">
        <f t="shared" si="282"/>
        <v>8.37643244027792E-2</v>
      </c>
      <c r="AH427" s="24">
        <f t="shared" si="283"/>
        <v>8.8235228239611205E-2</v>
      </c>
      <c r="AL427" s="23">
        <f t="shared" si="271"/>
        <v>0</v>
      </c>
      <c r="AM427" s="23">
        <f t="shared" si="272"/>
        <v>0</v>
      </c>
      <c r="AN427" s="23">
        <f t="shared" si="273"/>
        <v>0</v>
      </c>
      <c r="AO427" s="23">
        <f t="shared" si="274"/>
        <v>0</v>
      </c>
      <c r="AP427" s="23">
        <f t="shared" si="275"/>
        <v>0</v>
      </c>
      <c r="AQ427" s="23">
        <f t="shared" si="276"/>
        <v>0</v>
      </c>
      <c r="AR427" s="23">
        <f t="shared" si="277"/>
        <v>0</v>
      </c>
      <c r="AS427" s="23">
        <f t="shared" si="278"/>
        <v>0</v>
      </c>
      <c r="AT427" s="23">
        <f t="shared" si="279"/>
        <v>7718.6516267434026</v>
      </c>
      <c r="AU427" s="23">
        <f t="shared" si="280"/>
        <v>9845.3296716407021</v>
      </c>
      <c r="AW427" s="25"/>
      <c r="AX427" s="25"/>
      <c r="AY427" s="25"/>
      <c r="AZ427" s="25"/>
      <c r="BA427" s="25"/>
      <c r="BB427" s="25"/>
      <c r="BC427" s="25"/>
      <c r="BD427" s="25"/>
      <c r="BE427" s="25">
        <f t="shared" si="285"/>
        <v>17563.981298384104</v>
      </c>
      <c r="BF427" s="25">
        <f t="shared" si="286"/>
        <v>9845.3296716407021</v>
      </c>
      <c r="BG427" s="25">
        <f t="shared" si="287"/>
        <v>0</v>
      </c>
      <c r="BI427" s="25"/>
      <c r="BJ427" s="25"/>
      <c r="BK427" s="25"/>
      <c r="BL427" s="25"/>
      <c r="BM427" s="25"/>
      <c r="BN427" s="25"/>
      <c r="BO427" s="25"/>
      <c r="BP427" s="25"/>
      <c r="BQ427" s="25">
        <f t="shared" si="290"/>
        <v>17563.981298384104</v>
      </c>
      <c r="BR427" s="25">
        <f t="shared" si="291"/>
        <v>9845.3296716407021</v>
      </c>
      <c r="BS427" s="25">
        <f t="shared" si="292"/>
        <v>0</v>
      </c>
    </row>
    <row r="428" spans="1:71" x14ac:dyDescent="0.2">
      <c r="A428" s="29">
        <f t="shared" si="288"/>
        <v>4.1999999999999549</v>
      </c>
      <c r="B428" s="30">
        <v>4.9016198651552129E-2</v>
      </c>
      <c r="C428" s="30">
        <v>5.1852963376744561E-2</v>
      </c>
      <c r="D428" s="30">
        <v>5.5023155753486631E-2</v>
      </c>
      <c r="E428" s="30">
        <v>5.8494785425339126E-2</v>
      </c>
      <c r="F428" s="30">
        <v>6.2223486217518886E-2</v>
      </c>
      <c r="G428" s="30">
        <v>6.6164779276567443E-2</v>
      </c>
      <c r="H428" s="30">
        <v>7.0278698323256589E-2</v>
      </c>
      <c r="I428" s="30">
        <v>7.4529934901564288E-2</v>
      </c>
      <c r="J428" s="30">
        <v>7.8886734049248619E-2</v>
      </c>
      <c r="K428" s="30">
        <v>8.3319896189030504E-2</v>
      </c>
      <c r="L428" s="30">
        <v>8.7802184663455712E-2</v>
      </c>
      <c r="N428" s="1"/>
      <c r="O428" s="1"/>
      <c r="P428" s="1"/>
      <c r="Q428" s="1"/>
      <c r="R428" s="1"/>
      <c r="S428" s="1"/>
      <c r="T428" s="1"/>
      <c r="U428" s="1"/>
      <c r="V428" s="62">
        <f t="shared" si="293"/>
        <v>0.96132439510979872</v>
      </c>
      <c r="W428" s="68">
        <f t="shared" si="289"/>
        <v>0.95919590151436118</v>
      </c>
      <c r="Y428" s="24"/>
      <c r="Z428" s="24"/>
      <c r="AA428" s="24"/>
      <c r="AB428" s="24"/>
      <c r="AC428" s="24"/>
      <c r="AD428" s="24"/>
      <c r="AE428" s="24"/>
      <c r="AF428" s="24"/>
      <c r="AG428" s="24">
        <f t="shared" si="282"/>
        <v>8.3319896189030504E-2</v>
      </c>
      <c r="AH428" s="24">
        <f t="shared" si="283"/>
        <v>8.7802184663455712E-2</v>
      </c>
      <c r="AL428" s="23">
        <f t="shared" si="271"/>
        <v>0</v>
      </c>
      <c r="AM428" s="23">
        <f t="shared" si="272"/>
        <v>0</v>
      </c>
      <c r="AN428" s="23">
        <f t="shared" si="273"/>
        <v>0</v>
      </c>
      <c r="AO428" s="23">
        <f t="shared" si="274"/>
        <v>0</v>
      </c>
      <c r="AP428" s="23">
        <f t="shared" si="275"/>
        <v>0</v>
      </c>
      <c r="AQ428" s="23">
        <f t="shared" si="276"/>
        <v>0</v>
      </c>
      <c r="AR428" s="23">
        <f t="shared" si="277"/>
        <v>0</v>
      </c>
      <c r="AS428" s="23">
        <f t="shared" si="278"/>
        <v>0</v>
      </c>
      <c r="AT428" s="23">
        <f t="shared" si="279"/>
        <v>7506.755411470991</v>
      </c>
      <c r="AU428" s="23">
        <f t="shared" si="280"/>
        <v>9639.8308741626461</v>
      </c>
      <c r="AW428" s="25"/>
      <c r="AX428" s="25"/>
      <c r="AY428" s="25"/>
      <c r="AZ428" s="25"/>
      <c r="BA428" s="25"/>
      <c r="BB428" s="25"/>
      <c r="BC428" s="25"/>
      <c r="BD428" s="25"/>
      <c r="BE428" s="25">
        <f t="shared" si="285"/>
        <v>17146.586285633639</v>
      </c>
      <c r="BF428" s="25">
        <f t="shared" si="286"/>
        <v>9639.8308741626461</v>
      </c>
      <c r="BG428" s="25">
        <f t="shared" si="287"/>
        <v>0</v>
      </c>
      <c r="BI428" s="25"/>
      <c r="BJ428" s="25"/>
      <c r="BK428" s="25"/>
      <c r="BL428" s="25"/>
      <c r="BM428" s="25"/>
      <c r="BN428" s="25"/>
      <c r="BO428" s="25"/>
      <c r="BP428" s="25"/>
      <c r="BQ428" s="25">
        <f t="shared" si="290"/>
        <v>17146.586285633639</v>
      </c>
      <c r="BR428" s="25">
        <f t="shared" si="291"/>
        <v>9639.8308741626461</v>
      </c>
      <c r="BS428" s="25">
        <f t="shared" si="292"/>
        <v>0</v>
      </c>
    </row>
    <row r="429" spans="1:71" x14ac:dyDescent="0.2">
      <c r="A429" s="29">
        <f t="shared" si="288"/>
        <v>4.2099999999999547</v>
      </c>
      <c r="B429" s="30">
        <v>4.9167575494120805E-2</v>
      </c>
      <c r="C429" s="30">
        <v>5.2165071030781149E-2</v>
      </c>
      <c r="D429" s="30">
        <v>5.5475525171459296E-2</v>
      </c>
      <c r="E429" s="30">
        <v>5.906754478531575E-2</v>
      </c>
      <c r="F429" s="30">
        <v>6.2897603357897791E-2</v>
      </c>
      <c r="G429" s="30">
        <v>6.69221518749466E-2</v>
      </c>
      <c r="H429" s="30">
        <v>7.1102154926878075E-2</v>
      </c>
      <c r="I429" s="30">
        <v>7.5403211369860321E-2</v>
      </c>
      <c r="J429" s="30">
        <v>7.9794452478718803E-2</v>
      </c>
      <c r="K429" s="30">
        <v>8.424755226539582E-2</v>
      </c>
      <c r="L429" s="30">
        <v>8.8736142016534791E-2</v>
      </c>
      <c r="N429" s="1"/>
      <c r="O429" s="1"/>
      <c r="P429" s="1"/>
      <c r="Q429" s="1"/>
      <c r="R429" s="1"/>
      <c r="S429" s="1"/>
      <c r="T429" s="1"/>
      <c r="U429" s="1"/>
      <c r="V429" s="62">
        <f t="shared" si="293"/>
        <v>0.96088818817048571</v>
      </c>
      <c r="W429" s="68">
        <f t="shared" si="289"/>
        <v>0.95875110272417852</v>
      </c>
      <c r="Y429" s="24"/>
      <c r="Z429" s="24"/>
      <c r="AA429" s="24"/>
      <c r="AB429" s="24"/>
      <c r="AC429" s="24"/>
      <c r="AD429" s="24"/>
      <c r="AE429" s="24"/>
      <c r="AF429" s="24"/>
      <c r="AG429" s="24">
        <f t="shared" si="282"/>
        <v>8.424755226539582E-2</v>
      </c>
      <c r="AH429" s="24">
        <f t="shared" si="283"/>
        <v>8.8736142016534791E-2</v>
      </c>
      <c r="AL429" s="23">
        <f t="shared" si="271"/>
        <v>0</v>
      </c>
      <c r="AM429" s="23">
        <f t="shared" si="272"/>
        <v>0</v>
      </c>
      <c r="AN429" s="23">
        <f t="shared" si="273"/>
        <v>0</v>
      </c>
      <c r="AO429" s="23">
        <f t="shared" si="274"/>
        <v>0</v>
      </c>
      <c r="AP429" s="23">
        <f t="shared" si="275"/>
        <v>0</v>
      </c>
      <c r="AQ429" s="23">
        <f t="shared" si="276"/>
        <v>0</v>
      </c>
      <c r="AR429" s="23">
        <f t="shared" si="277"/>
        <v>0</v>
      </c>
      <c r="AS429" s="23">
        <f t="shared" si="278"/>
        <v>0</v>
      </c>
      <c r="AT429" s="23">
        <f t="shared" si="279"/>
        <v>7949.0360576212515</v>
      </c>
      <c r="AU429" s="23">
        <f t="shared" si="280"/>
        <v>10083.07700818002</v>
      </c>
      <c r="AW429" s="25"/>
      <c r="AX429" s="25"/>
      <c r="AY429" s="25"/>
      <c r="AZ429" s="25"/>
      <c r="BA429" s="25"/>
      <c r="BB429" s="25"/>
      <c r="BC429" s="25"/>
      <c r="BD429" s="25"/>
      <c r="BE429" s="25">
        <f t="shared" si="285"/>
        <v>18032.11306580127</v>
      </c>
      <c r="BF429" s="25">
        <f t="shared" si="286"/>
        <v>10083.07700818002</v>
      </c>
      <c r="BG429" s="25">
        <f t="shared" si="287"/>
        <v>0</v>
      </c>
      <c r="BI429" s="25"/>
      <c r="BJ429" s="25"/>
      <c r="BK429" s="25"/>
      <c r="BL429" s="25"/>
      <c r="BM429" s="25"/>
      <c r="BN429" s="25"/>
      <c r="BO429" s="25"/>
      <c r="BP429" s="25"/>
      <c r="BQ429" s="25">
        <f t="shared" si="290"/>
        <v>18032.11306580127</v>
      </c>
      <c r="BR429" s="25">
        <f t="shared" si="291"/>
        <v>10083.07700818002</v>
      </c>
      <c r="BS429" s="25">
        <f t="shared" si="292"/>
        <v>0</v>
      </c>
    </row>
    <row r="430" spans="1:71" x14ac:dyDescent="0.2">
      <c r="A430" s="29">
        <f t="shared" si="288"/>
        <v>4.2199999999999545</v>
      </c>
      <c r="B430" s="30">
        <v>5.0413360631683064E-2</v>
      </c>
      <c r="C430" s="30">
        <v>5.3391628920010537E-2</v>
      </c>
      <c r="D430" s="30">
        <v>5.6687256425957754E-2</v>
      </c>
      <c r="E430" s="30">
        <v>6.0268380567733329E-2</v>
      </c>
      <c r="F430" s="30">
        <v>6.4091244769546182E-2</v>
      </c>
      <c r="G430" s="30">
        <v>6.8112158351699786E-2</v>
      </c>
      <c r="H430" s="30">
        <v>7.2291944777858871E-2</v>
      </c>
      <c r="I430" s="30">
        <v>7.6596038269633016E-2</v>
      </c>
      <c r="J430" s="30">
        <v>8.0993384560711937E-2</v>
      </c>
      <c r="K430" s="30">
        <v>8.5455459614110649E-2</v>
      </c>
      <c r="L430" s="30">
        <v>8.9955691105478866E-2</v>
      </c>
      <c r="N430" s="1"/>
      <c r="O430" s="1"/>
      <c r="P430" s="1"/>
      <c r="Q430" s="1"/>
      <c r="R430" s="1"/>
      <c r="S430" s="1"/>
      <c r="T430" s="1"/>
      <c r="U430" s="1"/>
      <c r="V430" s="62">
        <f t="shared" si="293"/>
        <v>0.96031234095015416</v>
      </c>
      <c r="W430" s="68">
        <f t="shared" si="289"/>
        <v>0.95817223629474313</v>
      </c>
      <c r="Y430" s="24"/>
      <c r="Z430" s="24"/>
      <c r="AA430" s="24"/>
      <c r="AB430" s="24"/>
      <c r="AC430" s="24"/>
      <c r="AD430" s="24"/>
      <c r="AE430" s="24"/>
      <c r="AF430" s="24"/>
      <c r="AG430" s="24">
        <f t="shared" si="282"/>
        <v>8.5455459614110649E-2</v>
      </c>
      <c r="AH430" s="24">
        <f t="shared" si="283"/>
        <v>8.9955691105478866E-2</v>
      </c>
      <c r="AL430" s="23">
        <f t="shared" si="271"/>
        <v>0</v>
      </c>
      <c r="AM430" s="23">
        <f t="shared" si="272"/>
        <v>0</v>
      </c>
      <c r="AN430" s="23">
        <f t="shared" si="273"/>
        <v>0</v>
      </c>
      <c r="AO430" s="23">
        <f t="shared" si="274"/>
        <v>0</v>
      </c>
      <c r="AP430" s="23">
        <f t="shared" si="275"/>
        <v>0</v>
      </c>
      <c r="AQ430" s="23">
        <f t="shared" si="276"/>
        <v>0</v>
      </c>
      <c r="AR430" s="23">
        <f t="shared" si="277"/>
        <v>0</v>
      </c>
      <c r="AS430" s="23">
        <f t="shared" si="278"/>
        <v>0</v>
      </c>
      <c r="AT430" s="23">
        <f t="shared" si="279"/>
        <v>8524.2564752892558</v>
      </c>
      <c r="AU430" s="23">
        <f t="shared" si="280"/>
        <v>10661.258174266115</v>
      </c>
      <c r="AW430" s="25"/>
      <c r="AX430" s="25"/>
      <c r="AY430" s="25"/>
      <c r="AZ430" s="25"/>
      <c r="BA430" s="25"/>
      <c r="BB430" s="25"/>
      <c r="BC430" s="25"/>
      <c r="BD430" s="25"/>
      <c r="BE430" s="25">
        <f t="shared" si="285"/>
        <v>19185.514649555371</v>
      </c>
      <c r="BF430" s="25">
        <f t="shared" si="286"/>
        <v>10661.258174266115</v>
      </c>
      <c r="BG430" s="25">
        <f t="shared" si="287"/>
        <v>0</v>
      </c>
      <c r="BI430" s="25"/>
      <c r="BJ430" s="25"/>
      <c r="BK430" s="25"/>
      <c r="BL430" s="25"/>
      <c r="BM430" s="25"/>
      <c r="BN430" s="25"/>
      <c r="BO430" s="25"/>
      <c r="BP430" s="25"/>
      <c r="BQ430" s="25">
        <f t="shared" si="290"/>
        <v>19185.514649555371</v>
      </c>
      <c r="BR430" s="25">
        <f t="shared" si="291"/>
        <v>10661.258174266115</v>
      </c>
      <c r="BS430" s="25">
        <f t="shared" si="292"/>
        <v>0</v>
      </c>
    </row>
    <row r="431" spans="1:71" x14ac:dyDescent="0.2">
      <c r="A431" s="29">
        <f t="shared" si="288"/>
        <v>4.2299999999999542</v>
      </c>
      <c r="B431" s="30">
        <v>4.9654201066556658E-2</v>
      </c>
      <c r="C431" s="30">
        <v>5.282881372464323E-2</v>
      </c>
      <c r="D431" s="30">
        <v>5.630404928092364E-2</v>
      </c>
      <c r="E431" s="30">
        <v>6.0048382125877049E-2</v>
      </c>
      <c r="F431" s="30">
        <v>6.4018629025722168E-2</v>
      </c>
      <c r="G431" s="30">
        <v>6.8171759281528618E-2</v>
      </c>
      <c r="H431" s="30">
        <v>7.2469256395484016E-2</v>
      </c>
      <c r="I431" s="30">
        <v>7.6877191171937975E-2</v>
      </c>
      <c r="J431" s="30">
        <v>8.1365125188718815E-2</v>
      </c>
      <c r="K431" s="30">
        <v>8.5905137884103061E-2</v>
      </c>
      <c r="L431" s="30">
        <v>9.0471254929031297E-2</v>
      </c>
      <c r="N431" s="1"/>
      <c r="O431" s="1"/>
      <c r="P431" s="1"/>
      <c r="Q431" s="1"/>
      <c r="R431" s="1"/>
      <c r="S431" s="1"/>
      <c r="T431" s="1"/>
      <c r="U431" s="1"/>
      <c r="V431" s="62">
        <f t="shared" si="293"/>
        <v>0.96013386398109934</v>
      </c>
      <c r="W431" s="68">
        <f t="shared" si="289"/>
        <v>0.95795682589520859</v>
      </c>
      <c r="Y431" s="24"/>
      <c r="Z431" s="24"/>
      <c r="AA431" s="24"/>
      <c r="AB431" s="24"/>
      <c r="AC431" s="24"/>
      <c r="AD431" s="24"/>
      <c r="AE431" s="24"/>
      <c r="AF431" s="24"/>
      <c r="AG431" s="24">
        <f t="shared" si="282"/>
        <v>8.5905137884103061E-2</v>
      </c>
      <c r="AH431" s="24">
        <f t="shared" si="283"/>
        <v>9.0471254929031297E-2</v>
      </c>
      <c r="AL431" s="23">
        <f t="shared" si="271"/>
        <v>0</v>
      </c>
      <c r="AM431" s="23">
        <f t="shared" si="272"/>
        <v>0</v>
      </c>
      <c r="AN431" s="23">
        <f t="shared" si="273"/>
        <v>0</v>
      </c>
      <c r="AO431" s="23">
        <f t="shared" si="274"/>
        <v>0</v>
      </c>
      <c r="AP431" s="23">
        <f t="shared" si="275"/>
        <v>0</v>
      </c>
      <c r="AQ431" s="23">
        <f t="shared" si="276"/>
        <v>0</v>
      </c>
      <c r="AR431" s="23">
        <f t="shared" si="277"/>
        <v>0</v>
      </c>
      <c r="AS431" s="23">
        <f t="shared" si="278"/>
        <v>0</v>
      </c>
      <c r="AT431" s="23">
        <f t="shared" si="279"/>
        <v>8738.5478837575411</v>
      </c>
      <c r="AU431" s="23">
        <f t="shared" si="280"/>
        <v>10905.805317635744</v>
      </c>
      <c r="AW431" s="25"/>
      <c r="AX431" s="25"/>
      <c r="AY431" s="25"/>
      <c r="AZ431" s="25"/>
      <c r="BA431" s="25"/>
      <c r="BB431" s="25"/>
      <c r="BC431" s="25"/>
      <c r="BD431" s="25"/>
      <c r="BE431" s="25">
        <f t="shared" si="285"/>
        <v>19644.353201393285</v>
      </c>
      <c r="BF431" s="25">
        <f t="shared" si="286"/>
        <v>10905.805317635744</v>
      </c>
      <c r="BG431" s="25">
        <f t="shared" si="287"/>
        <v>0</v>
      </c>
      <c r="BI431" s="25"/>
      <c r="BJ431" s="25"/>
      <c r="BK431" s="25"/>
      <c r="BL431" s="25"/>
      <c r="BM431" s="25"/>
      <c r="BN431" s="25"/>
      <c r="BO431" s="25"/>
      <c r="BP431" s="25"/>
      <c r="BQ431" s="25">
        <f t="shared" si="290"/>
        <v>19644.353201393285</v>
      </c>
      <c r="BR431" s="25">
        <f t="shared" si="291"/>
        <v>10905.805317635744</v>
      </c>
      <c r="BS431" s="25">
        <f t="shared" si="292"/>
        <v>0</v>
      </c>
    </row>
    <row r="432" spans="1:71" x14ac:dyDescent="0.2">
      <c r="A432" s="29">
        <f t="shared" si="288"/>
        <v>4.239999999999954</v>
      </c>
      <c r="B432" s="30">
        <v>4.8189741690354226E-2</v>
      </c>
      <c r="C432" s="30">
        <v>5.156852315463014E-2</v>
      </c>
      <c r="D432" s="30">
        <v>5.522903420361986E-2</v>
      </c>
      <c r="E432" s="30">
        <v>5.91401971581186E-2</v>
      </c>
      <c r="F432" s="30">
        <v>6.3259510089780716E-2</v>
      </c>
      <c r="G432" s="30">
        <v>6.7544708512247836E-2</v>
      </c>
      <c r="H432" s="30">
        <v>7.195804172776557E-2</v>
      </c>
      <c r="I432" s="30">
        <v>7.6466322939302223E-2</v>
      </c>
      <c r="J432" s="30">
        <v>8.1039835552097927E-2</v>
      </c>
      <c r="K432" s="30">
        <v>8.5651368600742003E-2</v>
      </c>
      <c r="L432" s="30">
        <v>9.0275651953657263E-2</v>
      </c>
      <c r="N432" s="1"/>
      <c r="O432" s="1"/>
      <c r="P432" s="1"/>
      <c r="Q432" s="1"/>
      <c r="R432" s="1"/>
      <c r="S432" s="1"/>
      <c r="T432" s="1"/>
      <c r="U432" s="1"/>
      <c r="V432" s="62">
        <f t="shared" si="293"/>
        <v>0.96029003747902109</v>
      </c>
      <c r="W432" s="68">
        <f t="shared" si="289"/>
        <v>0.95807838361554853</v>
      </c>
      <c r="Y432" s="24"/>
      <c r="Z432" s="24"/>
      <c r="AA432" s="24"/>
      <c r="AB432" s="24"/>
      <c r="AC432" s="24"/>
      <c r="AD432" s="24"/>
      <c r="AE432" s="24"/>
      <c r="AF432" s="24"/>
      <c r="AG432" s="24">
        <f t="shared" si="282"/>
        <v>8.5651368600742003E-2</v>
      </c>
      <c r="AH432" s="24">
        <f t="shared" si="283"/>
        <v>9.0275651953657263E-2</v>
      </c>
      <c r="AL432" s="23">
        <f t="shared" si="271"/>
        <v>0</v>
      </c>
      <c r="AM432" s="23">
        <f t="shared" si="272"/>
        <v>0</v>
      </c>
      <c r="AN432" s="23">
        <f t="shared" si="273"/>
        <v>0</v>
      </c>
      <c r="AO432" s="23">
        <f t="shared" si="274"/>
        <v>0</v>
      </c>
      <c r="AP432" s="23">
        <f t="shared" si="275"/>
        <v>0</v>
      </c>
      <c r="AQ432" s="23">
        <f t="shared" si="276"/>
        <v>0</v>
      </c>
      <c r="AR432" s="23">
        <f t="shared" si="277"/>
        <v>0</v>
      </c>
      <c r="AS432" s="23">
        <f t="shared" si="278"/>
        <v>0</v>
      </c>
      <c r="AT432" s="23">
        <f t="shared" si="279"/>
        <v>8618.1232215636264</v>
      </c>
      <c r="AU432" s="23">
        <f t="shared" si="280"/>
        <v>10813.487693391213</v>
      </c>
      <c r="AW432" s="25"/>
      <c r="AX432" s="25"/>
      <c r="AY432" s="25"/>
      <c r="AZ432" s="25"/>
      <c r="BA432" s="25"/>
      <c r="BB432" s="25"/>
      <c r="BC432" s="25"/>
      <c r="BD432" s="25"/>
      <c r="BE432" s="25">
        <f t="shared" si="285"/>
        <v>19431.610914954839</v>
      </c>
      <c r="BF432" s="25">
        <f t="shared" si="286"/>
        <v>10813.487693391213</v>
      </c>
      <c r="BG432" s="25">
        <f t="shared" si="287"/>
        <v>0</v>
      </c>
      <c r="BI432" s="25"/>
      <c r="BJ432" s="25"/>
      <c r="BK432" s="25"/>
      <c r="BL432" s="25"/>
      <c r="BM432" s="25"/>
      <c r="BN432" s="25"/>
      <c r="BO432" s="25"/>
      <c r="BP432" s="25"/>
      <c r="BQ432" s="25">
        <f t="shared" si="290"/>
        <v>19431.610914954839</v>
      </c>
      <c r="BR432" s="25">
        <f t="shared" si="291"/>
        <v>10813.487693391213</v>
      </c>
      <c r="BS432" s="25">
        <f t="shared" si="292"/>
        <v>0</v>
      </c>
    </row>
    <row r="433" spans="1:71" x14ac:dyDescent="0.2">
      <c r="A433" s="29">
        <f t="shared" si="288"/>
        <v>4.2499999999999538</v>
      </c>
      <c r="B433" s="30">
        <v>4.9318322880306409E-2</v>
      </c>
      <c r="C433" s="30">
        <v>5.2645236607174961E-2</v>
      </c>
      <c r="D433" s="30">
        <v>5.6258412094141834E-2</v>
      </c>
      <c r="E433" s="30">
        <v>6.012636497351901E-2</v>
      </c>
      <c r="F433" s="30">
        <v>6.4206417034237587E-2</v>
      </c>
      <c r="G433" s="30">
        <v>6.8456210707959278E-2</v>
      </c>
      <c r="H433" s="30">
        <v>7.2837901342657205E-2</v>
      </c>
      <c r="I433" s="30">
        <v>7.7318184842192633E-2</v>
      </c>
      <c r="J433" s="30">
        <v>8.1867206908293841E-2</v>
      </c>
      <c r="K433" s="30">
        <v>8.6457606777584697E-2</v>
      </c>
      <c r="L433" s="30">
        <v>9.1063959201882233E-2</v>
      </c>
      <c r="N433" s="1"/>
      <c r="O433" s="1"/>
      <c r="P433" s="1"/>
      <c r="Q433" s="1"/>
      <c r="R433" s="1"/>
      <c r="S433" s="1"/>
      <c r="T433" s="1"/>
      <c r="U433" s="1"/>
      <c r="V433" s="62">
        <f t="shared" si="293"/>
        <v>0.95989286140238739</v>
      </c>
      <c r="W433" s="68">
        <f t="shared" si="289"/>
        <v>0.95769224176671353</v>
      </c>
      <c r="Y433" s="24"/>
      <c r="Z433" s="24"/>
      <c r="AA433" s="24"/>
      <c r="AB433" s="24"/>
      <c r="AC433" s="24"/>
      <c r="AD433" s="24"/>
      <c r="AE433" s="24"/>
      <c r="AF433" s="24"/>
      <c r="AG433" s="24">
        <f t="shared" si="282"/>
        <v>8.6457606777584697E-2</v>
      </c>
      <c r="AH433" s="24">
        <f t="shared" si="283"/>
        <v>9.1063959201882233E-2</v>
      </c>
      <c r="AL433" s="23">
        <f t="shared" si="271"/>
        <v>0</v>
      </c>
      <c r="AM433" s="23">
        <f t="shared" si="272"/>
        <v>0</v>
      </c>
      <c r="AN433" s="23">
        <f t="shared" si="273"/>
        <v>0</v>
      </c>
      <c r="AO433" s="23">
        <f t="shared" si="274"/>
        <v>0</v>
      </c>
      <c r="AP433" s="23">
        <f t="shared" si="275"/>
        <v>0</v>
      </c>
      <c r="AQ433" s="23">
        <f t="shared" si="276"/>
        <v>0</v>
      </c>
      <c r="AR433" s="23">
        <f t="shared" si="277"/>
        <v>0</v>
      </c>
      <c r="AS433" s="23">
        <f t="shared" si="278"/>
        <v>0</v>
      </c>
      <c r="AT433" s="23">
        <f t="shared" si="279"/>
        <v>9001.5099000186729</v>
      </c>
      <c r="AU433" s="23">
        <f t="shared" si="280"/>
        <v>11186.607316471214</v>
      </c>
      <c r="AW433" s="25"/>
      <c r="AX433" s="25"/>
      <c r="AY433" s="25"/>
      <c r="AZ433" s="25"/>
      <c r="BA433" s="25"/>
      <c r="BB433" s="25"/>
      <c r="BC433" s="25"/>
      <c r="BD433" s="25"/>
      <c r="BE433" s="25">
        <f t="shared" si="285"/>
        <v>20188.117216489889</v>
      </c>
      <c r="BF433" s="25">
        <f t="shared" si="286"/>
        <v>11186.607316471214</v>
      </c>
      <c r="BG433" s="25">
        <f t="shared" si="287"/>
        <v>0</v>
      </c>
      <c r="BI433" s="25"/>
      <c r="BJ433" s="25"/>
      <c r="BK433" s="25"/>
      <c r="BL433" s="25"/>
      <c r="BM433" s="25"/>
      <c r="BN433" s="25"/>
      <c r="BO433" s="25"/>
      <c r="BP433" s="25"/>
      <c r="BQ433" s="25">
        <f t="shared" si="290"/>
        <v>20188.117216489889</v>
      </c>
      <c r="BR433" s="25">
        <f t="shared" si="291"/>
        <v>11186.607316471214</v>
      </c>
      <c r="BS433" s="25">
        <f t="shared" si="292"/>
        <v>0</v>
      </c>
    </row>
    <row r="434" spans="1:71" x14ac:dyDescent="0.2">
      <c r="A434" s="29">
        <f t="shared" si="288"/>
        <v>4.2599999999999536</v>
      </c>
      <c r="B434" s="30">
        <v>5.0176366606744682E-2</v>
      </c>
      <c r="C434" s="30">
        <v>5.3392656965087062E-2</v>
      </c>
      <c r="D434" s="30">
        <v>5.6902538042501956E-2</v>
      </c>
      <c r="E434" s="30">
        <v>6.067406942954269E-2</v>
      </c>
      <c r="F434" s="30">
        <v>6.4664344335041354E-2</v>
      </c>
      <c r="G434" s="30">
        <v>6.883085812984327E-2</v>
      </c>
      <c r="H434" s="30">
        <v>7.313561777936177E-2</v>
      </c>
      <c r="I434" s="30">
        <v>7.7545147518872357E-2</v>
      </c>
      <c r="J434" s="30">
        <v>8.2029401143311767E-2</v>
      </c>
      <c r="K434" s="30">
        <v>8.6560814023575003E-2</v>
      </c>
      <c r="L434" s="30">
        <v>9.1113751806356238E-2</v>
      </c>
      <c r="N434" s="1"/>
      <c r="O434" s="1"/>
      <c r="P434" s="1"/>
      <c r="Q434" s="1"/>
      <c r="R434" s="1"/>
      <c r="S434" s="1"/>
      <c r="T434" s="1"/>
      <c r="U434" s="1"/>
      <c r="V434" s="62">
        <f t="shared" si="293"/>
        <v>0.95981502001460905</v>
      </c>
      <c r="W434" s="68">
        <f t="shared" si="289"/>
        <v>0.95764282265243761</v>
      </c>
      <c r="Y434" s="24"/>
      <c r="Z434" s="24"/>
      <c r="AA434" s="24"/>
      <c r="AB434" s="24"/>
      <c r="AC434" s="24"/>
      <c r="AD434" s="24"/>
      <c r="AE434" s="24"/>
      <c r="AF434" s="24"/>
      <c r="AG434" s="24">
        <f t="shared" si="282"/>
        <v>8.6560814023575003E-2</v>
      </c>
      <c r="AH434" s="24">
        <f t="shared" si="283"/>
        <v>9.1113751806356238E-2</v>
      </c>
      <c r="AL434" s="23">
        <f t="shared" si="271"/>
        <v>0</v>
      </c>
      <c r="AM434" s="23">
        <f t="shared" si="272"/>
        <v>0</v>
      </c>
      <c r="AN434" s="23">
        <f t="shared" si="273"/>
        <v>0</v>
      </c>
      <c r="AO434" s="23">
        <f t="shared" si="274"/>
        <v>0</v>
      </c>
      <c r="AP434" s="23">
        <f t="shared" si="275"/>
        <v>0</v>
      </c>
      <c r="AQ434" s="23">
        <f t="shared" si="276"/>
        <v>0</v>
      </c>
      <c r="AR434" s="23">
        <f t="shared" si="277"/>
        <v>0</v>
      </c>
      <c r="AS434" s="23">
        <f t="shared" si="278"/>
        <v>0</v>
      </c>
      <c r="AT434" s="23">
        <f t="shared" si="279"/>
        <v>9050.309865549978</v>
      </c>
      <c r="AU434" s="23">
        <f t="shared" si="280"/>
        <v>11209.871827046853</v>
      </c>
      <c r="AW434" s="25"/>
      <c r="AX434" s="25"/>
      <c r="AY434" s="25"/>
      <c r="AZ434" s="25"/>
      <c r="BA434" s="25"/>
      <c r="BB434" s="25"/>
      <c r="BC434" s="25"/>
      <c r="BD434" s="25"/>
      <c r="BE434" s="25">
        <f t="shared" si="285"/>
        <v>20260.181692596831</v>
      </c>
      <c r="BF434" s="25">
        <f t="shared" si="286"/>
        <v>11209.871827046853</v>
      </c>
      <c r="BG434" s="25">
        <f t="shared" si="287"/>
        <v>0</v>
      </c>
      <c r="BI434" s="25"/>
      <c r="BJ434" s="25"/>
      <c r="BK434" s="25"/>
      <c r="BL434" s="25"/>
      <c r="BM434" s="25"/>
      <c r="BN434" s="25"/>
      <c r="BO434" s="25"/>
      <c r="BP434" s="25"/>
      <c r="BQ434" s="25">
        <f t="shared" si="290"/>
        <v>20260.181692596831</v>
      </c>
      <c r="BR434" s="25">
        <f t="shared" si="291"/>
        <v>11209.871827046853</v>
      </c>
      <c r="BS434" s="25">
        <f t="shared" si="292"/>
        <v>0</v>
      </c>
    </row>
    <row r="435" spans="1:71" x14ac:dyDescent="0.2">
      <c r="A435" s="29">
        <f t="shared" si="288"/>
        <v>4.2699999999999534</v>
      </c>
      <c r="B435" s="30">
        <v>5.2029970432486937E-2</v>
      </c>
      <c r="C435" s="30">
        <v>5.5131093140006603E-2</v>
      </c>
      <c r="D435" s="30">
        <v>5.853059456384814E-2</v>
      </c>
      <c r="E435" s="30">
        <v>6.2196231808883271E-2</v>
      </c>
      <c r="F435" s="30">
        <v>6.6085020141074508E-2</v>
      </c>
      <c r="G435" s="30">
        <v>7.0154456850859748E-2</v>
      </c>
      <c r="H435" s="30">
        <v>7.4366549062215806E-2</v>
      </c>
      <c r="I435" s="30">
        <v>7.8687797943912161E-2</v>
      </c>
      <c r="J435" s="30">
        <v>8.3088114151759068E-2</v>
      </c>
      <c r="K435" s="30">
        <v>8.7539878092978585E-2</v>
      </c>
      <c r="L435" s="30">
        <v>9.2017395289506435E-2</v>
      </c>
      <c r="N435" s="1"/>
      <c r="O435" s="1"/>
      <c r="P435" s="1"/>
      <c r="Q435" s="1"/>
      <c r="R435" s="1"/>
      <c r="S435" s="1"/>
      <c r="T435" s="1"/>
      <c r="U435" s="1"/>
      <c r="V435" s="62">
        <f t="shared" si="293"/>
        <v>0.95930707014605754</v>
      </c>
      <c r="W435" s="68">
        <f t="shared" si="289"/>
        <v>0.9571741405397608</v>
      </c>
      <c r="Y435" s="24"/>
      <c r="Z435" s="24"/>
      <c r="AA435" s="24"/>
      <c r="AB435" s="24"/>
      <c r="AC435" s="24"/>
      <c r="AD435" s="24"/>
      <c r="AE435" s="24"/>
      <c r="AF435" s="24"/>
      <c r="AG435" s="24">
        <f t="shared" si="282"/>
        <v>8.7539878092978585E-2</v>
      </c>
      <c r="AH435" s="24">
        <f t="shared" si="283"/>
        <v>9.2017395289506435E-2</v>
      </c>
      <c r="AL435" s="23">
        <f t="shared" si="271"/>
        <v>0</v>
      </c>
      <c r="AM435" s="23">
        <f t="shared" si="272"/>
        <v>0</v>
      </c>
      <c r="AN435" s="23">
        <f t="shared" si="273"/>
        <v>0</v>
      </c>
      <c r="AO435" s="23">
        <f t="shared" si="274"/>
        <v>0</v>
      </c>
      <c r="AP435" s="23">
        <f t="shared" si="275"/>
        <v>0</v>
      </c>
      <c r="AQ435" s="23">
        <f t="shared" si="276"/>
        <v>0</v>
      </c>
      <c r="AR435" s="23">
        <f t="shared" si="277"/>
        <v>0</v>
      </c>
      <c r="AS435" s="23">
        <f t="shared" si="278"/>
        <v>0</v>
      </c>
      <c r="AT435" s="23">
        <f t="shared" si="279"/>
        <v>9515.1318349173671</v>
      </c>
      <c r="AU435" s="23">
        <f t="shared" si="280"/>
        <v>11636.857665808668</v>
      </c>
      <c r="AW435" s="25"/>
      <c r="AX435" s="25"/>
      <c r="AY435" s="25"/>
      <c r="AZ435" s="25"/>
      <c r="BA435" s="25"/>
      <c r="BB435" s="25"/>
      <c r="BC435" s="25"/>
      <c r="BD435" s="25"/>
      <c r="BE435" s="25">
        <f t="shared" si="285"/>
        <v>21151.989500726035</v>
      </c>
      <c r="BF435" s="25">
        <f t="shared" si="286"/>
        <v>11636.857665808668</v>
      </c>
      <c r="BG435" s="25">
        <f t="shared" si="287"/>
        <v>0</v>
      </c>
      <c r="BI435" s="25"/>
      <c r="BJ435" s="25"/>
      <c r="BK435" s="25"/>
      <c r="BL435" s="25"/>
      <c r="BM435" s="25"/>
      <c r="BN435" s="25"/>
      <c r="BO435" s="25"/>
      <c r="BP435" s="25"/>
      <c r="BQ435" s="25">
        <f t="shared" si="290"/>
        <v>21151.989500726035</v>
      </c>
      <c r="BR435" s="25">
        <f t="shared" si="291"/>
        <v>11636.857665808668</v>
      </c>
      <c r="BS435" s="25">
        <f t="shared" si="292"/>
        <v>0</v>
      </c>
    </row>
    <row r="436" spans="1:71" x14ac:dyDescent="0.2">
      <c r="A436" s="29">
        <f t="shared" si="288"/>
        <v>4.2799999999999532</v>
      </c>
      <c r="B436" s="30">
        <v>5.2522368054997867E-2</v>
      </c>
      <c r="C436" s="30">
        <v>5.5535205624228534E-2</v>
      </c>
      <c r="D436" s="30">
        <v>5.8847920134817946E-2</v>
      </c>
      <c r="E436" s="30">
        <v>6.2428106922578837E-2</v>
      </c>
      <c r="F436" s="30">
        <v>6.623284113361981E-2</v>
      </c>
      <c r="G436" s="30">
        <v>7.0219758168517138E-2</v>
      </c>
      <c r="H436" s="30">
        <v>7.4351001071076173E-2</v>
      </c>
      <c r="I436" s="30">
        <v>7.8593183767874275E-2</v>
      </c>
      <c r="J436" s="30">
        <v>8.2916309764870744E-2</v>
      </c>
      <c r="K436" s="30">
        <v>8.7292840628159354E-2</v>
      </c>
      <c r="L436" s="30">
        <v>9.1697157954838543E-2</v>
      </c>
      <c r="N436" s="1"/>
      <c r="O436" s="1"/>
      <c r="P436" s="1"/>
      <c r="Q436" s="1"/>
      <c r="R436" s="1"/>
      <c r="S436" s="1"/>
      <c r="T436" s="1"/>
      <c r="U436" s="1"/>
      <c r="V436" s="62">
        <f t="shared" si="293"/>
        <v>0.9593894802671239</v>
      </c>
      <c r="W436" s="68">
        <f t="shared" si="289"/>
        <v>0.95729237677834034</v>
      </c>
      <c r="Y436" s="24"/>
      <c r="Z436" s="24"/>
      <c r="AA436" s="24"/>
      <c r="AB436" s="24"/>
      <c r="AC436" s="24"/>
      <c r="AD436" s="24"/>
      <c r="AE436" s="24"/>
      <c r="AF436" s="24"/>
      <c r="AG436" s="24">
        <f t="shared" si="282"/>
        <v>8.7292840628159354E-2</v>
      </c>
      <c r="AH436" s="24">
        <f t="shared" si="283"/>
        <v>9.1697157954838543E-2</v>
      </c>
      <c r="AL436" s="23">
        <f t="shared" si="271"/>
        <v>0</v>
      </c>
      <c r="AM436" s="23">
        <f t="shared" si="272"/>
        <v>0</v>
      </c>
      <c r="AN436" s="23">
        <f t="shared" si="273"/>
        <v>0</v>
      </c>
      <c r="AO436" s="23">
        <f t="shared" si="274"/>
        <v>0</v>
      </c>
      <c r="AP436" s="23">
        <f t="shared" si="275"/>
        <v>0</v>
      </c>
      <c r="AQ436" s="23">
        <f t="shared" si="276"/>
        <v>0</v>
      </c>
      <c r="AR436" s="23">
        <f t="shared" si="277"/>
        <v>0</v>
      </c>
      <c r="AS436" s="23">
        <f t="shared" si="278"/>
        <v>0</v>
      </c>
      <c r="AT436" s="23">
        <f t="shared" si="279"/>
        <v>9397.446668231154</v>
      </c>
      <c r="AU436" s="23">
        <f t="shared" si="280"/>
        <v>11485.014744872797</v>
      </c>
      <c r="AW436" s="25"/>
      <c r="AX436" s="25"/>
      <c r="AY436" s="25"/>
      <c r="AZ436" s="25"/>
      <c r="BA436" s="25"/>
      <c r="BB436" s="25"/>
      <c r="BC436" s="25"/>
      <c r="BD436" s="25"/>
      <c r="BE436" s="25">
        <f t="shared" si="285"/>
        <v>20882.461413103949</v>
      </c>
      <c r="BF436" s="25">
        <f t="shared" si="286"/>
        <v>11485.014744872797</v>
      </c>
      <c r="BG436" s="25">
        <f t="shared" si="287"/>
        <v>0</v>
      </c>
      <c r="BI436" s="25"/>
      <c r="BJ436" s="25"/>
      <c r="BK436" s="25"/>
      <c r="BL436" s="25"/>
      <c r="BM436" s="25"/>
      <c r="BN436" s="25"/>
      <c r="BO436" s="25"/>
      <c r="BP436" s="25"/>
      <c r="BQ436" s="25">
        <f t="shared" si="290"/>
        <v>20882.461413103949</v>
      </c>
      <c r="BR436" s="25">
        <f t="shared" si="291"/>
        <v>11485.014744872797</v>
      </c>
      <c r="BS436" s="25">
        <f t="shared" si="292"/>
        <v>0</v>
      </c>
    </row>
    <row r="437" spans="1:71" x14ac:dyDescent="0.2">
      <c r="A437" s="29">
        <f t="shared" si="288"/>
        <v>4.289999999999953</v>
      </c>
      <c r="B437" s="30">
        <v>5.2143637226816447E-2</v>
      </c>
      <c r="C437" s="30">
        <v>5.5121928460220466E-2</v>
      </c>
      <c r="D437" s="30">
        <v>5.8409585798508148E-2</v>
      </c>
      <c r="E437" s="30">
        <v>6.197350927028103E-2</v>
      </c>
      <c r="F437" s="30">
        <v>6.5770297495257354E-2</v>
      </c>
      <c r="G437" s="30">
        <v>6.9757185969209268E-2</v>
      </c>
      <c r="H437" s="30">
        <v>7.3895915221393924E-2</v>
      </c>
      <c r="I437" s="30">
        <v>7.8152673566907152E-2</v>
      </c>
      <c r="J437" s="30">
        <v>8.2497019156895363E-2</v>
      </c>
      <c r="K437" s="30">
        <v>8.6900956643513647E-2</v>
      </c>
      <c r="L437" s="30">
        <v>9.1338405702662953E-2</v>
      </c>
      <c r="N437" s="1"/>
      <c r="O437" s="1"/>
      <c r="P437" s="1"/>
      <c r="Q437" s="1"/>
      <c r="R437" s="1"/>
      <c r="S437" s="1"/>
      <c r="T437" s="1"/>
      <c r="U437" s="1"/>
      <c r="V437" s="62">
        <f t="shared" si="293"/>
        <v>0.95959063285096768</v>
      </c>
      <c r="W437" s="68">
        <f t="shared" si="289"/>
        <v>0.95747996893187171</v>
      </c>
      <c r="Y437" s="24"/>
      <c r="Z437" s="24"/>
      <c r="AA437" s="24"/>
      <c r="AB437" s="24"/>
      <c r="AC437" s="24"/>
      <c r="AD437" s="24"/>
      <c r="AE437" s="24"/>
      <c r="AF437" s="24"/>
      <c r="AG437" s="24">
        <f t="shared" si="282"/>
        <v>8.6900956643513647E-2</v>
      </c>
      <c r="AH437" s="24">
        <f t="shared" si="283"/>
        <v>9.1338405702662953E-2</v>
      </c>
      <c r="AL437" s="23">
        <f t="shared" si="271"/>
        <v>0</v>
      </c>
      <c r="AM437" s="23">
        <f t="shared" si="272"/>
        <v>0</v>
      </c>
      <c r="AN437" s="23">
        <f t="shared" si="273"/>
        <v>0</v>
      </c>
      <c r="AO437" s="23">
        <f t="shared" si="274"/>
        <v>0</v>
      </c>
      <c r="AP437" s="23">
        <f t="shared" si="275"/>
        <v>0</v>
      </c>
      <c r="AQ437" s="23">
        <f t="shared" si="276"/>
        <v>0</v>
      </c>
      <c r="AR437" s="23">
        <f t="shared" si="277"/>
        <v>0</v>
      </c>
      <c r="AS437" s="23">
        <f t="shared" si="278"/>
        <v>0</v>
      </c>
      <c r="AT437" s="23">
        <f t="shared" si="279"/>
        <v>9211.3929049081999</v>
      </c>
      <c r="AU437" s="23">
        <f t="shared" si="280"/>
        <v>11315.516314398106</v>
      </c>
      <c r="AW437" s="25"/>
      <c r="AX437" s="25"/>
      <c r="AY437" s="25"/>
      <c r="AZ437" s="25"/>
      <c r="BA437" s="25"/>
      <c r="BB437" s="25"/>
      <c r="BC437" s="25"/>
      <c r="BD437" s="25"/>
      <c r="BE437" s="25">
        <f t="shared" si="285"/>
        <v>20526.909219306304</v>
      </c>
      <c r="BF437" s="25">
        <f t="shared" si="286"/>
        <v>11315.516314398106</v>
      </c>
      <c r="BG437" s="25">
        <f t="shared" si="287"/>
        <v>0</v>
      </c>
      <c r="BI437" s="25"/>
      <c r="BJ437" s="25"/>
      <c r="BK437" s="25"/>
      <c r="BL437" s="25"/>
      <c r="BM437" s="25"/>
      <c r="BN437" s="25"/>
      <c r="BO437" s="25"/>
      <c r="BP437" s="25"/>
      <c r="BQ437" s="25">
        <f t="shared" si="290"/>
        <v>20526.909219306304</v>
      </c>
      <c r="BR437" s="25">
        <f t="shared" si="291"/>
        <v>11315.516314398106</v>
      </c>
      <c r="BS437" s="25">
        <f t="shared" si="292"/>
        <v>0</v>
      </c>
    </row>
    <row r="438" spans="1:71" x14ac:dyDescent="0.2">
      <c r="A438" s="29">
        <f t="shared" si="288"/>
        <v>4.2999999999999527</v>
      </c>
      <c r="B438" s="30">
        <v>5.1033379975954141E-2</v>
      </c>
      <c r="C438" s="30">
        <v>5.4106494240591163E-2</v>
      </c>
      <c r="D438" s="30">
        <v>5.7479312552982366E-2</v>
      </c>
      <c r="E438" s="30">
        <v>6.1118884652357167E-2</v>
      </c>
      <c r="F438" s="30">
        <v>6.4982174806697809E-2</v>
      </c>
      <c r="G438" s="30">
        <v>6.9026859197000121E-2</v>
      </c>
      <c r="H438" s="30">
        <v>7.3215116018257018E-2</v>
      </c>
      <c r="I438" s="30">
        <v>7.7513548221438799E-2</v>
      </c>
      <c r="J438" s="30">
        <v>8.1892109013919176E-2</v>
      </c>
      <c r="K438" s="30">
        <v>8.6323186675991967E-2</v>
      </c>
      <c r="L438" s="30">
        <v>9.0781079579968282E-2</v>
      </c>
      <c r="N438" s="1"/>
      <c r="O438" s="1"/>
      <c r="P438" s="1"/>
      <c r="Q438" s="1"/>
      <c r="R438" s="1"/>
      <c r="S438" s="1"/>
      <c r="T438" s="1"/>
      <c r="U438" s="1"/>
      <c r="V438" s="62">
        <f t="shared" si="293"/>
        <v>0.95988090980008078</v>
      </c>
      <c r="W438" s="68">
        <f t="shared" si="289"/>
        <v>0.95775661047401772</v>
      </c>
      <c r="Y438" s="24"/>
      <c r="Z438" s="24"/>
      <c r="AA438" s="24"/>
      <c r="AB438" s="24"/>
      <c r="AC438" s="24"/>
      <c r="AD438" s="24"/>
      <c r="AE438" s="24"/>
      <c r="AF438" s="24"/>
      <c r="AG438" s="24">
        <f t="shared" si="282"/>
        <v>8.6323186675991967E-2</v>
      </c>
      <c r="AH438" s="24">
        <f t="shared" si="283"/>
        <v>9.0781079579968282E-2</v>
      </c>
      <c r="AL438" s="23">
        <f t="shared" si="271"/>
        <v>0</v>
      </c>
      <c r="AM438" s="23">
        <f t="shared" si="272"/>
        <v>0</v>
      </c>
      <c r="AN438" s="23">
        <f t="shared" si="273"/>
        <v>0</v>
      </c>
      <c r="AO438" s="23">
        <f t="shared" si="274"/>
        <v>0</v>
      </c>
      <c r="AP438" s="23">
        <f t="shared" si="275"/>
        <v>0</v>
      </c>
      <c r="AQ438" s="23">
        <f t="shared" si="276"/>
        <v>0</v>
      </c>
      <c r="AR438" s="23">
        <f t="shared" si="277"/>
        <v>0</v>
      </c>
      <c r="AS438" s="23">
        <f t="shared" si="278"/>
        <v>0</v>
      </c>
      <c r="AT438" s="23">
        <f t="shared" si="279"/>
        <v>8936.8841777351336</v>
      </c>
      <c r="AU438" s="23">
        <f t="shared" si="280"/>
        <v>11051.894280255541</v>
      </c>
      <c r="AW438" s="25"/>
      <c r="AX438" s="25"/>
      <c r="AY438" s="25"/>
      <c r="AZ438" s="25"/>
      <c r="BA438" s="25"/>
      <c r="BB438" s="25"/>
      <c r="BC438" s="25"/>
      <c r="BD438" s="25"/>
      <c r="BE438" s="25">
        <f t="shared" si="285"/>
        <v>19988.778457990673</v>
      </c>
      <c r="BF438" s="25">
        <f t="shared" si="286"/>
        <v>11051.894280255541</v>
      </c>
      <c r="BG438" s="25">
        <f t="shared" si="287"/>
        <v>0</v>
      </c>
      <c r="BI438" s="25"/>
      <c r="BJ438" s="25"/>
      <c r="BK438" s="25"/>
      <c r="BL438" s="25"/>
      <c r="BM438" s="25"/>
      <c r="BN438" s="25"/>
      <c r="BO438" s="25"/>
      <c r="BP438" s="25"/>
      <c r="BQ438" s="25">
        <f t="shared" si="290"/>
        <v>19988.778457990673</v>
      </c>
      <c r="BR438" s="25">
        <f t="shared" si="291"/>
        <v>11051.894280255541</v>
      </c>
      <c r="BS438" s="25">
        <f t="shared" si="292"/>
        <v>0</v>
      </c>
    </row>
    <row r="439" spans="1:71" x14ac:dyDescent="0.2">
      <c r="A439" s="29">
        <f t="shared" si="288"/>
        <v>4.3099999999999525</v>
      </c>
      <c r="B439" s="30">
        <v>5.0510102965233394E-2</v>
      </c>
      <c r="C439" s="30">
        <v>5.3502509598073837E-2</v>
      </c>
      <c r="D439" s="30">
        <v>5.6808030223894156E-2</v>
      </c>
      <c r="E439" s="30">
        <v>6.0392889300595352E-2</v>
      </c>
      <c r="F439" s="30">
        <v>6.4213438934453901E-2</v>
      </c>
      <c r="G439" s="30">
        <v>6.8226816620590505E-2</v>
      </c>
      <c r="H439" s="30">
        <v>7.2394658448427671E-2</v>
      </c>
      <c r="I439" s="30">
        <v>7.6683002302508199E-2</v>
      </c>
      <c r="J439" s="30">
        <v>8.1061216907162337E-2</v>
      </c>
      <c r="K439" s="30">
        <v>8.5501094761479102E-2</v>
      </c>
      <c r="L439" s="30">
        <v>8.9976333599451896E-2</v>
      </c>
      <c r="N439" s="1"/>
      <c r="O439" s="1"/>
      <c r="P439" s="1"/>
      <c r="Q439" s="1"/>
      <c r="R439" s="1"/>
      <c r="S439" s="1"/>
      <c r="T439" s="1"/>
      <c r="U439" s="1"/>
      <c r="V439" s="62">
        <f t="shared" si="293"/>
        <v>0.96027977138276888</v>
      </c>
      <c r="W439" s="68">
        <f t="shared" si="289"/>
        <v>0.95815037337856956</v>
      </c>
      <c r="Y439" s="24"/>
      <c r="Z439" s="24"/>
      <c r="AA439" s="24"/>
      <c r="AB439" s="24"/>
      <c r="AC439" s="24"/>
      <c r="AD439" s="24"/>
      <c r="AE439" s="24"/>
      <c r="AF439" s="24"/>
      <c r="AG439" s="24">
        <f t="shared" si="282"/>
        <v>8.5501094761479102E-2</v>
      </c>
      <c r="AH439" s="24">
        <f t="shared" si="283"/>
        <v>8.9976333599451896E-2</v>
      </c>
      <c r="AL439" s="23">
        <f t="shared" si="271"/>
        <v>0</v>
      </c>
      <c r="AM439" s="23">
        <f t="shared" si="272"/>
        <v>0</v>
      </c>
      <c r="AN439" s="23">
        <f t="shared" si="273"/>
        <v>0</v>
      </c>
      <c r="AO439" s="23">
        <f t="shared" si="274"/>
        <v>0</v>
      </c>
      <c r="AP439" s="23">
        <f t="shared" si="275"/>
        <v>0</v>
      </c>
      <c r="AQ439" s="23">
        <f t="shared" si="276"/>
        <v>0</v>
      </c>
      <c r="AR439" s="23">
        <f t="shared" si="277"/>
        <v>0</v>
      </c>
      <c r="AS439" s="23">
        <f t="shared" si="278"/>
        <v>0</v>
      </c>
      <c r="AT439" s="23">
        <f t="shared" si="279"/>
        <v>8545.8786244737203</v>
      </c>
      <c r="AU439" s="23">
        <f t="shared" si="280"/>
        <v>10670.904219651346</v>
      </c>
      <c r="AW439" s="25"/>
      <c r="AX439" s="25"/>
      <c r="AY439" s="25"/>
      <c r="AZ439" s="25"/>
      <c r="BA439" s="25"/>
      <c r="BB439" s="25"/>
      <c r="BC439" s="25"/>
      <c r="BD439" s="25"/>
      <c r="BE439" s="25">
        <f t="shared" si="285"/>
        <v>19216.782844125068</v>
      </c>
      <c r="BF439" s="25">
        <f t="shared" si="286"/>
        <v>10670.904219651346</v>
      </c>
      <c r="BG439" s="25">
        <f t="shared" si="287"/>
        <v>0</v>
      </c>
      <c r="BI439" s="25"/>
      <c r="BJ439" s="25"/>
      <c r="BK439" s="25"/>
      <c r="BL439" s="25"/>
      <c r="BM439" s="25"/>
      <c r="BN439" s="25"/>
      <c r="BO439" s="25"/>
      <c r="BP439" s="25"/>
      <c r="BQ439" s="25">
        <f t="shared" si="290"/>
        <v>19216.782844125068</v>
      </c>
      <c r="BR439" s="25">
        <f t="shared" si="291"/>
        <v>10670.904219651346</v>
      </c>
      <c r="BS439" s="25">
        <f t="shared" si="292"/>
        <v>0</v>
      </c>
    </row>
    <row r="440" spans="1:71" x14ac:dyDescent="0.2">
      <c r="A440" s="29">
        <f t="shared" si="288"/>
        <v>4.3199999999999523</v>
      </c>
      <c r="B440" s="30">
        <v>5.0257236444350421E-2</v>
      </c>
      <c r="C440" s="30">
        <v>5.3283717815327543E-2</v>
      </c>
      <c r="D440" s="30">
        <v>5.6619204003227439E-2</v>
      </c>
      <c r="E440" s="30">
        <v>6.0229873581885668E-2</v>
      </c>
      <c r="F440" s="30">
        <v>6.4072243100260051E-2</v>
      </c>
      <c r="G440" s="30">
        <v>6.8103686434072816E-2</v>
      </c>
      <c r="H440" s="30">
        <v>7.2286072242829374E-2</v>
      </c>
      <c r="I440" s="30">
        <v>7.6585648091183275E-2</v>
      </c>
      <c r="J440" s="30">
        <v>8.0971973129328578E-2</v>
      </c>
      <c r="K440" s="30">
        <v>8.5417019112877732E-2</v>
      </c>
      <c r="L440" s="30">
        <v>8.9894658248942078E-2</v>
      </c>
      <c r="N440" s="1"/>
      <c r="O440" s="1"/>
      <c r="P440" s="1"/>
      <c r="Q440" s="1"/>
      <c r="R440" s="1"/>
      <c r="S440" s="1"/>
      <c r="T440" s="1"/>
      <c r="U440" s="1"/>
      <c r="V440" s="62">
        <f t="shared" si="293"/>
        <v>0.96032262183608363</v>
      </c>
      <c r="W440" s="68">
        <f t="shared" si="289"/>
        <v>0.95819065278224258</v>
      </c>
      <c r="Y440" s="24"/>
      <c r="Z440" s="24"/>
      <c r="AA440" s="24"/>
      <c r="AB440" s="24"/>
      <c r="AC440" s="24"/>
      <c r="AD440" s="24"/>
      <c r="AE440" s="24"/>
      <c r="AF440" s="24"/>
      <c r="AG440" s="24">
        <f t="shared" si="282"/>
        <v>8.5417019112877732E-2</v>
      </c>
      <c r="AH440" s="24">
        <f t="shared" si="283"/>
        <v>8.9894658248942078E-2</v>
      </c>
      <c r="AL440" s="23">
        <f t="shared" si="271"/>
        <v>0</v>
      </c>
      <c r="AM440" s="23">
        <f t="shared" si="272"/>
        <v>0</v>
      </c>
      <c r="AN440" s="23">
        <f t="shared" si="273"/>
        <v>0</v>
      </c>
      <c r="AO440" s="23">
        <f t="shared" si="274"/>
        <v>0</v>
      </c>
      <c r="AP440" s="23">
        <f t="shared" si="275"/>
        <v>0</v>
      </c>
      <c r="AQ440" s="23">
        <f t="shared" si="276"/>
        <v>0</v>
      </c>
      <c r="AR440" s="23">
        <f t="shared" si="277"/>
        <v>0</v>
      </c>
      <c r="AS440" s="23">
        <f t="shared" si="278"/>
        <v>0</v>
      </c>
      <c r="AT440" s="23">
        <f t="shared" si="279"/>
        <v>8505.8900925797116</v>
      </c>
      <c r="AU440" s="23">
        <f t="shared" si="280"/>
        <v>10632.222531966279</v>
      </c>
      <c r="AW440" s="25"/>
      <c r="AX440" s="25"/>
      <c r="AY440" s="25"/>
      <c r="AZ440" s="25"/>
      <c r="BA440" s="25"/>
      <c r="BB440" s="25"/>
      <c r="BC440" s="25"/>
      <c r="BD440" s="25"/>
      <c r="BE440" s="25">
        <f t="shared" si="285"/>
        <v>19138.112624545989</v>
      </c>
      <c r="BF440" s="25">
        <f t="shared" si="286"/>
        <v>10632.222531966279</v>
      </c>
      <c r="BG440" s="25">
        <f t="shared" si="287"/>
        <v>0</v>
      </c>
      <c r="BI440" s="25"/>
      <c r="BJ440" s="25"/>
      <c r="BK440" s="25"/>
      <c r="BL440" s="25"/>
      <c r="BM440" s="25"/>
      <c r="BN440" s="25"/>
      <c r="BO440" s="25"/>
      <c r="BP440" s="25"/>
      <c r="BQ440" s="25">
        <f t="shared" si="290"/>
        <v>19138.112624545989</v>
      </c>
      <c r="BR440" s="25">
        <f t="shared" si="291"/>
        <v>10632.222531966279</v>
      </c>
      <c r="BS440" s="25">
        <f t="shared" si="292"/>
        <v>0</v>
      </c>
    </row>
    <row r="441" spans="1:71" x14ac:dyDescent="0.2">
      <c r="A441" s="29">
        <f t="shared" si="288"/>
        <v>4.3299999999999521</v>
      </c>
      <c r="B441" s="30">
        <v>5.0117733323581541E-2</v>
      </c>
      <c r="C441" s="30">
        <v>5.332636257238911E-2</v>
      </c>
      <c r="D441" s="30">
        <v>5.6825067129179362E-2</v>
      </c>
      <c r="E441" s="30">
        <v>6.0580551367136179E-2</v>
      </c>
      <c r="F441" s="30">
        <v>6.4550065193535955E-2</v>
      </c>
      <c r="G441" s="30">
        <v>6.8691786265370883E-2</v>
      </c>
      <c r="H441" s="30">
        <v>7.2968382831308673E-2</v>
      </c>
      <c r="I441" s="30">
        <v>7.734687922790752E-2</v>
      </c>
      <c r="J441" s="30">
        <v>8.1797592284717321E-2</v>
      </c>
      <c r="K441" s="30">
        <v>8.6293240395084639E-2</v>
      </c>
      <c r="L441" s="30">
        <v>9.0808437693254224E-2</v>
      </c>
      <c r="N441" s="1"/>
      <c r="O441" s="1"/>
      <c r="P441" s="1"/>
      <c r="Q441" s="1"/>
      <c r="R441" s="1"/>
      <c r="S441" s="1"/>
      <c r="T441" s="1"/>
      <c r="U441" s="1"/>
      <c r="V441" s="62">
        <f t="shared" si="293"/>
        <v>0.95992627327398294</v>
      </c>
      <c r="W441" s="68">
        <f t="shared" si="289"/>
        <v>0.95777095120562938</v>
      </c>
      <c r="Y441" s="24"/>
      <c r="Z441" s="24"/>
      <c r="AA441" s="24"/>
      <c r="AB441" s="24"/>
      <c r="AC441" s="24"/>
      <c r="AD441" s="24"/>
      <c r="AE441" s="24"/>
      <c r="AF441" s="24"/>
      <c r="AG441" s="24">
        <f t="shared" si="282"/>
        <v>8.6293240395084639E-2</v>
      </c>
      <c r="AH441" s="24">
        <f t="shared" si="283"/>
        <v>9.0808437693254224E-2</v>
      </c>
      <c r="AL441" s="23">
        <f t="shared" si="271"/>
        <v>0</v>
      </c>
      <c r="AM441" s="23">
        <f t="shared" si="272"/>
        <v>0</v>
      </c>
      <c r="AN441" s="23">
        <f t="shared" si="273"/>
        <v>0</v>
      </c>
      <c r="AO441" s="23">
        <f t="shared" si="274"/>
        <v>0</v>
      </c>
      <c r="AP441" s="23">
        <f t="shared" si="275"/>
        <v>0</v>
      </c>
      <c r="AQ441" s="23">
        <f t="shared" si="276"/>
        <v>0</v>
      </c>
      <c r="AR441" s="23">
        <f t="shared" si="277"/>
        <v>0</v>
      </c>
      <c r="AS441" s="23">
        <f t="shared" si="278"/>
        <v>0</v>
      </c>
      <c r="AT441" s="23">
        <f t="shared" si="279"/>
        <v>8922.9334193308732</v>
      </c>
      <c r="AU441" s="23">
        <f t="shared" si="280"/>
        <v>11065.161166152306</v>
      </c>
      <c r="AW441" s="25"/>
      <c r="AX441" s="25"/>
      <c r="AY441" s="25"/>
      <c r="AZ441" s="25"/>
      <c r="BA441" s="25"/>
      <c r="BB441" s="25"/>
      <c r="BC441" s="25"/>
      <c r="BD441" s="25"/>
      <c r="BE441" s="25">
        <f t="shared" si="285"/>
        <v>19988.094585483181</v>
      </c>
      <c r="BF441" s="25">
        <f t="shared" si="286"/>
        <v>11065.161166152306</v>
      </c>
      <c r="BG441" s="25">
        <f t="shared" si="287"/>
        <v>0</v>
      </c>
      <c r="BI441" s="25"/>
      <c r="BJ441" s="25"/>
      <c r="BK441" s="25"/>
      <c r="BL441" s="25"/>
      <c r="BM441" s="25"/>
      <c r="BN441" s="25"/>
      <c r="BO441" s="25"/>
      <c r="BP441" s="25"/>
      <c r="BQ441" s="25">
        <f t="shared" si="290"/>
        <v>19988.094585483181</v>
      </c>
      <c r="BR441" s="25">
        <f t="shared" si="291"/>
        <v>11065.161166152306</v>
      </c>
      <c r="BS441" s="25">
        <f t="shared" si="292"/>
        <v>0</v>
      </c>
    </row>
    <row r="442" spans="1:71" x14ac:dyDescent="0.2">
      <c r="A442" s="29">
        <f t="shared" si="288"/>
        <v>4.3399999999999519</v>
      </c>
      <c r="B442" s="30">
        <v>5.0488860445925814E-2</v>
      </c>
      <c r="C442" s="30">
        <v>5.3621372326668602E-2</v>
      </c>
      <c r="D442" s="30">
        <v>5.7046261939998719E-2</v>
      </c>
      <c r="E442" s="30">
        <v>6.073003032190618E-2</v>
      </c>
      <c r="F442" s="30">
        <v>6.4629928858723359E-2</v>
      </c>
      <c r="G442" s="30">
        <v>6.8704205617148656E-2</v>
      </c>
      <c r="H442" s="30">
        <v>7.2915594690945343E-2</v>
      </c>
      <c r="I442" s="30">
        <v>7.7231163519003637E-2</v>
      </c>
      <c r="J442" s="30">
        <v>8.1621253101675242E-2</v>
      </c>
      <c r="K442" s="30">
        <v>8.6058595088107231E-2</v>
      </c>
      <c r="L442" s="30">
        <v>9.0517812229652092E-2</v>
      </c>
      <c r="N442" s="1"/>
      <c r="O442" s="1"/>
      <c r="P442" s="1"/>
      <c r="Q442" s="1"/>
      <c r="R442" s="1"/>
      <c r="S442" s="1"/>
      <c r="T442" s="1"/>
      <c r="U442" s="1"/>
      <c r="V442" s="62">
        <f t="shared" si="293"/>
        <v>0.96001091331267174</v>
      </c>
      <c r="W442" s="68">
        <f t="shared" si="289"/>
        <v>0.95788332602698645</v>
      </c>
      <c r="Y442" s="24"/>
      <c r="Z442" s="24"/>
      <c r="AA442" s="24"/>
      <c r="AB442" s="24"/>
      <c r="AC442" s="24"/>
      <c r="AD442" s="24"/>
      <c r="AE442" s="24"/>
      <c r="AF442" s="24"/>
      <c r="AG442" s="24">
        <f t="shared" si="282"/>
        <v>8.6058595088107231E-2</v>
      </c>
      <c r="AH442" s="24">
        <f t="shared" si="283"/>
        <v>9.0517812229652092E-2</v>
      </c>
      <c r="AL442" s="23">
        <f t="shared" si="271"/>
        <v>0</v>
      </c>
      <c r="AM442" s="23">
        <f t="shared" si="272"/>
        <v>0</v>
      </c>
      <c r="AN442" s="23">
        <f t="shared" si="273"/>
        <v>0</v>
      </c>
      <c r="AO442" s="23">
        <f t="shared" si="274"/>
        <v>0</v>
      </c>
      <c r="AP442" s="23">
        <f t="shared" si="275"/>
        <v>0</v>
      </c>
      <c r="AQ442" s="23">
        <f t="shared" si="276"/>
        <v>0</v>
      </c>
      <c r="AR442" s="23">
        <f t="shared" si="277"/>
        <v>0</v>
      </c>
      <c r="AS442" s="23">
        <f t="shared" si="278"/>
        <v>0</v>
      </c>
      <c r="AT442" s="23">
        <f t="shared" si="279"/>
        <v>8811.0891576815811</v>
      </c>
      <c r="AU442" s="23">
        <f t="shared" si="280"/>
        <v>10927.266793526693</v>
      </c>
      <c r="AW442" s="25"/>
      <c r="AX442" s="25"/>
      <c r="AY442" s="25"/>
      <c r="AZ442" s="25"/>
      <c r="BA442" s="25"/>
      <c r="BB442" s="25"/>
      <c r="BC442" s="25"/>
      <c r="BD442" s="25"/>
      <c r="BE442" s="25">
        <f t="shared" si="285"/>
        <v>19738.355951208272</v>
      </c>
      <c r="BF442" s="25">
        <f t="shared" si="286"/>
        <v>10927.266793526693</v>
      </c>
      <c r="BG442" s="25">
        <f t="shared" si="287"/>
        <v>0</v>
      </c>
      <c r="BI442" s="25"/>
      <c r="BJ442" s="25"/>
      <c r="BK442" s="25"/>
      <c r="BL442" s="25"/>
      <c r="BM442" s="25"/>
      <c r="BN442" s="25"/>
      <c r="BO442" s="25"/>
      <c r="BP442" s="25"/>
      <c r="BQ442" s="25">
        <f t="shared" si="290"/>
        <v>19738.355951208272</v>
      </c>
      <c r="BR442" s="25">
        <f t="shared" si="291"/>
        <v>10927.266793526693</v>
      </c>
      <c r="BS442" s="25">
        <f t="shared" si="292"/>
        <v>0</v>
      </c>
    </row>
    <row r="443" spans="1:71" x14ac:dyDescent="0.2">
      <c r="A443" s="29">
        <f t="shared" si="288"/>
        <v>4.3499999999999517</v>
      </c>
      <c r="B443" s="30">
        <v>4.9606210678932568E-2</v>
      </c>
      <c r="C443" s="30">
        <v>5.2846644790770086E-2</v>
      </c>
      <c r="D443" s="30">
        <v>5.6373082666028654E-2</v>
      </c>
      <c r="E443" s="30">
        <v>6.0151989380908273E-2</v>
      </c>
      <c r="F443" s="30">
        <v>6.4140782460489182E-2</v>
      </c>
      <c r="G443" s="30">
        <v>6.829794357096261E-2</v>
      </c>
      <c r="H443" s="30">
        <v>7.258643547741099E-2</v>
      </c>
      <c r="I443" s="30">
        <v>7.6973531623504829E-2</v>
      </c>
      <c r="J443" s="30">
        <v>8.1429760243176441E-2</v>
      </c>
      <c r="K443" s="30">
        <v>8.5928029429678449E-2</v>
      </c>
      <c r="L443" s="30">
        <v>9.0443133810793164E-2</v>
      </c>
      <c r="N443" s="1"/>
      <c r="O443" s="1"/>
      <c r="P443" s="1"/>
      <c r="Q443" s="1"/>
      <c r="R443" s="1"/>
      <c r="S443" s="1"/>
      <c r="T443" s="1"/>
      <c r="U443" s="1"/>
      <c r="V443" s="62">
        <f t="shared" si="293"/>
        <v>0.96010283533019414</v>
      </c>
      <c r="W443" s="68">
        <f t="shared" si="289"/>
        <v>0.95794586140178772</v>
      </c>
      <c r="Y443" s="24"/>
      <c r="Z443" s="24"/>
      <c r="AA443" s="24"/>
      <c r="AB443" s="24"/>
      <c r="AC443" s="24"/>
      <c r="AD443" s="24"/>
      <c r="AE443" s="24"/>
      <c r="AF443" s="24"/>
      <c r="AG443" s="24">
        <f t="shared" si="282"/>
        <v>8.5928029429678449E-2</v>
      </c>
      <c r="AH443" s="24">
        <f t="shared" si="283"/>
        <v>9.0443133810793164E-2</v>
      </c>
      <c r="AL443" s="23">
        <f t="shared" si="271"/>
        <v>0</v>
      </c>
      <c r="AM443" s="23">
        <f t="shared" si="272"/>
        <v>0</v>
      </c>
      <c r="AN443" s="23">
        <f t="shared" si="273"/>
        <v>0</v>
      </c>
      <c r="AO443" s="23">
        <f t="shared" si="274"/>
        <v>0</v>
      </c>
      <c r="AP443" s="23">
        <f t="shared" si="275"/>
        <v>0</v>
      </c>
      <c r="AQ443" s="23">
        <f t="shared" si="276"/>
        <v>0</v>
      </c>
      <c r="AR443" s="23">
        <f t="shared" si="277"/>
        <v>0</v>
      </c>
      <c r="AS443" s="23">
        <f t="shared" si="278"/>
        <v>0</v>
      </c>
      <c r="AT443" s="23">
        <f t="shared" si="279"/>
        <v>8749.2545989676964</v>
      </c>
      <c r="AU443" s="23">
        <f t="shared" si="280"/>
        <v>10892.211238563266</v>
      </c>
      <c r="AW443" s="25"/>
      <c r="AX443" s="25"/>
      <c r="AY443" s="25"/>
      <c r="AZ443" s="25"/>
      <c r="BA443" s="25"/>
      <c r="BB443" s="25"/>
      <c r="BC443" s="25"/>
      <c r="BD443" s="25"/>
      <c r="BE443" s="25">
        <f t="shared" si="285"/>
        <v>19641.465837530963</v>
      </c>
      <c r="BF443" s="25">
        <f t="shared" si="286"/>
        <v>10892.211238563266</v>
      </c>
      <c r="BG443" s="25">
        <f t="shared" si="287"/>
        <v>0</v>
      </c>
      <c r="BI443" s="25"/>
      <c r="BJ443" s="25"/>
      <c r="BK443" s="25"/>
      <c r="BL443" s="25"/>
      <c r="BM443" s="25"/>
      <c r="BN443" s="25"/>
      <c r="BO443" s="25"/>
      <c r="BP443" s="25"/>
      <c r="BQ443" s="25">
        <f t="shared" si="290"/>
        <v>19641.465837530963</v>
      </c>
      <c r="BR443" s="25">
        <f t="shared" si="291"/>
        <v>10892.211238563266</v>
      </c>
      <c r="BS443" s="25">
        <f t="shared" si="292"/>
        <v>0</v>
      </c>
    </row>
    <row r="444" spans="1:71" x14ac:dyDescent="0.2">
      <c r="A444" s="29">
        <f t="shared" si="288"/>
        <v>4.3599999999999515</v>
      </c>
      <c r="B444" s="30">
        <v>4.8980850761385183E-2</v>
      </c>
      <c r="C444" s="30">
        <v>5.2324334904486604E-2</v>
      </c>
      <c r="D444" s="30">
        <v>5.5939651497267262E-2</v>
      </c>
      <c r="E444" s="30">
        <v>5.9793675723555706E-2</v>
      </c>
      <c r="F444" s="30">
        <v>6.3844434621842736E-2</v>
      </c>
      <c r="G444" s="30">
        <v>6.8051085384696772E-2</v>
      </c>
      <c r="H444" s="30">
        <v>7.2377261020636394E-2</v>
      </c>
      <c r="I444" s="30">
        <v>7.6790882628136228E-2</v>
      </c>
      <c r="J444" s="30">
        <v>8.1263107484367519E-2</v>
      </c>
      <c r="K444" s="30">
        <v>8.5767462060782715E-2</v>
      </c>
      <c r="L444" s="30">
        <v>9.0279354865820269E-2</v>
      </c>
      <c r="N444" s="1"/>
      <c r="O444" s="1"/>
      <c r="P444" s="1"/>
      <c r="Q444" s="1"/>
      <c r="R444" s="1"/>
      <c r="S444" s="1"/>
      <c r="T444" s="1"/>
      <c r="U444" s="1"/>
      <c r="V444" s="62">
        <f t="shared" si="293"/>
        <v>0.96018284055654479</v>
      </c>
      <c r="W444" s="68">
        <f t="shared" si="289"/>
        <v>0.95802277191233087</v>
      </c>
      <c r="Y444" s="24"/>
      <c r="Z444" s="24"/>
      <c r="AA444" s="24"/>
      <c r="AB444" s="24"/>
      <c r="AC444" s="24"/>
      <c r="AD444" s="24"/>
      <c r="AE444" s="24"/>
      <c r="AF444" s="24"/>
      <c r="AG444" s="24">
        <f t="shared" si="282"/>
        <v>8.5767462060782715E-2</v>
      </c>
      <c r="AH444" s="24">
        <f t="shared" si="283"/>
        <v>9.0279354865820269E-2</v>
      </c>
      <c r="AL444" s="23">
        <f t="shared" si="271"/>
        <v>0</v>
      </c>
      <c r="AM444" s="23">
        <f t="shared" si="272"/>
        <v>0</v>
      </c>
      <c r="AN444" s="23">
        <f t="shared" si="273"/>
        <v>0</v>
      </c>
      <c r="AO444" s="23">
        <f t="shared" si="274"/>
        <v>0</v>
      </c>
      <c r="AP444" s="23">
        <f t="shared" si="275"/>
        <v>0</v>
      </c>
      <c r="AQ444" s="23">
        <f t="shared" si="276"/>
        <v>0</v>
      </c>
      <c r="AR444" s="23">
        <f t="shared" si="277"/>
        <v>0</v>
      </c>
      <c r="AS444" s="23">
        <f t="shared" si="278"/>
        <v>0</v>
      </c>
      <c r="AT444" s="23">
        <f t="shared" si="279"/>
        <v>8672.8966568675478</v>
      </c>
      <c r="AU444" s="23">
        <f t="shared" si="280"/>
        <v>10814.633761095027</v>
      </c>
      <c r="AW444" s="25"/>
      <c r="AX444" s="25"/>
      <c r="AY444" s="25"/>
      <c r="AZ444" s="25"/>
      <c r="BA444" s="25"/>
      <c r="BB444" s="25"/>
      <c r="BC444" s="25"/>
      <c r="BD444" s="25"/>
      <c r="BE444" s="25">
        <f t="shared" si="285"/>
        <v>19487.530417962575</v>
      </c>
      <c r="BF444" s="25">
        <f t="shared" si="286"/>
        <v>10814.633761095027</v>
      </c>
      <c r="BG444" s="25">
        <f t="shared" si="287"/>
        <v>0</v>
      </c>
      <c r="BI444" s="25"/>
      <c r="BJ444" s="25"/>
      <c r="BK444" s="25"/>
      <c r="BL444" s="25"/>
      <c r="BM444" s="25"/>
      <c r="BN444" s="25"/>
      <c r="BO444" s="25"/>
      <c r="BP444" s="25"/>
      <c r="BQ444" s="25">
        <f t="shared" si="290"/>
        <v>19487.530417962575</v>
      </c>
      <c r="BR444" s="25">
        <f t="shared" si="291"/>
        <v>10814.633761095027</v>
      </c>
      <c r="BS444" s="25">
        <f t="shared" si="292"/>
        <v>0</v>
      </c>
    </row>
    <row r="445" spans="1:71" x14ac:dyDescent="0.2">
      <c r="A445" s="29">
        <f t="shared" si="288"/>
        <v>4.3699999999999513</v>
      </c>
      <c r="B445" s="30">
        <v>5.0574712097401088E-2</v>
      </c>
      <c r="C445" s="30">
        <v>5.3929801303207535E-2</v>
      </c>
      <c r="D445" s="30">
        <v>5.7549482057281443E-2</v>
      </c>
      <c r="E445" s="30">
        <v>6.1400816665523147E-2</v>
      </c>
      <c r="F445" s="30">
        <v>6.5442216026420905E-2</v>
      </c>
      <c r="G445" s="30">
        <v>6.9633285779589063E-2</v>
      </c>
      <c r="H445" s="30">
        <v>7.3938101751537338E-2</v>
      </c>
      <c r="I445" s="30">
        <v>7.8325005349640708E-2</v>
      </c>
      <c r="J445" s="30">
        <v>8.2765555707336153E-2</v>
      </c>
      <c r="K445" s="30">
        <v>8.7233670610652639E-2</v>
      </c>
      <c r="L445" s="30">
        <v>9.170514545431431E-2</v>
      </c>
      <c r="N445" s="1"/>
      <c r="O445" s="1"/>
      <c r="P445" s="1"/>
      <c r="Q445" s="1"/>
      <c r="R445" s="1"/>
      <c r="S445" s="1"/>
      <c r="T445" s="1"/>
      <c r="U445" s="1"/>
      <c r="V445" s="62">
        <f t="shared" si="293"/>
        <v>0.95946179892112549</v>
      </c>
      <c r="W445" s="68">
        <f t="shared" si="289"/>
        <v>0.95732069870063696</v>
      </c>
      <c r="Y445" s="24"/>
      <c r="Z445" s="24"/>
      <c r="AA445" s="24"/>
      <c r="AB445" s="24"/>
      <c r="AC445" s="24"/>
      <c r="AD445" s="24"/>
      <c r="AE445" s="24"/>
      <c r="AF445" s="24"/>
      <c r="AG445" s="24">
        <f t="shared" si="282"/>
        <v>8.7233670610652639E-2</v>
      </c>
      <c r="AH445" s="24">
        <f t="shared" si="283"/>
        <v>9.170514545431431E-2</v>
      </c>
      <c r="AL445" s="23">
        <f t="shared" si="271"/>
        <v>0</v>
      </c>
      <c r="AM445" s="23">
        <f t="shared" si="272"/>
        <v>0</v>
      </c>
      <c r="AN445" s="23">
        <f t="shared" si="273"/>
        <v>0</v>
      </c>
      <c r="AO445" s="23">
        <f t="shared" si="274"/>
        <v>0</v>
      </c>
      <c r="AP445" s="23">
        <f t="shared" si="275"/>
        <v>0</v>
      </c>
      <c r="AQ445" s="23">
        <f t="shared" si="276"/>
        <v>0</v>
      </c>
      <c r="AR445" s="23">
        <f t="shared" si="277"/>
        <v>0</v>
      </c>
      <c r="AS445" s="23">
        <f t="shared" si="278"/>
        <v>0</v>
      </c>
      <c r="AT445" s="23">
        <f t="shared" si="279"/>
        <v>9369.7693608168011</v>
      </c>
      <c r="AU445" s="23">
        <f t="shared" si="280"/>
        <v>11489.177833450372</v>
      </c>
      <c r="AW445" s="25"/>
      <c r="AX445" s="25"/>
      <c r="AY445" s="25"/>
      <c r="AZ445" s="25"/>
      <c r="BA445" s="25"/>
      <c r="BB445" s="25"/>
      <c r="BC445" s="25"/>
      <c r="BD445" s="25"/>
      <c r="BE445" s="25">
        <f t="shared" si="285"/>
        <v>20858.947194267173</v>
      </c>
      <c r="BF445" s="25">
        <f t="shared" si="286"/>
        <v>11489.177833450372</v>
      </c>
      <c r="BG445" s="25">
        <f t="shared" si="287"/>
        <v>0</v>
      </c>
      <c r="BI445" s="25"/>
      <c r="BJ445" s="25"/>
      <c r="BK445" s="25"/>
      <c r="BL445" s="25"/>
      <c r="BM445" s="25"/>
      <c r="BN445" s="25"/>
      <c r="BO445" s="25"/>
      <c r="BP445" s="25"/>
      <c r="BQ445" s="25">
        <f t="shared" si="290"/>
        <v>20858.947194267173</v>
      </c>
      <c r="BR445" s="25">
        <f t="shared" si="291"/>
        <v>11489.177833450372</v>
      </c>
      <c r="BS445" s="25">
        <f t="shared" si="292"/>
        <v>0</v>
      </c>
    </row>
    <row r="446" spans="1:71" x14ac:dyDescent="0.2">
      <c r="A446" s="29">
        <f t="shared" si="288"/>
        <v>4.379999999999951</v>
      </c>
      <c r="B446" s="30">
        <v>5.0817229887091163E-2</v>
      </c>
      <c r="C446" s="30">
        <v>5.4202146599845125E-2</v>
      </c>
      <c r="D446" s="30">
        <v>5.7847312013781294E-2</v>
      </c>
      <c r="E446" s="30">
        <v>6.1719786588403713E-2</v>
      </c>
      <c r="F446" s="30">
        <v>6.5778173470712548E-2</v>
      </c>
      <c r="G446" s="30">
        <v>6.9982333731560389E-2</v>
      </c>
      <c r="H446" s="30">
        <v>7.4296592662039723E-2</v>
      </c>
      <c r="I446" s="30">
        <v>7.8689518706146641E-2</v>
      </c>
      <c r="J446" s="30">
        <v>8.3132879739523491E-2</v>
      </c>
      <c r="K446" s="30">
        <v>8.7600791870983422E-2</v>
      </c>
      <c r="L446" s="30">
        <v>9.206924445812327E-2</v>
      </c>
      <c r="N446" s="1"/>
      <c r="O446" s="1"/>
      <c r="P446" s="1"/>
      <c r="Q446" s="1"/>
      <c r="R446" s="1"/>
      <c r="S446" s="1"/>
      <c r="T446" s="1"/>
      <c r="U446" s="1"/>
      <c r="V446" s="62">
        <f t="shared" si="293"/>
        <v>0.95928559841393624</v>
      </c>
      <c r="W446" s="68">
        <f t="shared" si="289"/>
        <v>0.95714498843714979</v>
      </c>
      <c r="Y446" s="24"/>
      <c r="Z446" s="24"/>
      <c r="AA446" s="24"/>
      <c r="AB446" s="24"/>
      <c r="AC446" s="24"/>
      <c r="AD446" s="24"/>
      <c r="AE446" s="24"/>
      <c r="AF446" s="24"/>
      <c r="AG446" s="24">
        <f t="shared" si="282"/>
        <v>8.7600791870983422E-2</v>
      </c>
      <c r="AH446" s="24">
        <f t="shared" si="283"/>
        <v>9.206924445812327E-2</v>
      </c>
      <c r="AL446" s="23">
        <f t="shared" si="271"/>
        <v>0</v>
      </c>
      <c r="AM446" s="23">
        <f t="shared" si="272"/>
        <v>0</v>
      </c>
      <c r="AN446" s="23">
        <f t="shared" si="273"/>
        <v>0</v>
      </c>
      <c r="AO446" s="23">
        <f t="shared" si="274"/>
        <v>0</v>
      </c>
      <c r="AP446" s="23">
        <f t="shared" si="275"/>
        <v>0</v>
      </c>
      <c r="AQ446" s="23">
        <f t="shared" si="276"/>
        <v>0</v>
      </c>
      <c r="AR446" s="23">
        <f t="shared" si="277"/>
        <v>0</v>
      </c>
      <c r="AS446" s="23">
        <f t="shared" si="278"/>
        <v>0</v>
      </c>
      <c r="AT446" s="23">
        <f t="shared" si="279"/>
        <v>9544.1357170587271</v>
      </c>
      <c r="AU446" s="23">
        <f t="shared" si="280"/>
        <v>11661.31683467177</v>
      </c>
      <c r="AW446" s="25"/>
      <c r="AX446" s="25"/>
      <c r="AY446" s="25"/>
      <c r="AZ446" s="25"/>
      <c r="BA446" s="25"/>
      <c r="BB446" s="25"/>
      <c r="BC446" s="25"/>
      <c r="BD446" s="25"/>
      <c r="BE446" s="25">
        <f t="shared" si="285"/>
        <v>21205.452551730497</v>
      </c>
      <c r="BF446" s="25">
        <f t="shared" si="286"/>
        <v>11661.31683467177</v>
      </c>
      <c r="BG446" s="25">
        <f t="shared" si="287"/>
        <v>0</v>
      </c>
      <c r="BI446" s="25"/>
      <c r="BJ446" s="25"/>
      <c r="BK446" s="25"/>
      <c r="BL446" s="25"/>
      <c r="BM446" s="25"/>
      <c r="BN446" s="25"/>
      <c r="BO446" s="25"/>
      <c r="BP446" s="25"/>
      <c r="BQ446" s="25">
        <f t="shared" si="290"/>
        <v>21205.452551730497</v>
      </c>
      <c r="BR446" s="25">
        <f t="shared" si="291"/>
        <v>11661.31683467177</v>
      </c>
      <c r="BS446" s="25">
        <f t="shared" si="292"/>
        <v>0</v>
      </c>
    </row>
    <row r="447" spans="1:71" x14ac:dyDescent="0.2">
      <c r="A447" s="29">
        <f t="shared" si="288"/>
        <v>4.3899999999999508</v>
      </c>
      <c r="B447" s="30">
        <v>4.9535002671665801E-2</v>
      </c>
      <c r="C447" s="30">
        <v>5.296397468293957E-2</v>
      </c>
      <c r="D447" s="30">
        <v>5.6654218912376111E-2</v>
      </c>
      <c r="E447" s="30">
        <v>6.0572474439635413E-2</v>
      </c>
      <c r="F447" s="30">
        <v>6.4677214508538125E-2</v>
      </c>
      <c r="G447" s="30">
        <v>6.8928232086496094E-2</v>
      </c>
      <c r="H447" s="30">
        <v>7.3289778065279365E-2</v>
      </c>
      <c r="I447" s="30">
        <v>7.7730324144270932E-2</v>
      </c>
      <c r="J447" s="30">
        <v>8.2221523317584158E-2</v>
      </c>
      <c r="K447" s="30">
        <v>8.6737366514272218E-2</v>
      </c>
      <c r="L447" s="30">
        <v>9.1253713619772289E-2</v>
      </c>
      <c r="N447" s="1"/>
      <c r="O447" s="1"/>
      <c r="P447" s="1"/>
      <c r="Q447" s="1"/>
      <c r="R447" s="1"/>
      <c r="S447" s="1"/>
      <c r="T447" s="1"/>
      <c r="U447" s="1"/>
      <c r="V447" s="62">
        <f t="shared" si="293"/>
        <v>0.95972282356865302</v>
      </c>
      <c r="W447" s="68">
        <f t="shared" si="289"/>
        <v>0.9575582892708685</v>
      </c>
      <c r="Y447" s="24"/>
      <c r="Z447" s="24"/>
      <c r="AA447" s="24"/>
      <c r="AB447" s="24"/>
      <c r="AC447" s="24"/>
      <c r="AD447" s="24"/>
      <c r="AE447" s="24"/>
      <c r="AF447" s="24"/>
      <c r="AG447" s="24">
        <f t="shared" si="282"/>
        <v>8.6737366514272218E-2</v>
      </c>
      <c r="AH447" s="24">
        <f t="shared" si="283"/>
        <v>9.1253713619772289E-2</v>
      </c>
      <c r="AL447" s="23">
        <f t="shared" si="271"/>
        <v>0</v>
      </c>
      <c r="AM447" s="23">
        <f t="shared" si="272"/>
        <v>0</v>
      </c>
      <c r="AN447" s="23">
        <f t="shared" si="273"/>
        <v>0</v>
      </c>
      <c r="AO447" s="23">
        <f t="shared" si="274"/>
        <v>0</v>
      </c>
      <c r="AP447" s="23">
        <f t="shared" si="275"/>
        <v>0</v>
      </c>
      <c r="AQ447" s="23">
        <f t="shared" si="276"/>
        <v>0</v>
      </c>
      <c r="AR447" s="23">
        <f t="shared" si="277"/>
        <v>0</v>
      </c>
      <c r="AS447" s="23">
        <f t="shared" si="278"/>
        <v>0</v>
      </c>
      <c r="AT447" s="23">
        <f t="shared" si="279"/>
        <v>9134.1612521409606</v>
      </c>
      <c r="AU447" s="23">
        <f t="shared" si="280"/>
        <v>11275.893102636355</v>
      </c>
      <c r="AW447" s="25"/>
      <c r="AX447" s="25"/>
      <c r="AY447" s="25"/>
      <c r="AZ447" s="25"/>
      <c r="BA447" s="25"/>
      <c r="BB447" s="25"/>
      <c r="BC447" s="25"/>
      <c r="BD447" s="25"/>
      <c r="BE447" s="25">
        <f t="shared" si="285"/>
        <v>20410.054354777316</v>
      </c>
      <c r="BF447" s="25">
        <f t="shared" si="286"/>
        <v>11275.893102636355</v>
      </c>
      <c r="BG447" s="25">
        <f t="shared" si="287"/>
        <v>0</v>
      </c>
      <c r="BI447" s="25"/>
      <c r="BJ447" s="25"/>
      <c r="BK447" s="25"/>
      <c r="BL447" s="25"/>
      <c r="BM447" s="25"/>
      <c r="BN447" s="25"/>
      <c r="BO447" s="25"/>
      <c r="BP447" s="25"/>
      <c r="BQ447" s="25">
        <f t="shared" si="290"/>
        <v>20410.054354777316</v>
      </c>
      <c r="BR447" s="25">
        <f t="shared" si="291"/>
        <v>11275.893102636355</v>
      </c>
      <c r="BS447" s="25">
        <f t="shared" si="292"/>
        <v>0</v>
      </c>
    </row>
    <row r="448" spans="1:71" x14ac:dyDescent="0.2">
      <c r="A448" s="29">
        <f t="shared" si="288"/>
        <v>4.3999999999999506</v>
      </c>
      <c r="B448" s="30">
        <v>5.1633127631562824E-2</v>
      </c>
      <c r="C448" s="30">
        <v>5.5016727082145091E-2</v>
      </c>
      <c r="D448" s="30">
        <v>5.8660516797184432E-2</v>
      </c>
      <c r="E448" s="30">
        <v>6.2531190289639133E-2</v>
      </c>
      <c r="F448" s="30">
        <v>6.6587364119754119E-2</v>
      </c>
      <c r="G448" s="30">
        <v>7.0789035009191897E-2</v>
      </c>
      <c r="H448" s="30">
        <v>7.5100650987103335E-2</v>
      </c>
      <c r="I448" s="30">
        <v>7.949085862912901E-2</v>
      </c>
      <c r="J448" s="30">
        <v>8.3931467825497735E-2</v>
      </c>
      <c r="K448" s="30">
        <v>8.8396616223263724E-2</v>
      </c>
      <c r="L448" s="30">
        <v>9.2862306200115569E-2</v>
      </c>
      <c r="N448" s="1"/>
      <c r="O448" s="1"/>
      <c r="P448" s="1"/>
      <c r="Q448" s="1"/>
      <c r="R448" s="1"/>
      <c r="S448" s="1"/>
      <c r="T448" s="1"/>
      <c r="U448" s="1"/>
      <c r="V448" s="62">
        <f t="shared" si="293"/>
        <v>0.95890263785099006</v>
      </c>
      <c r="W448" s="68">
        <f t="shared" si="289"/>
        <v>0.95676420455621469</v>
      </c>
      <c r="Y448" s="24"/>
      <c r="Z448" s="24"/>
      <c r="AA448" s="24"/>
      <c r="AB448" s="24"/>
      <c r="AC448" s="24"/>
      <c r="AD448" s="24"/>
      <c r="AE448" s="24"/>
      <c r="AF448" s="24"/>
      <c r="AG448" s="24">
        <f t="shared" si="282"/>
        <v>8.8396616223263724E-2</v>
      </c>
      <c r="AH448" s="24">
        <f t="shared" si="283"/>
        <v>9.2862306200115569E-2</v>
      </c>
      <c r="AL448" s="23">
        <f t="shared" si="271"/>
        <v>0</v>
      </c>
      <c r="AM448" s="23">
        <f t="shared" si="272"/>
        <v>0</v>
      </c>
      <c r="AN448" s="23">
        <f t="shared" si="273"/>
        <v>0</v>
      </c>
      <c r="AO448" s="23">
        <f t="shared" si="274"/>
        <v>0</v>
      </c>
      <c r="AP448" s="23">
        <f t="shared" si="275"/>
        <v>0</v>
      </c>
      <c r="AQ448" s="23">
        <f t="shared" si="276"/>
        <v>0</v>
      </c>
      <c r="AR448" s="23">
        <f t="shared" si="277"/>
        <v>0</v>
      </c>
      <c r="AS448" s="23">
        <f t="shared" si="278"/>
        <v>0</v>
      </c>
      <c r="AT448" s="23">
        <f t="shared" si="279"/>
        <v>9921.8845965921446</v>
      </c>
      <c r="AU448" s="23">
        <f t="shared" si="280"/>
        <v>12036.064121153655</v>
      </c>
      <c r="AW448" s="25"/>
      <c r="AX448" s="25"/>
      <c r="AY448" s="25"/>
      <c r="AZ448" s="25"/>
      <c r="BA448" s="25"/>
      <c r="BB448" s="25"/>
      <c r="BC448" s="25"/>
      <c r="BD448" s="25"/>
      <c r="BE448" s="25">
        <f t="shared" si="285"/>
        <v>21957.9487177458</v>
      </c>
      <c r="BF448" s="25">
        <f t="shared" si="286"/>
        <v>12036.064121153655</v>
      </c>
      <c r="BG448" s="25">
        <f t="shared" si="287"/>
        <v>0</v>
      </c>
      <c r="BI448" s="25"/>
      <c r="BJ448" s="25"/>
      <c r="BK448" s="25"/>
      <c r="BL448" s="25"/>
      <c r="BM448" s="25"/>
      <c r="BN448" s="25"/>
      <c r="BO448" s="25"/>
      <c r="BP448" s="25"/>
      <c r="BQ448" s="25">
        <f t="shared" si="290"/>
        <v>21957.9487177458</v>
      </c>
      <c r="BR448" s="25">
        <f t="shared" si="291"/>
        <v>12036.064121153655</v>
      </c>
      <c r="BS448" s="25">
        <f t="shared" si="292"/>
        <v>0</v>
      </c>
    </row>
    <row r="449" spans="1:71" x14ac:dyDescent="0.2">
      <c r="A449" s="29">
        <f t="shared" si="288"/>
        <v>4.4099999999999504</v>
      </c>
      <c r="B449" s="30">
        <v>5.0760643865311518E-2</v>
      </c>
      <c r="C449" s="30">
        <v>5.4242133693182808E-2</v>
      </c>
      <c r="D449" s="30">
        <v>5.7978049536725765E-2</v>
      </c>
      <c r="E449" s="30">
        <v>6.1935054981924524E-2</v>
      </c>
      <c r="F449" s="30">
        <v>6.6071922976269903E-2</v>
      </c>
      <c r="G449" s="30">
        <v>7.0348865725402721E-2</v>
      </c>
      <c r="H449" s="30">
        <v>7.4730539812697214E-2</v>
      </c>
      <c r="I449" s="30">
        <v>7.9185778192513795E-2</v>
      </c>
      <c r="J449" s="30">
        <v>8.368655930969951E-2</v>
      </c>
      <c r="K449" s="30">
        <v>8.8207179306859645E-2</v>
      </c>
      <c r="L449" s="30">
        <v>9.272379489727825E-2</v>
      </c>
      <c r="N449" s="1"/>
      <c r="O449" s="1"/>
      <c r="P449" s="1"/>
      <c r="Q449" s="1"/>
      <c r="R449" s="1"/>
      <c r="S449" s="1"/>
      <c r="T449" s="1"/>
      <c r="U449" s="1"/>
      <c r="V449" s="62">
        <f t="shared" si="293"/>
        <v>0.95902006675159335</v>
      </c>
      <c r="W449" s="68">
        <f t="shared" si="289"/>
        <v>0.95685483207851507</v>
      </c>
      <c r="Y449" s="24"/>
      <c r="Z449" s="24"/>
      <c r="AA449" s="24"/>
      <c r="AB449" s="24"/>
      <c r="AC449" s="24"/>
      <c r="AD449" s="24"/>
      <c r="AE449" s="24"/>
      <c r="AF449" s="24"/>
      <c r="AG449" s="24">
        <f t="shared" si="282"/>
        <v>8.8207179306859645E-2</v>
      </c>
      <c r="AH449" s="24">
        <f t="shared" si="283"/>
        <v>9.272379489727825E-2</v>
      </c>
      <c r="AL449" s="23">
        <f t="shared" si="271"/>
        <v>0</v>
      </c>
      <c r="AM449" s="23">
        <f t="shared" si="272"/>
        <v>0</v>
      </c>
      <c r="AN449" s="23">
        <f t="shared" si="273"/>
        <v>0</v>
      </c>
      <c r="AO449" s="23">
        <f t="shared" si="274"/>
        <v>0</v>
      </c>
      <c r="AP449" s="23">
        <f t="shared" si="275"/>
        <v>0</v>
      </c>
      <c r="AQ449" s="23">
        <f t="shared" si="276"/>
        <v>0</v>
      </c>
      <c r="AR449" s="23">
        <f t="shared" si="277"/>
        <v>0</v>
      </c>
      <c r="AS449" s="23">
        <f t="shared" si="278"/>
        <v>0</v>
      </c>
      <c r="AT449" s="23">
        <f t="shared" si="279"/>
        <v>9832.2627458924453</v>
      </c>
      <c r="AU449" s="23">
        <f t="shared" si="280"/>
        <v>11970.936607874341</v>
      </c>
      <c r="AW449" s="25"/>
      <c r="AX449" s="25"/>
      <c r="AY449" s="25"/>
      <c r="AZ449" s="25"/>
      <c r="BA449" s="25"/>
      <c r="BB449" s="25"/>
      <c r="BC449" s="25"/>
      <c r="BD449" s="25"/>
      <c r="BE449" s="25">
        <f t="shared" si="285"/>
        <v>21803.199353766788</v>
      </c>
      <c r="BF449" s="25">
        <f t="shared" si="286"/>
        <v>11970.936607874341</v>
      </c>
      <c r="BG449" s="25">
        <f t="shared" si="287"/>
        <v>0</v>
      </c>
      <c r="BI449" s="25"/>
      <c r="BJ449" s="25"/>
      <c r="BK449" s="25"/>
      <c r="BL449" s="25"/>
      <c r="BM449" s="25"/>
      <c r="BN449" s="25"/>
      <c r="BO449" s="25"/>
      <c r="BP449" s="25"/>
      <c r="BQ449" s="25">
        <f t="shared" si="290"/>
        <v>21803.199353766788</v>
      </c>
      <c r="BR449" s="25">
        <f t="shared" si="291"/>
        <v>11970.936607874341</v>
      </c>
      <c r="BS449" s="25">
        <f t="shared" si="292"/>
        <v>0</v>
      </c>
    </row>
    <row r="450" spans="1:71" x14ac:dyDescent="0.2">
      <c r="A450" s="29">
        <f t="shared" si="288"/>
        <v>4.4199999999999502</v>
      </c>
      <c r="B450" s="30">
        <v>5.2591181356812441E-2</v>
      </c>
      <c r="C450" s="30">
        <v>5.6093541257925636E-2</v>
      </c>
      <c r="D450" s="30">
        <v>5.9844196051292257E-2</v>
      </c>
      <c r="E450" s="30">
        <v>6.3809936934052486E-2</v>
      </c>
      <c r="F450" s="30">
        <v>6.7949848234723387E-2</v>
      </c>
      <c r="G450" s="30">
        <v>7.2224511316174828E-2</v>
      </c>
      <c r="H450" s="30">
        <v>7.6598944684340059E-2</v>
      </c>
      <c r="I450" s="30">
        <v>8.1042321127663117E-2</v>
      </c>
      <c r="J450" s="30">
        <v>8.5526941256273636E-2</v>
      </c>
      <c r="K450" s="30">
        <v>9.0027413436974679E-2</v>
      </c>
      <c r="L450" s="30">
        <v>9.452020251223614E-2</v>
      </c>
      <c r="N450" s="1"/>
      <c r="O450" s="1"/>
      <c r="P450" s="1"/>
      <c r="Q450" s="1"/>
      <c r="R450" s="1"/>
      <c r="S450" s="1"/>
      <c r="T450" s="1"/>
      <c r="U450" s="1"/>
      <c r="V450" s="62">
        <f t="shared" si="293"/>
        <v>0.95813799104426078</v>
      </c>
      <c r="W450" s="68">
        <f t="shared" si="289"/>
        <v>0.95598437833454497</v>
      </c>
      <c r="Y450" s="24"/>
      <c r="Z450" s="24"/>
      <c r="AA450" s="24"/>
      <c r="AB450" s="24"/>
      <c r="AC450" s="24"/>
      <c r="AD450" s="24"/>
      <c r="AE450" s="24"/>
      <c r="AF450" s="24"/>
      <c r="AG450" s="24">
        <f t="shared" si="282"/>
        <v>9.0027413436974679E-2</v>
      </c>
      <c r="AH450" s="24">
        <f t="shared" si="283"/>
        <v>9.452020251223614E-2</v>
      </c>
      <c r="AL450" s="23">
        <f t="shared" si="271"/>
        <v>0</v>
      </c>
      <c r="AM450" s="23">
        <f t="shared" si="272"/>
        <v>0</v>
      </c>
      <c r="AN450" s="23">
        <f t="shared" si="273"/>
        <v>0</v>
      </c>
      <c r="AO450" s="23">
        <f t="shared" si="274"/>
        <v>0</v>
      </c>
      <c r="AP450" s="23">
        <f t="shared" si="275"/>
        <v>0</v>
      </c>
      <c r="AQ450" s="23">
        <f t="shared" si="276"/>
        <v>0</v>
      </c>
      <c r="AR450" s="23">
        <f t="shared" si="277"/>
        <v>0</v>
      </c>
      <c r="AS450" s="23">
        <f t="shared" si="278"/>
        <v>0</v>
      </c>
      <c r="AT450" s="23">
        <f t="shared" si="279"/>
        <v>10695.237084260709</v>
      </c>
      <c r="AU450" s="23">
        <f t="shared" si="280"/>
        <v>12818.715419031181</v>
      </c>
      <c r="AW450" s="25"/>
      <c r="AX450" s="25"/>
      <c r="AY450" s="25"/>
      <c r="AZ450" s="25"/>
      <c r="BA450" s="25"/>
      <c r="BB450" s="25"/>
      <c r="BC450" s="25"/>
      <c r="BD450" s="25"/>
      <c r="BE450" s="25">
        <f t="shared" si="285"/>
        <v>23513.95250329189</v>
      </c>
      <c r="BF450" s="25">
        <f t="shared" si="286"/>
        <v>12818.715419031181</v>
      </c>
      <c r="BG450" s="25">
        <f t="shared" si="287"/>
        <v>0</v>
      </c>
      <c r="BI450" s="25"/>
      <c r="BJ450" s="25"/>
      <c r="BK450" s="25"/>
      <c r="BL450" s="25"/>
      <c r="BM450" s="25"/>
      <c r="BN450" s="25"/>
      <c r="BO450" s="25"/>
      <c r="BP450" s="25"/>
      <c r="BQ450" s="25">
        <f t="shared" si="290"/>
        <v>23513.95250329189</v>
      </c>
      <c r="BR450" s="25">
        <f t="shared" si="291"/>
        <v>12818.715419031181</v>
      </c>
      <c r="BS450" s="25">
        <f t="shared" si="292"/>
        <v>0</v>
      </c>
    </row>
    <row r="451" spans="1:71" x14ac:dyDescent="0.2">
      <c r="A451" s="29">
        <f t="shared" si="288"/>
        <v>4.42999999999995</v>
      </c>
      <c r="B451" s="30">
        <v>5.1558945483755919E-2</v>
      </c>
      <c r="C451" s="30">
        <v>5.4987619138804365E-2</v>
      </c>
      <c r="D451" s="30">
        <v>5.8680613602009275E-2</v>
      </c>
      <c r="E451" s="30">
        <v>6.2603782558361631E-2</v>
      </c>
      <c r="F451" s="30">
        <v>6.6715454074226258E-2</v>
      </c>
      <c r="G451" s="30">
        <v>7.0975509726305924E-2</v>
      </c>
      <c r="H451" s="30">
        <v>7.5348260702620851E-2</v>
      </c>
      <c r="I451" s="30">
        <v>7.9802150473620007E-2</v>
      </c>
      <c r="J451" s="30">
        <v>8.4308732817191312E-2</v>
      </c>
      <c r="K451" s="30">
        <v>8.8841859443732726E-2</v>
      </c>
      <c r="L451" s="30">
        <v>9.337723450839637E-2</v>
      </c>
      <c r="N451" s="1"/>
      <c r="O451" s="1"/>
      <c r="P451" s="1"/>
      <c r="Q451" s="1"/>
      <c r="R451" s="1"/>
      <c r="S451" s="1"/>
      <c r="T451" s="1"/>
      <c r="U451" s="1"/>
      <c r="V451" s="62">
        <f t="shared" si="293"/>
        <v>0.95872177471200715</v>
      </c>
      <c r="W451" s="68">
        <f t="shared" si="289"/>
        <v>0.95655123187542179</v>
      </c>
      <c r="Y451" s="24"/>
      <c r="Z451" s="24"/>
      <c r="AA451" s="24"/>
      <c r="AB451" s="24"/>
      <c r="AC451" s="24"/>
      <c r="AD451" s="24"/>
      <c r="AE451" s="24"/>
      <c r="AF451" s="24"/>
      <c r="AG451" s="24">
        <f t="shared" si="282"/>
        <v>8.8841859443732726E-2</v>
      </c>
      <c r="AH451" s="24">
        <f t="shared" si="283"/>
        <v>9.337723450839637E-2</v>
      </c>
      <c r="AL451" s="23">
        <f t="shared" si="271"/>
        <v>0</v>
      </c>
      <c r="AM451" s="23">
        <f t="shared" si="272"/>
        <v>0</v>
      </c>
      <c r="AN451" s="23">
        <f t="shared" si="273"/>
        <v>0</v>
      </c>
      <c r="AO451" s="23">
        <f t="shared" si="274"/>
        <v>0</v>
      </c>
      <c r="AP451" s="23">
        <f t="shared" si="275"/>
        <v>0</v>
      </c>
      <c r="AQ451" s="23">
        <f t="shared" si="276"/>
        <v>0</v>
      </c>
      <c r="AR451" s="23">
        <f t="shared" si="277"/>
        <v>0</v>
      </c>
      <c r="AS451" s="23">
        <f t="shared" si="278"/>
        <v>0</v>
      </c>
      <c r="AT451" s="23">
        <f t="shared" si="279"/>
        <v>10133.445368500687</v>
      </c>
      <c r="AU451" s="23">
        <f t="shared" si="280"/>
        <v>12279.662585218714</v>
      </c>
      <c r="AW451" s="25"/>
      <c r="AX451" s="25"/>
      <c r="AY451" s="25"/>
      <c r="AZ451" s="25"/>
      <c r="BA451" s="25"/>
      <c r="BB451" s="25"/>
      <c r="BC451" s="25"/>
      <c r="BD451" s="25"/>
      <c r="BE451" s="25">
        <f t="shared" si="285"/>
        <v>22413.107953719402</v>
      </c>
      <c r="BF451" s="25">
        <f t="shared" si="286"/>
        <v>12279.662585218714</v>
      </c>
      <c r="BG451" s="25">
        <f t="shared" si="287"/>
        <v>0</v>
      </c>
      <c r="BI451" s="25"/>
      <c r="BJ451" s="25"/>
      <c r="BK451" s="25"/>
      <c r="BL451" s="25"/>
      <c r="BM451" s="25"/>
      <c r="BN451" s="25"/>
      <c r="BO451" s="25"/>
      <c r="BP451" s="25"/>
      <c r="BQ451" s="25">
        <f t="shared" si="290"/>
        <v>22413.107953719402</v>
      </c>
      <c r="BR451" s="25">
        <f t="shared" si="291"/>
        <v>12279.662585218714</v>
      </c>
      <c r="BS451" s="25">
        <f t="shared" si="292"/>
        <v>0</v>
      </c>
    </row>
    <row r="452" spans="1:71" x14ac:dyDescent="0.2">
      <c r="A452" s="29">
        <f t="shared" si="288"/>
        <v>4.4399999999999498</v>
      </c>
      <c r="B452" s="30">
        <v>4.9938557687257579E-2</v>
      </c>
      <c r="C452" s="30">
        <v>5.3338548586268082E-2</v>
      </c>
      <c r="D452" s="30">
        <v>5.7007479756997659E-2</v>
      </c>
      <c r="E452" s="30">
        <v>6.0910827066473758E-2</v>
      </c>
      <c r="F452" s="30">
        <v>6.5006719517614428E-2</v>
      </c>
      <c r="G452" s="30">
        <v>6.9254894819506183E-2</v>
      </c>
      <c r="H452" s="30">
        <v>7.3619512471440329E-2</v>
      </c>
      <c r="I452" s="30">
        <v>7.8068842344771544E-2</v>
      </c>
      <c r="J452" s="30">
        <v>8.2574247257848565E-2</v>
      </c>
      <c r="K452" s="30">
        <v>8.7109378253231742E-2</v>
      </c>
      <c r="L452" s="30">
        <v>9.1649734850583447E-2</v>
      </c>
      <c r="N452" s="1"/>
      <c r="O452" s="1"/>
      <c r="P452" s="1"/>
      <c r="Q452" s="1"/>
      <c r="R452" s="1"/>
      <c r="S452" s="1"/>
      <c r="T452" s="1"/>
      <c r="U452" s="1"/>
      <c r="V452" s="62">
        <f t="shared" si="293"/>
        <v>0.95955357988522105</v>
      </c>
      <c r="W452" s="68">
        <f t="shared" si="289"/>
        <v>0.95738019437255673</v>
      </c>
      <c r="Y452" s="24"/>
      <c r="Z452" s="24"/>
      <c r="AA452" s="24"/>
      <c r="AB452" s="24"/>
      <c r="AC452" s="24"/>
      <c r="AD452" s="24"/>
      <c r="AE452" s="24"/>
      <c r="AF452" s="24"/>
      <c r="AG452" s="24">
        <f t="shared" si="282"/>
        <v>8.7109378253231742E-2</v>
      </c>
      <c r="AH452" s="24">
        <f t="shared" si="283"/>
        <v>9.1649734850583447E-2</v>
      </c>
      <c r="AL452" s="23">
        <f t="shared" si="271"/>
        <v>0</v>
      </c>
      <c r="AM452" s="23">
        <f t="shared" si="272"/>
        <v>0</v>
      </c>
      <c r="AN452" s="23">
        <f t="shared" si="273"/>
        <v>0</v>
      </c>
      <c r="AO452" s="23">
        <f t="shared" si="274"/>
        <v>0</v>
      </c>
      <c r="AP452" s="23">
        <f t="shared" si="275"/>
        <v>0</v>
      </c>
      <c r="AQ452" s="23">
        <f t="shared" si="276"/>
        <v>0</v>
      </c>
      <c r="AR452" s="23">
        <f t="shared" si="277"/>
        <v>0</v>
      </c>
      <c r="AS452" s="23">
        <f t="shared" si="278"/>
        <v>0</v>
      </c>
      <c r="AT452" s="23">
        <f t="shared" si="279"/>
        <v>9311.0330734500421</v>
      </c>
      <c r="AU452" s="23">
        <f t="shared" si="280"/>
        <v>11463.367356851077</v>
      </c>
      <c r="AW452" s="25"/>
      <c r="AX452" s="25"/>
      <c r="AY452" s="25"/>
      <c r="AZ452" s="25"/>
      <c r="BA452" s="25"/>
      <c r="BB452" s="25"/>
      <c r="BC452" s="25"/>
      <c r="BD452" s="25"/>
      <c r="BE452" s="25">
        <f t="shared" si="285"/>
        <v>20774.400430301117</v>
      </c>
      <c r="BF452" s="25">
        <f t="shared" si="286"/>
        <v>11463.367356851077</v>
      </c>
      <c r="BG452" s="25">
        <f t="shared" si="287"/>
        <v>0</v>
      </c>
      <c r="BI452" s="25"/>
      <c r="BJ452" s="25"/>
      <c r="BK452" s="25"/>
      <c r="BL452" s="25"/>
      <c r="BM452" s="25"/>
      <c r="BN452" s="25"/>
      <c r="BO452" s="25"/>
      <c r="BP452" s="25"/>
      <c r="BQ452" s="25">
        <f t="shared" si="290"/>
        <v>20774.400430301117</v>
      </c>
      <c r="BR452" s="25">
        <f t="shared" si="291"/>
        <v>11463.367356851077</v>
      </c>
      <c r="BS452" s="25">
        <f t="shared" si="292"/>
        <v>0</v>
      </c>
    </row>
    <row r="453" spans="1:71" x14ac:dyDescent="0.2">
      <c r="A453" s="29">
        <f t="shared" si="288"/>
        <v>4.4499999999999496</v>
      </c>
      <c r="B453" s="30">
        <v>5.0015603985314266E-2</v>
      </c>
      <c r="C453" s="30">
        <v>5.3490195149406471E-2</v>
      </c>
      <c r="D453" s="30">
        <v>5.7232029414641332E-2</v>
      </c>
      <c r="E453" s="30">
        <v>6.1206380394156885E-2</v>
      </c>
      <c r="F453" s="30">
        <v>6.5371351120324717E-2</v>
      </c>
      <c r="G453" s="30">
        <v>6.9686707267176656E-2</v>
      </c>
      <c r="H453" s="30">
        <v>7.4116628196051512E-2</v>
      </c>
      <c r="I453" s="30">
        <v>7.8629381820984542E-2</v>
      </c>
      <c r="J453" s="30">
        <v>8.3196311795603092E-2</v>
      </c>
      <c r="K453" s="30">
        <v>8.7791040404260612E-2</v>
      </c>
      <c r="L453" s="30">
        <v>9.2389034503187986E-2</v>
      </c>
      <c r="N453" s="1"/>
      <c r="O453" s="1"/>
      <c r="P453" s="1"/>
      <c r="Q453" s="1"/>
      <c r="R453" s="1"/>
      <c r="S453" s="1"/>
      <c r="T453" s="1"/>
      <c r="U453" s="1"/>
      <c r="V453" s="62">
        <f t="shared" si="293"/>
        <v>0.95925517416746942</v>
      </c>
      <c r="W453" s="68">
        <f t="shared" si="289"/>
        <v>0.9570539450523442</v>
      </c>
      <c r="Y453" s="24"/>
      <c r="Z453" s="24"/>
      <c r="AA453" s="24"/>
      <c r="AB453" s="24"/>
      <c r="AC453" s="24"/>
      <c r="AD453" s="24"/>
      <c r="AE453" s="24"/>
      <c r="AF453" s="24"/>
      <c r="AG453" s="24">
        <f t="shared" si="282"/>
        <v>8.7791040404260612E-2</v>
      </c>
      <c r="AH453" s="24">
        <f t="shared" si="283"/>
        <v>9.2389034503187986E-2</v>
      </c>
      <c r="AL453" s="23">
        <f t="shared" si="271"/>
        <v>0</v>
      </c>
      <c r="AM453" s="23">
        <f t="shared" si="272"/>
        <v>0</v>
      </c>
      <c r="AN453" s="23">
        <f t="shared" si="273"/>
        <v>0</v>
      </c>
      <c r="AO453" s="23">
        <f t="shared" si="274"/>
        <v>0</v>
      </c>
      <c r="AP453" s="23">
        <f t="shared" si="275"/>
        <v>0</v>
      </c>
      <c r="AQ453" s="23">
        <f t="shared" si="276"/>
        <v>0</v>
      </c>
      <c r="AR453" s="23">
        <f t="shared" si="277"/>
        <v>0</v>
      </c>
      <c r="AS453" s="23">
        <f t="shared" si="278"/>
        <v>0</v>
      </c>
      <c r="AT453" s="23">
        <f t="shared" si="279"/>
        <v>9635.0814647448715</v>
      </c>
      <c r="AU453" s="23">
        <f t="shared" si="280"/>
        <v>11813.235775326433</v>
      </c>
      <c r="AW453" s="25"/>
      <c r="AX453" s="25"/>
      <c r="AY453" s="25"/>
      <c r="AZ453" s="25"/>
      <c r="BA453" s="25"/>
      <c r="BB453" s="25"/>
      <c r="BC453" s="25"/>
      <c r="BD453" s="25"/>
      <c r="BE453" s="25">
        <f t="shared" si="285"/>
        <v>21448.317240071305</v>
      </c>
      <c r="BF453" s="25">
        <f t="shared" si="286"/>
        <v>11813.235775326433</v>
      </c>
      <c r="BG453" s="25">
        <f t="shared" si="287"/>
        <v>0</v>
      </c>
      <c r="BI453" s="25"/>
      <c r="BJ453" s="25"/>
      <c r="BK453" s="25"/>
      <c r="BL453" s="25"/>
      <c r="BM453" s="25"/>
      <c r="BN453" s="25"/>
      <c r="BO453" s="25"/>
      <c r="BP453" s="25"/>
      <c r="BQ453" s="25">
        <f t="shared" si="290"/>
        <v>21448.317240071305</v>
      </c>
      <c r="BR453" s="25">
        <f t="shared" si="291"/>
        <v>11813.235775326433</v>
      </c>
      <c r="BS453" s="25">
        <f t="shared" si="292"/>
        <v>0</v>
      </c>
    </row>
    <row r="454" spans="1:71" x14ac:dyDescent="0.2">
      <c r="A454" s="29">
        <f t="shared" si="288"/>
        <v>4.4599999999999493</v>
      </c>
      <c r="B454" s="30">
        <v>5.0954597486303911E-2</v>
      </c>
      <c r="C454" s="30">
        <v>5.4310259577214748E-2</v>
      </c>
      <c r="D454" s="30">
        <v>5.7946257672043755E-2</v>
      </c>
      <c r="E454" s="30">
        <v>6.1827179252834381E-2</v>
      </c>
      <c r="F454" s="30">
        <v>6.5910615057249558E-2</v>
      </c>
      <c r="G454" s="30">
        <v>7.01558711593364E-2</v>
      </c>
      <c r="H454" s="30">
        <v>7.452665894322183E-2</v>
      </c>
      <c r="I454" s="30">
        <v>7.8990756618601651E-2</v>
      </c>
      <c r="J454" s="30">
        <v>8.351900107964004E-2</v>
      </c>
      <c r="K454" s="30">
        <v>8.8084498371507017E-2</v>
      </c>
      <c r="L454" s="30">
        <v>9.2662195267625716E-2</v>
      </c>
      <c r="N454" s="1"/>
      <c r="O454" s="1"/>
      <c r="P454" s="1"/>
      <c r="Q454" s="1"/>
      <c r="R454" s="1"/>
      <c r="S454" s="1"/>
      <c r="T454" s="1"/>
      <c r="U454" s="1"/>
      <c r="V454" s="62">
        <f t="shared" si="293"/>
        <v>0.95910041596982776</v>
      </c>
      <c r="W454" s="68">
        <f t="shared" si="289"/>
        <v>0.95691352780160621</v>
      </c>
      <c r="Y454" s="24"/>
      <c r="Z454" s="24"/>
      <c r="AA454" s="24"/>
      <c r="AB454" s="24"/>
      <c r="AC454" s="24"/>
      <c r="AD454" s="24"/>
      <c r="AE454" s="24"/>
      <c r="AF454" s="24"/>
      <c r="AG454" s="24">
        <f t="shared" si="282"/>
        <v>8.8084498371507017E-2</v>
      </c>
      <c r="AH454" s="24">
        <f t="shared" si="283"/>
        <v>9.2662195267625716E-2</v>
      </c>
      <c r="AL454" s="23">
        <f t="shared" si="271"/>
        <v>0</v>
      </c>
      <c r="AM454" s="23">
        <f t="shared" si="272"/>
        <v>0</v>
      </c>
      <c r="AN454" s="23">
        <f t="shared" si="273"/>
        <v>0</v>
      </c>
      <c r="AO454" s="23">
        <f t="shared" si="274"/>
        <v>0</v>
      </c>
      <c r="AP454" s="23">
        <f t="shared" si="275"/>
        <v>0</v>
      </c>
      <c r="AQ454" s="23">
        <f t="shared" si="276"/>
        <v>0</v>
      </c>
      <c r="AR454" s="23">
        <f t="shared" si="277"/>
        <v>0</v>
      </c>
      <c r="AS454" s="23">
        <f t="shared" si="278"/>
        <v>0</v>
      </c>
      <c r="AT454" s="23">
        <f t="shared" si="279"/>
        <v>9774.2548506068943</v>
      </c>
      <c r="AU454" s="23">
        <f t="shared" si="280"/>
        <v>11942.198173785053</v>
      </c>
      <c r="AW454" s="25"/>
      <c r="AX454" s="25"/>
      <c r="AY454" s="25"/>
      <c r="AZ454" s="25"/>
      <c r="BA454" s="25"/>
      <c r="BB454" s="25"/>
      <c r="BC454" s="25"/>
      <c r="BD454" s="25"/>
      <c r="BE454" s="25">
        <f t="shared" si="285"/>
        <v>21716.453024391947</v>
      </c>
      <c r="BF454" s="25">
        <f t="shared" si="286"/>
        <v>11942.198173785053</v>
      </c>
      <c r="BG454" s="25">
        <f t="shared" si="287"/>
        <v>0</v>
      </c>
      <c r="BI454" s="25"/>
      <c r="BJ454" s="25"/>
      <c r="BK454" s="25"/>
      <c r="BL454" s="25"/>
      <c r="BM454" s="25"/>
      <c r="BN454" s="25"/>
      <c r="BO454" s="25"/>
      <c r="BP454" s="25"/>
      <c r="BQ454" s="25">
        <f t="shared" si="290"/>
        <v>21716.453024391947</v>
      </c>
      <c r="BR454" s="25">
        <f t="shared" si="291"/>
        <v>11942.198173785053</v>
      </c>
      <c r="BS454" s="25">
        <f t="shared" si="292"/>
        <v>0</v>
      </c>
    </row>
    <row r="455" spans="1:71" x14ac:dyDescent="0.2">
      <c r="A455" s="29">
        <f t="shared" si="288"/>
        <v>4.4699999999999491</v>
      </c>
      <c r="B455" s="30">
        <v>5.2101054237859774E-2</v>
      </c>
      <c r="C455" s="30">
        <v>5.5350261370911244E-2</v>
      </c>
      <c r="D455" s="30">
        <v>5.8894635740446108E-2</v>
      </c>
      <c r="E455" s="30">
        <v>6.2697963503752785E-2</v>
      </c>
      <c r="F455" s="30">
        <v>6.671720548729182E-2</v>
      </c>
      <c r="G455" s="30">
        <v>7.0911089327192922E-2</v>
      </c>
      <c r="H455" s="30">
        <v>7.5242739325440441E-2</v>
      </c>
      <c r="I455" s="30">
        <v>7.9679324975899996E-2</v>
      </c>
      <c r="J455" s="30">
        <v>8.4191057553290038E-2</v>
      </c>
      <c r="K455" s="30">
        <v>8.8750408116336527E-2</v>
      </c>
      <c r="L455" s="30">
        <v>9.3331684669172937E-2</v>
      </c>
      <c r="N455" s="1"/>
      <c r="O455" s="1"/>
      <c r="P455" s="1"/>
      <c r="Q455" s="1"/>
      <c r="R455" s="1"/>
      <c r="S455" s="1"/>
      <c r="T455" s="1"/>
      <c r="U455" s="1"/>
      <c r="V455" s="62">
        <f t="shared" si="293"/>
        <v>0.95877818529044689</v>
      </c>
      <c r="W455" s="68">
        <f t="shared" si="289"/>
        <v>0.9565949718153719</v>
      </c>
      <c r="Y455" s="24"/>
      <c r="Z455" s="24"/>
      <c r="AA455" s="24"/>
      <c r="AB455" s="24"/>
      <c r="AC455" s="24"/>
      <c r="AD455" s="24"/>
      <c r="AE455" s="24"/>
      <c r="AF455" s="24"/>
      <c r="AG455" s="24">
        <f t="shared" si="282"/>
        <v>8.8750408116336527E-2</v>
      </c>
      <c r="AH455" s="24">
        <f t="shared" si="283"/>
        <v>9.3331684669172937E-2</v>
      </c>
      <c r="AL455" s="23">
        <f t="shared" si="271"/>
        <v>0</v>
      </c>
      <c r="AM455" s="23">
        <f t="shared" si="272"/>
        <v>0</v>
      </c>
      <c r="AN455" s="23">
        <f t="shared" si="273"/>
        <v>0</v>
      </c>
      <c r="AO455" s="23">
        <f t="shared" si="274"/>
        <v>0</v>
      </c>
      <c r="AP455" s="23">
        <f t="shared" si="275"/>
        <v>0</v>
      </c>
      <c r="AQ455" s="23">
        <f t="shared" si="276"/>
        <v>0</v>
      </c>
      <c r="AR455" s="23">
        <f t="shared" si="277"/>
        <v>0</v>
      </c>
      <c r="AS455" s="23">
        <f t="shared" si="278"/>
        <v>0</v>
      </c>
      <c r="AT455" s="23">
        <f t="shared" si="279"/>
        <v>10090.200845108669</v>
      </c>
      <c r="AU455" s="23">
        <f t="shared" si="280"/>
        <v>12258.437720193924</v>
      </c>
      <c r="AW455" s="25"/>
      <c r="AX455" s="25"/>
      <c r="AY455" s="25"/>
      <c r="AZ455" s="25"/>
      <c r="BA455" s="25"/>
      <c r="BB455" s="25"/>
      <c r="BC455" s="25"/>
      <c r="BD455" s="25"/>
      <c r="BE455" s="25">
        <f t="shared" si="285"/>
        <v>22348.638565302594</v>
      </c>
      <c r="BF455" s="25">
        <f t="shared" si="286"/>
        <v>12258.437720193924</v>
      </c>
      <c r="BG455" s="25">
        <f t="shared" si="287"/>
        <v>0</v>
      </c>
      <c r="BI455" s="25"/>
      <c r="BJ455" s="25"/>
      <c r="BK455" s="25"/>
      <c r="BL455" s="25"/>
      <c r="BM455" s="25"/>
      <c r="BN455" s="25"/>
      <c r="BO455" s="25"/>
      <c r="BP455" s="25"/>
      <c r="BQ455" s="25">
        <f t="shared" si="290"/>
        <v>22348.638565302594</v>
      </c>
      <c r="BR455" s="25">
        <f t="shared" si="291"/>
        <v>12258.437720193924</v>
      </c>
      <c r="BS455" s="25">
        <f t="shared" si="292"/>
        <v>0</v>
      </c>
    </row>
    <row r="456" spans="1:71" x14ac:dyDescent="0.2">
      <c r="A456" s="29">
        <f t="shared" si="288"/>
        <v>4.4799999999999489</v>
      </c>
      <c r="B456" s="30">
        <v>5.2192726289129979E-2</v>
      </c>
      <c r="C456" s="30">
        <v>5.5469198985552866E-2</v>
      </c>
      <c r="D456" s="30">
        <v>5.9038798995918434E-2</v>
      </c>
      <c r="E456" s="30">
        <v>6.2865220881637027E-2</v>
      </c>
      <c r="F456" s="30">
        <v>6.6905502888038468E-2</v>
      </c>
      <c r="G456" s="30">
        <v>7.1118500341056448E-2</v>
      </c>
      <c r="H456" s="30">
        <v>7.5467456328464869E-2</v>
      </c>
      <c r="I456" s="30">
        <v>7.9919637590832843E-2</v>
      </c>
      <c r="J456" s="30">
        <v>8.4445335896699017E-2</v>
      </c>
      <c r="K456" s="30">
        <v>8.9017093543294276E-2</v>
      </c>
      <c r="L456" s="30">
        <v>9.3609286050374427E-2</v>
      </c>
      <c r="N456" s="1"/>
      <c r="O456" s="1"/>
      <c r="P456" s="1"/>
      <c r="Q456" s="1"/>
      <c r="R456" s="1"/>
      <c r="S456" s="1"/>
      <c r="T456" s="1"/>
      <c r="U456" s="1"/>
      <c r="V456" s="62">
        <f t="shared" si="293"/>
        <v>0.95865629477481451</v>
      </c>
      <c r="W456" s="68">
        <f t="shared" si="289"/>
        <v>0.95646742535001461</v>
      </c>
      <c r="Y456" s="24"/>
      <c r="Z456" s="24"/>
      <c r="AA456" s="24"/>
      <c r="AB456" s="24"/>
      <c r="AC456" s="24"/>
      <c r="AD456" s="24"/>
      <c r="AE456" s="24"/>
      <c r="AF456" s="24"/>
      <c r="AG456" s="24">
        <f t="shared" si="282"/>
        <v>8.9017093543294276E-2</v>
      </c>
      <c r="AH456" s="24">
        <f t="shared" si="283"/>
        <v>9.3609286050374427E-2</v>
      </c>
      <c r="AL456" s="23">
        <f t="shared" ref="AL456:AL508" si="294">N*(Y456-fix)*N456*time</f>
        <v>0</v>
      </c>
      <c r="AM456" s="23">
        <f t="shared" ref="AM456:AM508" si="295">N*(Z456-fix)*O456*time</f>
        <v>0</v>
      </c>
      <c r="AN456" s="23">
        <f t="shared" ref="AN456:AN508" si="296">N*(AA456-fix)*P456*time</f>
        <v>0</v>
      </c>
      <c r="AO456" s="23">
        <f t="shared" ref="AO456:AO508" si="297">N*(AB456-fix)*Q456*time</f>
        <v>0</v>
      </c>
      <c r="AP456" s="23">
        <f t="shared" ref="AP456:AP508" si="298">N*(AC456-fix)*R456*time</f>
        <v>0</v>
      </c>
      <c r="AQ456" s="23">
        <f t="shared" ref="AQ456:AQ508" si="299">N*(AD456-fix)*S456*time</f>
        <v>0</v>
      </c>
      <c r="AR456" s="23">
        <f t="shared" ref="AR456:AR508" si="300">N*(AE456-fix)*T456*time</f>
        <v>0</v>
      </c>
      <c r="AS456" s="23">
        <f t="shared" ref="AS456:AS508" si="301">N*(AF456-fix)*U456*time</f>
        <v>0</v>
      </c>
      <c r="AT456" s="23">
        <f t="shared" ref="AT456:AT508" si="302">N*(AG456-fix)*V456*time</f>
        <v>10216.747898517177</v>
      </c>
      <c r="AU456" s="23">
        <f t="shared" ref="AU456:AU508" si="303">N*(AH456-fix)*W456*time</f>
        <v>12389.561594995379</v>
      </c>
      <c r="AW456" s="25"/>
      <c r="AX456" s="25"/>
      <c r="AY456" s="25"/>
      <c r="AZ456" s="25"/>
      <c r="BA456" s="25"/>
      <c r="BB456" s="25"/>
      <c r="BC456" s="25"/>
      <c r="BD456" s="25"/>
      <c r="BE456" s="25">
        <f t="shared" si="285"/>
        <v>22606.309493512555</v>
      </c>
      <c r="BF456" s="25">
        <f t="shared" si="286"/>
        <v>12389.561594995379</v>
      </c>
      <c r="BG456" s="25">
        <f t="shared" si="287"/>
        <v>0</v>
      </c>
      <c r="BI456" s="25"/>
      <c r="BJ456" s="25"/>
      <c r="BK456" s="25"/>
      <c r="BL456" s="25"/>
      <c r="BM456" s="25"/>
      <c r="BN456" s="25"/>
      <c r="BO456" s="25"/>
      <c r="BP456" s="25"/>
      <c r="BQ456" s="25">
        <f t="shared" si="290"/>
        <v>22606.309493512555</v>
      </c>
      <c r="BR456" s="25">
        <f t="shared" si="291"/>
        <v>12389.561594995379</v>
      </c>
      <c r="BS456" s="25">
        <f t="shared" si="292"/>
        <v>0</v>
      </c>
    </row>
    <row r="457" spans="1:71" x14ac:dyDescent="0.2">
      <c r="A457" s="29">
        <f t="shared" si="288"/>
        <v>4.4899999999999487</v>
      </c>
      <c r="B457" s="30">
        <v>5.1810704385220098E-2</v>
      </c>
      <c r="C457" s="30">
        <v>5.5126276082810413E-2</v>
      </c>
      <c r="D457" s="30">
        <v>5.8735052120878782E-2</v>
      </c>
      <c r="E457" s="30">
        <v>6.2600500357082714E-2</v>
      </c>
      <c r="F457" s="30">
        <v>6.6679598972870319E-2</v>
      </c>
      <c r="G457" s="30">
        <v>7.0931192317729291E-2</v>
      </c>
      <c r="H457" s="30">
        <v>7.5318503346271687E-2</v>
      </c>
      <c r="I457" s="30">
        <v>7.9808757222542714E-2</v>
      </c>
      <c r="J457" s="30">
        <v>8.4372187535625268E-2</v>
      </c>
      <c r="K457" s="30">
        <v>8.8981269258627788E-2</v>
      </c>
      <c r="L457" s="30">
        <v>9.3610306923453901E-2</v>
      </c>
      <c r="N457" s="1"/>
      <c r="O457" s="1"/>
      <c r="P457" s="1"/>
      <c r="Q457" s="1"/>
      <c r="R457" s="1"/>
      <c r="S457" s="1"/>
      <c r="T457" s="1"/>
      <c r="U457" s="1"/>
      <c r="V457" s="62">
        <f t="shared" si="293"/>
        <v>0.95869135748440337</v>
      </c>
      <c r="W457" s="68">
        <f t="shared" si="289"/>
        <v>0.95648455788411435</v>
      </c>
      <c r="Y457" s="24"/>
      <c r="Z457" s="24"/>
      <c r="AA457" s="24"/>
      <c r="AB457" s="24"/>
      <c r="AC457" s="24"/>
      <c r="AD457" s="24"/>
      <c r="AE457" s="24"/>
      <c r="AF457" s="24"/>
      <c r="AG457" s="24">
        <f t="shared" ref="AG457:AG458" si="304">(K457*$AG$7-J457*$X$7)/($AG$7-$X$7)</f>
        <v>8.8981269258627788E-2</v>
      </c>
      <c r="AH457" s="24">
        <f t="shared" ref="AH457:AH508" si="305">(L457*$AH$7-K457*$X$7)/($AH$7-$X$7)</f>
        <v>9.3610306923453901E-2</v>
      </c>
      <c r="AL457" s="23">
        <f t="shared" si="294"/>
        <v>0</v>
      </c>
      <c r="AM457" s="23">
        <f t="shared" si="295"/>
        <v>0</v>
      </c>
      <c r="AN457" s="23">
        <f t="shared" si="296"/>
        <v>0</v>
      </c>
      <c r="AO457" s="23">
        <f t="shared" si="297"/>
        <v>0</v>
      </c>
      <c r="AP457" s="23">
        <f t="shared" si="298"/>
        <v>0</v>
      </c>
      <c r="AQ457" s="23">
        <f t="shared" si="299"/>
        <v>0</v>
      </c>
      <c r="AR457" s="23">
        <f t="shared" si="300"/>
        <v>0</v>
      </c>
      <c r="AS457" s="23">
        <f t="shared" si="301"/>
        <v>0</v>
      </c>
      <c r="AT457" s="23">
        <f t="shared" si="302"/>
        <v>10199.949358483807</v>
      </c>
      <c r="AU457" s="23">
        <f t="shared" si="303"/>
        <v>12390.271745241727</v>
      </c>
      <c r="AW457" s="25"/>
      <c r="AX457" s="25"/>
      <c r="AY457" s="25"/>
      <c r="AZ457" s="25"/>
      <c r="BA457" s="25"/>
      <c r="BB457" s="25"/>
      <c r="BC457" s="25"/>
      <c r="BD457" s="25"/>
      <c r="BE457" s="25">
        <f t="shared" ref="BE457:BE458" si="306">SUM(AT457:AU457)</f>
        <v>22590.221103725533</v>
      </c>
      <c r="BF457" s="25">
        <f t="shared" ref="BF457:BF508" si="307">SUM(AU457)</f>
        <v>12390.271745241727</v>
      </c>
      <c r="BG457" s="25">
        <f t="shared" ref="BG457:BG508" si="308">SUM(AV457)</f>
        <v>0</v>
      </c>
      <c r="BI457" s="25"/>
      <c r="BJ457" s="25"/>
      <c r="BK457" s="25"/>
      <c r="BL457" s="25"/>
      <c r="BM457" s="25"/>
      <c r="BN457" s="25"/>
      <c r="BO457" s="25"/>
      <c r="BP457" s="25"/>
      <c r="BQ457" s="25">
        <f t="shared" si="290"/>
        <v>22590.221103725533</v>
      </c>
      <c r="BR457" s="25">
        <f t="shared" si="291"/>
        <v>12390.271745241727</v>
      </c>
      <c r="BS457" s="25">
        <f t="shared" si="292"/>
        <v>0</v>
      </c>
    </row>
    <row r="458" spans="1:71" x14ac:dyDescent="0.2">
      <c r="A458" s="29">
        <f t="shared" ref="A458:A508" si="309">A457+0.01</f>
        <v>4.4999999999999485</v>
      </c>
      <c r="B458" s="30">
        <v>5.2016124001241663E-2</v>
      </c>
      <c r="C458" s="80">
        <v>5.526472526246904E-2</v>
      </c>
      <c r="D458" s="30">
        <v>5.8807655752002877E-2</v>
      </c>
      <c r="E458" s="30">
        <v>6.2608285439426592E-2</v>
      </c>
      <c r="F458" s="30">
        <v>6.662365890693657E-2</v>
      </c>
      <c r="G458" s="30">
        <v>7.0812734827321505E-2</v>
      </c>
      <c r="H458" s="30">
        <v>7.5138841076045626E-2</v>
      </c>
      <c r="I458" s="30">
        <v>7.9569286391452956E-2</v>
      </c>
      <c r="J458" s="30">
        <v>8.4074371483158522E-2</v>
      </c>
      <c r="K458" s="30">
        <v>8.8626629409755076E-2</v>
      </c>
      <c r="L458" s="30">
        <v>9.3200419183249131E-2</v>
      </c>
      <c r="N458" s="1"/>
      <c r="O458" s="1"/>
      <c r="P458" s="1"/>
      <c r="Q458" s="1"/>
      <c r="R458" s="1"/>
      <c r="S458" s="1"/>
      <c r="T458" s="1"/>
      <c r="U458" s="1"/>
      <c r="V458" s="62">
        <f t="shared" si="293"/>
        <v>0.95883412495156051</v>
      </c>
      <c r="W458" s="68">
        <f t="shared" si="289"/>
        <v>0.95665417669159547</v>
      </c>
      <c r="Y458" s="24"/>
      <c r="Z458" s="24"/>
      <c r="AA458" s="24"/>
      <c r="AB458" s="24"/>
      <c r="AC458" s="24"/>
      <c r="AD458" s="24"/>
      <c r="AE458" s="24"/>
      <c r="AF458" s="24"/>
      <c r="AG458" s="24">
        <f t="shared" si="304"/>
        <v>8.8626629409755076E-2</v>
      </c>
      <c r="AH458" s="24">
        <f t="shared" si="305"/>
        <v>9.3200419183249131E-2</v>
      </c>
      <c r="AL458" s="23">
        <f t="shared" si="294"/>
        <v>0</v>
      </c>
      <c r="AM458" s="23">
        <f t="shared" si="295"/>
        <v>0</v>
      </c>
      <c r="AN458" s="23">
        <f t="shared" si="296"/>
        <v>0</v>
      </c>
      <c r="AO458" s="23">
        <f t="shared" si="297"/>
        <v>0</v>
      </c>
      <c r="AP458" s="23">
        <f t="shared" si="298"/>
        <v>0</v>
      </c>
      <c r="AQ458" s="23">
        <f t="shared" si="299"/>
        <v>0</v>
      </c>
      <c r="AR458" s="23">
        <f t="shared" si="300"/>
        <v>0</v>
      </c>
      <c r="AS458" s="23">
        <f t="shared" si="301"/>
        <v>0</v>
      </c>
      <c r="AT458" s="23">
        <f t="shared" si="302"/>
        <v>10031.447931317465</v>
      </c>
      <c r="AU458" s="23">
        <f t="shared" si="303"/>
        <v>12196.408572771732</v>
      </c>
      <c r="AW458" s="25"/>
      <c r="AX458" s="25"/>
      <c r="AY458" s="25"/>
      <c r="AZ458" s="25"/>
      <c r="BA458" s="25"/>
      <c r="BB458" s="25"/>
      <c r="BC458" s="25"/>
      <c r="BD458" s="25"/>
      <c r="BE458" s="25">
        <f t="shared" si="306"/>
        <v>22227.856504089199</v>
      </c>
      <c r="BF458" s="25">
        <f t="shared" si="307"/>
        <v>12196.408572771732</v>
      </c>
      <c r="BG458" s="25">
        <f t="shared" si="308"/>
        <v>0</v>
      </c>
      <c r="BI458" s="25"/>
      <c r="BJ458" s="25"/>
      <c r="BK458" s="25"/>
      <c r="BL458" s="25"/>
      <c r="BM458" s="25"/>
      <c r="BN458" s="25"/>
      <c r="BO458" s="25"/>
      <c r="BP458" s="25"/>
      <c r="BQ458" s="25">
        <f t="shared" si="290"/>
        <v>22227.856504089199</v>
      </c>
      <c r="BR458" s="25">
        <f t="shared" si="291"/>
        <v>12196.408572771732</v>
      </c>
      <c r="BS458" s="25">
        <f t="shared" si="292"/>
        <v>0</v>
      </c>
    </row>
    <row r="459" spans="1:71" x14ac:dyDescent="0.2">
      <c r="A459" s="29">
        <f t="shared" si="309"/>
        <v>4.5099999999999483</v>
      </c>
      <c r="B459" s="30">
        <v>5.3107128535112846E-2</v>
      </c>
      <c r="C459" s="30">
        <v>5.630103801308943E-2</v>
      </c>
      <c r="D459" s="30">
        <v>5.9797588374503663E-2</v>
      </c>
      <c r="E459" s="30">
        <v>6.3559633751317554E-2</v>
      </c>
      <c r="F459" s="30">
        <v>6.754386484960305E-2</v>
      </c>
      <c r="G459" s="30">
        <v>7.1708933242077083E-2</v>
      </c>
      <c r="H459" s="30">
        <v>7.6017850062801262E-2</v>
      </c>
      <c r="I459" s="30">
        <v>8.04375860600193E-2</v>
      </c>
      <c r="J459" s="30">
        <v>8.4938087647853669E-2</v>
      </c>
      <c r="K459" s="30">
        <v>8.9491524662949976E-2</v>
      </c>
      <c r="L459" s="30">
        <v>9.4071889347535936E-2</v>
      </c>
      <c r="N459" s="1"/>
      <c r="O459" s="1"/>
      <c r="P459" s="1"/>
      <c r="Q459" s="1"/>
      <c r="R459" s="1"/>
      <c r="S459" s="1"/>
      <c r="T459" s="1"/>
      <c r="U459" s="1"/>
      <c r="V459" s="1"/>
      <c r="W459" s="68">
        <f t="shared" si="289"/>
        <v>0.95624056330292073</v>
      </c>
      <c r="Y459" s="24"/>
      <c r="Z459" s="24"/>
      <c r="AA459" s="24"/>
      <c r="AB459" s="24"/>
      <c r="AC459" s="24"/>
      <c r="AD459" s="24"/>
      <c r="AE459" s="24"/>
      <c r="AF459" s="24"/>
      <c r="AG459" s="24"/>
      <c r="AH459" s="24">
        <f t="shared" si="305"/>
        <v>9.4071889347535936E-2</v>
      </c>
      <c r="AL459" s="23">
        <f t="shared" si="294"/>
        <v>0</v>
      </c>
      <c r="AM459" s="23">
        <f t="shared" si="295"/>
        <v>0</v>
      </c>
      <c r="AN459" s="23">
        <f t="shared" si="296"/>
        <v>0</v>
      </c>
      <c r="AO459" s="23">
        <f t="shared" si="297"/>
        <v>0</v>
      </c>
      <c r="AP459" s="23">
        <f t="shared" si="298"/>
        <v>0</v>
      </c>
      <c r="AQ459" s="23">
        <f t="shared" si="299"/>
        <v>0</v>
      </c>
      <c r="AR459" s="23">
        <f t="shared" si="300"/>
        <v>0</v>
      </c>
      <c r="AS459" s="23">
        <f t="shared" si="301"/>
        <v>0</v>
      </c>
      <c r="AT459" s="23">
        <f t="shared" si="302"/>
        <v>0</v>
      </c>
      <c r="AU459" s="23">
        <f t="shared" si="303"/>
        <v>12607.802965497678</v>
      </c>
      <c r="AW459" s="25"/>
      <c r="AX459" s="25"/>
      <c r="AY459" s="25"/>
      <c r="AZ459" s="25"/>
      <c r="BA459" s="25"/>
      <c r="BB459" s="25"/>
      <c r="BC459" s="25"/>
      <c r="BD459" s="25"/>
      <c r="BE459" s="25"/>
      <c r="BF459" s="25">
        <f t="shared" si="307"/>
        <v>12607.802965497678</v>
      </c>
      <c r="BG459" s="25">
        <f t="shared" si="308"/>
        <v>0</v>
      </c>
      <c r="BI459" s="25"/>
      <c r="BJ459" s="25"/>
      <c r="BK459" s="25"/>
      <c r="BL459" s="25"/>
      <c r="BM459" s="25"/>
      <c r="BN459" s="25"/>
      <c r="BO459" s="25"/>
      <c r="BP459" s="25"/>
      <c r="BQ459" s="25"/>
      <c r="BR459" s="25">
        <f t="shared" si="291"/>
        <v>12607.802965497678</v>
      </c>
      <c r="BS459" s="25">
        <f t="shared" si="292"/>
        <v>0</v>
      </c>
    </row>
    <row r="460" spans="1:71" x14ac:dyDescent="0.2">
      <c r="A460" s="29">
        <f t="shared" si="309"/>
        <v>4.5199999999999481</v>
      </c>
      <c r="B460" s="30">
        <v>5.2584698429988072E-2</v>
      </c>
      <c r="C460" s="30">
        <v>5.5760387840705791E-2</v>
      </c>
      <c r="D460" s="30">
        <v>5.9246405069717858E-2</v>
      </c>
      <c r="E460" s="30">
        <v>6.300506284391845E-2</v>
      </c>
      <c r="F460" s="30">
        <v>6.6992670122099793E-2</v>
      </c>
      <c r="G460" s="30">
        <v>7.1167542377404081E-2</v>
      </c>
      <c r="H460" s="30">
        <v>7.5492344770839992E-2</v>
      </c>
      <c r="I460" s="30">
        <v>7.9933680927766732E-2</v>
      </c>
      <c r="J460" s="30">
        <v>8.4461113981608757E-2</v>
      </c>
      <c r="K460" s="30">
        <v>8.904642166943158E-2</v>
      </c>
      <c r="L460" s="30">
        <v>9.3663200642807642E-2</v>
      </c>
      <c r="N460" s="1"/>
      <c r="O460" s="1"/>
      <c r="P460" s="1"/>
      <c r="Q460" s="1"/>
      <c r="R460" s="1"/>
      <c r="S460" s="1"/>
      <c r="T460" s="1"/>
      <c r="U460" s="1"/>
      <c r="V460" s="1"/>
      <c r="W460" s="68">
        <f t="shared" si="289"/>
        <v>0.95645339975420252</v>
      </c>
      <c r="Y460" s="24"/>
      <c r="Z460" s="24"/>
      <c r="AA460" s="24"/>
      <c r="AB460" s="24"/>
      <c r="AC460" s="24"/>
      <c r="AD460" s="24"/>
      <c r="AE460" s="24"/>
      <c r="AF460" s="24"/>
      <c r="AG460" s="24"/>
      <c r="AH460" s="24">
        <f t="shared" si="305"/>
        <v>9.3663200642807642E-2</v>
      </c>
      <c r="AL460" s="23">
        <f t="shared" si="294"/>
        <v>0</v>
      </c>
      <c r="AM460" s="23">
        <f t="shared" si="295"/>
        <v>0</v>
      </c>
      <c r="AN460" s="23">
        <f t="shared" si="296"/>
        <v>0</v>
      </c>
      <c r="AO460" s="23">
        <f t="shared" si="297"/>
        <v>0</v>
      </c>
      <c r="AP460" s="23">
        <f t="shared" si="298"/>
        <v>0</v>
      </c>
      <c r="AQ460" s="23">
        <f t="shared" si="299"/>
        <v>0</v>
      </c>
      <c r="AR460" s="23">
        <f t="shared" si="300"/>
        <v>0</v>
      </c>
      <c r="AS460" s="23">
        <f t="shared" si="301"/>
        <v>0</v>
      </c>
      <c r="AT460" s="23">
        <f t="shared" si="302"/>
        <v>0</v>
      </c>
      <c r="AU460" s="23">
        <f t="shared" si="303"/>
        <v>12415.163312629398</v>
      </c>
      <c r="AW460" s="25"/>
      <c r="AX460" s="25"/>
      <c r="AY460" s="25"/>
      <c r="AZ460" s="25"/>
      <c r="BA460" s="25"/>
      <c r="BB460" s="25"/>
      <c r="BC460" s="25"/>
      <c r="BD460" s="25"/>
      <c r="BE460" s="25"/>
      <c r="BF460" s="25">
        <f t="shared" si="307"/>
        <v>12415.163312629398</v>
      </c>
      <c r="BG460" s="25">
        <f t="shared" si="308"/>
        <v>0</v>
      </c>
      <c r="BI460" s="25"/>
      <c r="BJ460" s="25"/>
      <c r="BK460" s="25"/>
      <c r="BL460" s="25"/>
      <c r="BM460" s="25"/>
      <c r="BN460" s="25"/>
      <c r="BO460" s="25"/>
      <c r="BP460" s="25"/>
      <c r="BQ460" s="25"/>
      <c r="BR460" s="25">
        <f t="shared" si="291"/>
        <v>12415.163312629398</v>
      </c>
      <c r="BS460" s="25">
        <f t="shared" si="292"/>
        <v>0</v>
      </c>
    </row>
    <row r="461" spans="1:71" x14ac:dyDescent="0.2">
      <c r="A461" s="29">
        <f t="shared" si="309"/>
        <v>4.5299999999999478</v>
      </c>
      <c r="B461" s="30">
        <v>5.4087823972308449E-2</v>
      </c>
      <c r="C461" s="30">
        <v>5.7166701367549672E-2</v>
      </c>
      <c r="D461" s="30">
        <v>6.0564634970384404E-2</v>
      </c>
      <c r="E461" s="30">
        <v>6.4243477374665722E-2</v>
      </c>
      <c r="F461" s="30">
        <v>6.8159234783731204E-2</v>
      </c>
      <c r="G461" s="30">
        <v>7.226996445254967E-2</v>
      </c>
      <c r="H461" s="30">
        <v>7.6538063224951242E-2</v>
      </c>
      <c r="I461" s="30">
        <v>8.0929845359125285E-2</v>
      </c>
      <c r="J461" s="30">
        <v>8.5414568610291605E-2</v>
      </c>
      <c r="K461" s="30">
        <v>8.9963696624985032E-2</v>
      </c>
      <c r="L461" s="30">
        <v>9.4550508529141347E-2</v>
      </c>
      <c r="N461" s="1"/>
      <c r="O461" s="1"/>
      <c r="P461" s="1"/>
      <c r="Q461" s="1"/>
      <c r="R461" s="1"/>
      <c r="S461" s="1"/>
      <c r="T461" s="1"/>
      <c r="U461" s="1"/>
      <c r="V461" s="1"/>
      <c r="W461" s="68">
        <f t="shared" si="289"/>
        <v>0.95601483495814188</v>
      </c>
      <c r="Y461" s="24"/>
      <c r="Z461" s="24"/>
      <c r="AA461" s="24"/>
      <c r="AB461" s="24"/>
      <c r="AC461" s="24"/>
      <c r="AD461" s="24"/>
      <c r="AE461" s="24"/>
      <c r="AF461" s="24"/>
      <c r="AG461" s="24"/>
      <c r="AH461" s="24">
        <f t="shared" si="305"/>
        <v>9.4550508529141347E-2</v>
      </c>
      <c r="AL461" s="23">
        <f t="shared" si="294"/>
        <v>0</v>
      </c>
      <c r="AM461" s="23">
        <f t="shared" si="295"/>
        <v>0</v>
      </c>
      <c r="AN461" s="23">
        <f t="shared" si="296"/>
        <v>0</v>
      </c>
      <c r="AO461" s="23">
        <f t="shared" si="297"/>
        <v>0</v>
      </c>
      <c r="AP461" s="23">
        <f t="shared" si="298"/>
        <v>0</v>
      </c>
      <c r="AQ461" s="23">
        <f t="shared" si="299"/>
        <v>0</v>
      </c>
      <c r="AR461" s="23">
        <f t="shared" si="300"/>
        <v>0</v>
      </c>
      <c r="AS461" s="23">
        <f t="shared" si="301"/>
        <v>0</v>
      </c>
      <c r="AT461" s="23">
        <f t="shared" si="302"/>
        <v>0</v>
      </c>
      <c r="AU461" s="23">
        <f t="shared" si="303"/>
        <v>12833.610310251566</v>
      </c>
      <c r="AW461" s="25"/>
      <c r="AX461" s="25"/>
      <c r="AY461" s="25"/>
      <c r="AZ461" s="25"/>
      <c r="BA461" s="25"/>
      <c r="BB461" s="25"/>
      <c r="BC461" s="25"/>
      <c r="BD461" s="25"/>
      <c r="BE461" s="25"/>
      <c r="BF461" s="25">
        <f t="shared" si="307"/>
        <v>12833.610310251566</v>
      </c>
      <c r="BG461" s="25">
        <f t="shared" si="308"/>
        <v>0</v>
      </c>
      <c r="BI461" s="25"/>
      <c r="BJ461" s="25"/>
      <c r="BK461" s="25"/>
      <c r="BL461" s="25"/>
      <c r="BM461" s="25"/>
      <c r="BN461" s="25"/>
      <c r="BO461" s="25"/>
      <c r="BP461" s="25"/>
      <c r="BQ461" s="25"/>
      <c r="BR461" s="25">
        <f t="shared" si="291"/>
        <v>12833.610310251566</v>
      </c>
      <c r="BS461" s="25">
        <f t="shared" si="292"/>
        <v>0</v>
      </c>
    </row>
    <row r="462" spans="1:71" x14ac:dyDescent="0.2">
      <c r="A462" s="29">
        <f t="shared" si="309"/>
        <v>4.5399999999999476</v>
      </c>
      <c r="B462" s="30">
        <v>5.5024500430296754E-2</v>
      </c>
      <c r="C462" s="30">
        <v>5.8031412504454052E-2</v>
      </c>
      <c r="D462" s="30">
        <v>6.1362663745735457E-2</v>
      </c>
      <c r="E462" s="30">
        <v>6.497979814235795E-2</v>
      </c>
      <c r="F462" s="30">
        <v>6.8838668412803367E-2</v>
      </c>
      <c r="G462" s="30">
        <v>7.2897221771740364E-2</v>
      </c>
      <c r="H462" s="30">
        <v>7.7117734704673951E-2</v>
      </c>
      <c r="I462" s="30">
        <v>8.1466380162256227E-2</v>
      </c>
      <c r="J462" s="30">
        <v>8.5912258727109114E-2</v>
      </c>
      <c r="K462" s="30">
        <v>9.0426668266387955E-2</v>
      </c>
      <c r="L462" s="30">
        <v>9.4982718746730282E-2</v>
      </c>
      <c r="N462" s="1"/>
      <c r="O462" s="1"/>
      <c r="P462" s="1"/>
      <c r="Q462" s="1"/>
      <c r="R462" s="1"/>
      <c r="S462" s="1"/>
      <c r="T462" s="1"/>
      <c r="U462" s="1"/>
      <c r="V462" s="1"/>
      <c r="W462" s="68">
        <f t="shared" si="289"/>
        <v>0.9557935566918474</v>
      </c>
      <c r="Y462" s="24"/>
      <c r="Z462" s="24"/>
      <c r="AA462" s="24"/>
      <c r="AB462" s="24"/>
      <c r="AC462" s="24"/>
      <c r="AD462" s="24"/>
      <c r="AE462" s="24"/>
      <c r="AF462" s="24"/>
      <c r="AG462" s="24"/>
      <c r="AH462" s="24">
        <f t="shared" si="305"/>
        <v>9.4982718746730282E-2</v>
      </c>
      <c r="AL462" s="23">
        <f t="shared" si="294"/>
        <v>0</v>
      </c>
      <c r="AM462" s="23">
        <f t="shared" si="295"/>
        <v>0</v>
      </c>
      <c r="AN462" s="23">
        <f t="shared" si="296"/>
        <v>0</v>
      </c>
      <c r="AO462" s="23">
        <f t="shared" si="297"/>
        <v>0</v>
      </c>
      <c r="AP462" s="23">
        <f t="shared" si="298"/>
        <v>0</v>
      </c>
      <c r="AQ462" s="23">
        <f t="shared" si="299"/>
        <v>0</v>
      </c>
      <c r="AR462" s="23">
        <f t="shared" si="300"/>
        <v>0</v>
      </c>
      <c r="AS462" s="23">
        <f t="shared" si="301"/>
        <v>0</v>
      </c>
      <c r="AT462" s="23">
        <f t="shared" si="302"/>
        <v>0</v>
      </c>
      <c r="AU462" s="23">
        <f t="shared" si="303"/>
        <v>13037.191725812647</v>
      </c>
      <c r="AW462" s="25"/>
      <c r="AX462" s="25"/>
      <c r="AY462" s="25"/>
      <c r="AZ462" s="25"/>
      <c r="BA462" s="25"/>
      <c r="BB462" s="25"/>
      <c r="BC462" s="25"/>
      <c r="BD462" s="25"/>
      <c r="BE462" s="25"/>
      <c r="BF462" s="25">
        <f t="shared" si="307"/>
        <v>13037.191725812647</v>
      </c>
      <c r="BG462" s="25">
        <f t="shared" si="308"/>
        <v>0</v>
      </c>
      <c r="BI462" s="25"/>
      <c r="BJ462" s="25"/>
      <c r="BK462" s="25"/>
      <c r="BL462" s="25"/>
      <c r="BM462" s="25"/>
      <c r="BN462" s="25"/>
      <c r="BO462" s="25"/>
      <c r="BP462" s="25"/>
      <c r="BQ462" s="25"/>
      <c r="BR462" s="25">
        <f t="shared" si="291"/>
        <v>13037.191725812647</v>
      </c>
      <c r="BS462" s="25">
        <f t="shared" si="292"/>
        <v>0</v>
      </c>
    </row>
    <row r="463" spans="1:71" x14ac:dyDescent="0.2">
      <c r="A463" s="29">
        <f t="shared" si="309"/>
        <v>4.5499999999999474</v>
      </c>
      <c r="B463" s="30">
        <v>5.6230395472110707E-2</v>
      </c>
      <c r="C463" s="30">
        <v>5.9052290374903088E-2</v>
      </c>
      <c r="D463" s="30">
        <v>6.2214297884242188E-2</v>
      </c>
      <c r="E463" s="30">
        <v>6.5677268798301977E-2</v>
      </c>
      <c r="F463" s="30">
        <v>6.9396515532777106E-2</v>
      </c>
      <c r="G463" s="30">
        <v>7.3329487368853044E-2</v>
      </c>
      <c r="H463" s="30">
        <v>7.743795232790289E-2</v>
      </c>
      <c r="I463" s="30">
        <v>8.168755404891774E-2</v>
      </c>
      <c r="J463" s="30">
        <v>8.6046848082963437E-2</v>
      </c>
      <c r="K463" s="30">
        <v>9.0486578763394929E-2</v>
      </c>
      <c r="L463" s="30">
        <v>9.497929919754175E-2</v>
      </c>
      <c r="N463" s="1"/>
      <c r="O463" s="1"/>
      <c r="P463" s="1"/>
      <c r="Q463" s="1"/>
      <c r="R463" s="1"/>
      <c r="S463" s="1"/>
      <c r="T463" s="1"/>
      <c r="U463" s="1"/>
      <c r="V463" s="1"/>
      <c r="W463" s="68">
        <f t="shared" si="289"/>
        <v>0.95576492608715935</v>
      </c>
      <c r="Y463" s="24"/>
      <c r="Z463" s="24"/>
      <c r="AA463" s="24"/>
      <c r="AB463" s="24"/>
      <c r="AC463" s="24"/>
      <c r="AD463" s="24"/>
      <c r="AE463" s="24"/>
      <c r="AF463" s="24"/>
      <c r="AG463" s="24"/>
      <c r="AH463" s="24">
        <f t="shared" si="305"/>
        <v>9.497929919754175E-2</v>
      </c>
      <c r="AL463" s="23">
        <f t="shared" si="294"/>
        <v>0</v>
      </c>
      <c r="AM463" s="23">
        <f t="shared" si="295"/>
        <v>0</v>
      </c>
      <c r="AN463" s="23">
        <f t="shared" si="296"/>
        <v>0</v>
      </c>
      <c r="AO463" s="23">
        <f t="shared" si="297"/>
        <v>0</v>
      </c>
      <c r="AP463" s="23">
        <f t="shared" si="298"/>
        <v>0</v>
      </c>
      <c r="AQ463" s="23">
        <f t="shared" si="299"/>
        <v>0</v>
      </c>
      <c r="AR463" s="23">
        <f t="shared" si="300"/>
        <v>0</v>
      </c>
      <c r="AS463" s="23">
        <f t="shared" si="301"/>
        <v>0</v>
      </c>
      <c r="AT463" s="23">
        <f t="shared" si="302"/>
        <v>0</v>
      </c>
      <c r="AU463" s="23">
        <f t="shared" si="303"/>
        <v>13035.16705675519</v>
      </c>
      <c r="AW463" s="25"/>
      <c r="AX463" s="25"/>
      <c r="AY463" s="25"/>
      <c r="AZ463" s="25"/>
      <c r="BA463" s="25"/>
      <c r="BB463" s="25"/>
      <c r="BC463" s="25"/>
      <c r="BD463" s="25"/>
      <c r="BE463" s="25"/>
      <c r="BF463" s="25">
        <f t="shared" si="307"/>
        <v>13035.16705675519</v>
      </c>
      <c r="BG463" s="25">
        <f t="shared" si="308"/>
        <v>0</v>
      </c>
      <c r="BI463" s="25"/>
      <c r="BJ463" s="25"/>
      <c r="BK463" s="25"/>
      <c r="BL463" s="25"/>
      <c r="BM463" s="25"/>
      <c r="BN463" s="25"/>
      <c r="BO463" s="25"/>
      <c r="BP463" s="25"/>
      <c r="BQ463" s="25"/>
      <c r="BR463" s="25">
        <f t="shared" si="291"/>
        <v>13035.16705675519</v>
      </c>
      <c r="BS463" s="25">
        <f t="shared" si="292"/>
        <v>0</v>
      </c>
    </row>
    <row r="464" spans="1:71" x14ac:dyDescent="0.2">
      <c r="A464" s="29">
        <f t="shared" si="309"/>
        <v>4.5599999999999472</v>
      </c>
      <c r="B464" s="30">
        <v>5.5319915716761148E-2</v>
      </c>
      <c r="C464" s="30">
        <v>5.8036347141137909E-2</v>
      </c>
      <c r="D464" s="30">
        <v>6.1108877585460325E-2</v>
      </c>
      <c r="E464" s="30">
        <v>6.4497517613720898E-2</v>
      </c>
      <c r="F464" s="30">
        <v>6.8156890084329638E-2</v>
      </c>
      <c r="G464" s="30">
        <v>7.2043796032492308E-2</v>
      </c>
      <c r="H464" s="30">
        <v>7.6119344496615934E-2</v>
      </c>
      <c r="I464" s="30">
        <v>8.0348499387749212E-2</v>
      </c>
      <c r="J464" s="30">
        <v>8.46991209534734E-2</v>
      </c>
      <c r="K464" s="30">
        <v>8.914124982494942E-2</v>
      </c>
      <c r="L464" s="30">
        <v>9.3646732135445609E-2</v>
      </c>
      <c r="N464" s="1"/>
      <c r="O464" s="1"/>
      <c r="P464" s="1"/>
      <c r="Q464" s="1"/>
      <c r="R464" s="1"/>
      <c r="S464" s="1"/>
      <c r="T464" s="1"/>
      <c r="U464" s="1"/>
      <c r="V464" s="1"/>
      <c r="W464" s="68">
        <f t="shared" si="289"/>
        <v>0.95640805147341579</v>
      </c>
      <c r="Y464" s="24"/>
      <c r="Z464" s="24"/>
      <c r="AA464" s="24"/>
      <c r="AB464" s="24"/>
      <c r="AC464" s="24"/>
      <c r="AD464" s="24"/>
      <c r="AE464" s="24"/>
      <c r="AF464" s="24"/>
      <c r="AG464" s="24"/>
      <c r="AH464" s="24">
        <f t="shared" si="305"/>
        <v>9.3646732135445609E-2</v>
      </c>
      <c r="AL464" s="23">
        <f t="shared" si="294"/>
        <v>0</v>
      </c>
      <c r="AM464" s="23">
        <f t="shared" si="295"/>
        <v>0</v>
      </c>
      <c r="AN464" s="23">
        <f t="shared" si="296"/>
        <v>0</v>
      </c>
      <c r="AO464" s="23">
        <f t="shared" si="297"/>
        <v>0</v>
      </c>
      <c r="AP464" s="23">
        <f t="shared" si="298"/>
        <v>0</v>
      </c>
      <c r="AQ464" s="23">
        <f t="shared" si="299"/>
        <v>0</v>
      </c>
      <c r="AR464" s="23">
        <f t="shared" si="300"/>
        <v>0</v>
      </c>
      <c r="AS464" s="23">
        <f t="shared" si="301"/>
        <v>0</v>
      </c>
      <c r="AT464" s="23">
        <f t="shared" si="302"/>
        <v>0</v>
      </c>
      <c r="AU464" s="23">
        <f t="shared" si="303"/>
        <v>12406.699366547316</v>
      </c>
      <c r="AW464" s="25"/>
      <c r="AX464" s="25"/>
      <c r="AY464" s="25"/>
      <c r="AZ464" s="25"/>
      <c r="BA464" s="25"/>
      <c r="BB464" s="25"/>
      <c r="BC464" s="25"/>
      <c r="BD464" s="25"/>
      <c r="BE464" s="25"/>
      <c r="BF464" s="25">
        <f t="shared" si="307"/>
        <v>12406.699366547316</v>
      </c>
      <c r="BG464" s="25">
        <f t="shared" si="308"/>
        <v>0</v>
      </c>
      <c r="BI464" s="25"/>
      <c r="BJ464" s="25"/>
      <c r="BK464" s="25"/>
      <c r="BL464" s="25"/>
      <c r="BM464" s="25"/>
      <c r="BN464" s="25"/>
      <c r="BO464" s="25"/>
      <c r="BP464" s="25"/>
      <c r="BQ464" s="25"/>
      <c r="BR464" s="25">
        <f t="shared" si="291"/>
        <v>12406.699366547316</v>
      </c>
      <c r="BS464" s="25">
        <f t="shared" si="292"/>
        <v>0</v>
      </c>
    </row>
    <row r="465" spans="1:71" x14ac:dyDescent="0.2">
      <c r="A465" s="29">
        <f t="shared" si="309"/>
        <v>4.569999999999947</v>
      </c>
      <c r="B465" s="30">
        <v>5.4408465025513185E-2</v>
      </c>
      <c r="C465" s="30">
        <v>5.7120952517726628E-2</v>
      </c>
      <c r="D465" s="30">
        <v>6.0194602718066342E-2</v>
      </c>
      <c r="E465" s="30">
        <v>6.3589020174817434E-2</v>
      </c>
      <c r="F465" s="30">
        <v>6.7258570220267502E-2</v>
      </c>
      <c r="G465" s="30">
        <v>7.1159836633838999E-2</v>
      </c>
      <c r="H465" s="30">
        <v>7.5253700261009498E-2</v>
      </c>
      <c r="I465" s="30">
        <v>7.9504876178310507E-2</v>
      </c>
      <c r="J465" s="30">
        <v>8.3880960366800761E-2</v>
      </c>
      <c r="K465" s="30">
        <v>8.835172089494582E-2</v>
      </c>
      <c r="L465" s="30">
        <v>9.2888728114327301E-2</v>
      </c>
      <c r="N465" s="1"/>
      <c r="O465" s="1"/>
      <c r="P465" s="1"/>
      <c r="Q465" s="1"/>
      <c r="R465" s="1"/>
      <c r="S465" s="1"/>
      <c r="T465" s="1"/>
      <c r="U465" s="1"/>
      <c r="V465" s="1"/>
      <c r="W465" s="68">
        <f t="shared" si="289"/>
        <v>0.9567856819188153</v>
      </c>
      <c r="Y465" s="24"/>
      <c r="Z465" s="24"/>
      <c r="AA465" s="24"/>
      <c r="AB465" s="24"/>
      <c r="AC465" s="24"/>
      <c r="AD465" s="24"/>
      <c r="AE465" s="24"/>
      <c r="AF465" s="24"/>
      <c r="AG465" s="24"/>
      <c r="AH465" s="24">
        <f t="shared" si="305"/>
        <v>9.2888728114327301E-2</v>
      </c>
      <c r="AL465" s="23">
        <f t="shared" si="294"/>
        <v>0</v>
      </c>
      <c r="AM465" s="23">
        <f t="shared" si="295"/>
        <v>0</v>
      </c>
      <c r="AN465" s="23">
        <f t="shared" si="296"/>
        <v>0</v>
      </c>
      <c r="AO465" s="23">
        <f t="shared" si="297"/>
        <v>0</v>
      </c>
      <c r="AP465" s="23">
        <f t="shared" si="298"/>
        <v>0</v>
      </c>
      <c r="AQ465" s="23">
        <f t="shared" si="299"/>
        <v>0</v>
      </c>
      <c r="AR465" s="23">
        <f t="shared" si="300"/>
        <v>0</v>
      </c>
      <c r="AS465" s="23">
        <f t="shared" si="301"/>
        <v>0</v>
      </c>
      <c r="AT465" s="23">
        <f t="shared" si="302"/>
        <v>0</v>
      </c>
      <c r="AU465" s="23">
        <f t="shared" si="303"/>
        <v>12048.974360314673</v>
      </c>
      <c r="AW465" s="25"/>
      <c r="AX465" s="25"/>
      <c r="AY465" s="25"/>
      <c r="AZ465" s="25"/>
      <c r="BA465" s="25"/>
      <c r="BB465" s="25"/>
      <c r="BC465" s="25"/>
      <c r="BD465" s="25"/>
      <c r="BE465" s="25"/>
      <c r="BF465" s="25">
        <f t="shared" si="307"/>
        <v>12048.974360314673</v>
      </c>
      <c r="BG465" s="25">
        <f t="shared" si="308"/>
        <v>0</v>
      </c>
      <c r="BI465" s="25"/>
      <c r="BJ465" s="25"/>
      <c r="BK465" s="25"/>
      <c r="BL465" s="25"/>
      <c r="BM465" s="25"/>
      <c r="BN465" s="25"/>
      <c r="BO465" s="25"/>
      <c r="BP465" s="25"/>
      <c r="BQ465" s="25"/>
      <c r="BR465" s="25">
        <f t="shared" si="291"/>
        <v>12048.974360314673</v>
      </c>
      <c r="BS465" s="25">
        <f t="shared" si="292"/>
        <v>0</v>
      </c>
    </row>
    <row r="466" spans="1:71" x14ac:dyDescent="0.2">
      <c r="A466" s="29">
        <f t="shared" si="309"/>
        <v>4.5799999999999468</v>
      </c>
      <c r="B466" s="30">
        <v>5.3668992403501425E-2</v>
      </c>
      <c r="C466" s="30">
        <v>5.6376495511726445E-2</v>
      </c>
      <c r="D466" s="30">
        <v>5.9448343954376648E-2</v>
      </c>
      <c r="E466" s="30">
        <v>6.2843845422570987E-2</v>
      </c>
      <c r="F466" s="30">
        <v>6.6517214716630982E-2</v>
      </c>
      <c r="G466" s="30">
        <v>7.0424924330202379E-2</v>
      </c>
      <c r="H466" s="30">
        <v>7.4527732691751086E-2</v>
      </c>
      <c r="I466" s="30">
        <v>7.8790211923400896E-2</v>
      </c>
      <c r="J466" s="30">
        <v>8.3179799762514051E-2</v>
      </c>
      <c r="K466" s="30">
        <v>8.7666097839230531E-2</v>
      </c>
      <c r="L466" s="30">
        <v>9.2220506899931151E-2</v>
      </c>
      <c r="N466" s="1"/>
      <c r="O466" s="1"/>
      <c r="P466" s="1"/>
      <c r="Q466" s="1"/>
      <c r="R466" s="1"/>
      <c r="S466" s="1"/>
      <c r="T466" s="1"/>
      <c r="U466" s="1"/>
      <c r="V466" s="1"/>
      <c r="W466" s="68">
        <f t="shared" si="289"/>
        <v>0.95711373530729515</v>
      </c>
      <c r="Y466" s="24"/>
      <c r="Z466" s="24"/>
      <c r="AA466" s="24"/>
      <c r="AB466" s="24"/>
      <c r="AC466" s="24"/>
      <c r="AD466" s="24"/>
      <c r="AE466" s="24"/>
      <c r="AF466" s="24"/>
      <c r="AG466" s="24"/>
      <c r="AH466" s="24">
        <f t="shared" si="305"/>
        <v>9.2220506899931151E-2</v>
      </c>
      <c r="AL466" s="23">
        <f t="shared" si="294"/>
        <v>0</v>
      </c>
      <c r="AM466" s="23">
        <f t="shared" si="295"/>
        <v>0</v>
      </c>
      <c r="AN466" s="23">
        <f t="shared" si="296"/>
        <v>0</v>
      </c>
      <c r="AO466" s="23">
        <f t="shared" si="297"/>
        <v>0</v>
      </c>
      <c r="AP466" s="23">
        <f t="shared" si="298"/>
        <v>0</v>
      </c>
      <c r="AQ466" s="23">
        <f t="shared" si="299"/>
        <v>0</v>
      </c>
      <c r="AR466" s="23">
        <f t="shared" si="300"/>
        <v>0</v>
      </c>
      <c r="AS466" s="23">
        <f t="shared" si="301"/>
        <v>0</v>
      </c>
      <c r="AT466" s="23">
        <f t="shared" si="302"/>
        <v>0</v>
      </c>
      <c r="AU466" s="23">
        <f t="shared" si="303"/>
        <v>11733.323744440211</v>
      </c>
      <c r="AW466" s="25"/>
      <c r="AX466" s="25"/>
      <c r="AY466" s="25"/>
      <c r="AZ466" s="25"/>
      <c r="BA466" s="25"/>
      <c r="BB466" s="25"/>
      <c r="BC466" s="25"/>
      <c r="BD466" s="25"/>
      <c r="BE466" s="25"/>
      <c r="BF466" s="25">
        <f t="shared" si="307"/>
        <v>11733.323744440211</v>
      </c>
      <c r="BG466" s="25">
        <f t="shared" si="308"/>
        <v>0</v>
      </c>
      <c r="BI466" s="25"/>
      <c r="BJ466" s="25"/>
      <c r="BK466" s="25"/>
      <c r="BL466" s="25"/>
      <c r="BM466" s="25"/>
      <c r="BN466" s="25"/>
      <c r="BO466" s="25"/>
      <c r="BP466" s="25"/>
      <c r="BQ466" s="25"/>
      <c r="BR466" s="25">
        <f t="shared" si="291"/>
        <v>11733.323744440211</v>
      </c>
      <c r="BS466" s="25">
        <f t="shared" si="292"/>
        <v>0</v>
      </c>
    </row>
    <row r="467" spans="1:71" x14ac:dyDescent="0.2">
      <c r="A467" s="29">
        <f t="shared" si="309"/>
        <v>4.5899999999999466</v>
      </c>
      <c r="B467" s="30">
        <v>5.3941727501122326E-2</v>
      </c>
      <c r="C467" s="30">
        <v>5.674275073291974E-2</v>
      </c>
      <c r="D467" s="30">
        <v>5.9895580403188993E-2</v>
      </c>
      <c r="E467" s="30">
        <v>6.335993386714435E-2</v>
      </c>
      <c r="F467" s="30">
        <v>6.709057977282247E-2</v>
      </c>
      <c r="G467" s="30">
        <v>7.1044582700225165E-2</v>
      </c>
      <c r="H467" s="30">
        <v>7.5183281844816222E-2</v>
      </c>
      <c r="I467" s="30">
        <v>7.9471809663283391E-2</v>
      </c>
      <c r="J467" s="30">
        <v>8.3878149080157297E-2</v>
      </c>
      <c r="K467" s="30">
        <v>8.8372438818672308E-2</v>
      </c>
      <c r="L467" s="30">
        <v>9.2926613602790809E-2</v>
      </c>
      <c r="N467" s="1"/>
      <c r="O467" s="1"/>
      <c r="P467" s="1"/>
      <c r="Q467" s="1"/>
      <c r="R467" s="1"/>
      <c r="S467" s="1"/>
      <c r="T467" s="1"/>
      <c r="U467" s="1"/>
      <c r="V467" s="1"/>
      <c r="W467" s="68">
        <f t="shared" si="289"/>
        <v>0.95677577066376029</v>
      </c>
      <c r="Y467" s="24"/>
      <c r="Z467" s="24"/>
      <c r="AA467" s="24"/>
      <c r="AB467" s="24"/>
      <c r="AC467" s="24"/>
      <c r="AD467" s="24"/>
      <c r="AE467" s="24"/>
      <c r="AF467" s="24"/>
      <c r="AG467" s="24"/>
      <c r="AH467" s="24">
        <f t="shared" si="305"/>
        <v>9.2926613602790809E-2</v>
      </c>
      <c r="AL467" s="23">
        <f t="shared" si="294"/>
        <v>0</v>
      </c>
      <c r="AM467" s="23">
        <f t="shared" si="295"/>
        <v>0</v>
      </c>
      <c r="AN467" s="23">
        <f t="shared" si="296"/>
        <v>0</v>
      </c>
      <c r="AO467" s="23">
        <f t="shared" si="297"/>
        <v>0</v>
      </c>
      <c r="AP467" s="23">
        <f t="shared" si="298"/>
        <v>0</v>
      </c>
      <c r="AQ467" s="23">
        <f t="shared" si="299"/>
        <v>0</v>
      </c>
      <c r="AR467" s="23">
        <f t="shared" si="300"/>
        <v>0</v>
      </c>
      <c r="AS467" s="23">
        <f t="shared" si="301"/>
        <v>0</v>
      </c>
      <c r="AT467" s="23">
        <f t="shared" si="302"/>
        <v>0</v>
      </c>
      <c r="AU467" s="23">
        <f t="shared" si="303"/>
        <v>12066.973504806081</v>
      </c>
      <c r="AW467" s="25"/>
      <c r="AX467" s="25"/>
      <c r="AY467" s="25"/>
      <c r="AZ467" s="25"/>
      <c r="BA467" s="25"/>
      <c r="BB467" s="25"/>
      <c r="BC467" s="25"/>
      <c r="BD467" s="25"/>
      <c r="BE467" s="25"/>
      <c r="BF467" s="25">
        <f t="shared" si="307"/>
        <v>12066.973504806081</v>
      </c>
      <c r="BG467" s="25">
        <f t="shared" si="308"/>
        <v>0</v>
      </c>
      <c r="BI467" s="25"/>
      <c r="BJ467" s="25"/>
      <c r="BK467" s="25"/>
      <c r="BL467" s="25"/>
      <c r="BM467" s="25"/>
      <c r="BN467" s="25"/>
      <c r="BO467" s="25"/>
      <c r="BP467" s="25"/>
      <c r="BQ467" s="25"/>
      <c r="BR467" s="25">
        <f t="shared" si="291"/>
        <v>12066.973504806081</v>
      </c>
      <c r="BS467" s="25">
        <f t="shared" si="292"/>
        <v>0</v>
      </c>
    </row>
    <row r="468" spans="1:71" x14ac:dyDescent="0.2">
      <c r="A468" s="29">
        <f t="shared" si="309"/>
        <v>4.5999999999999464</v>
      </c>
      <c r="B468" s="30">
        <v>5.4367325621683518E-2</v>
      </c>
      <c r="C468" s="30">
        <v>5.7079639851441037E-2</v>
      </c>
      <c r="D468" s="30">
        <v>6.0148223933219079E-2</v>
      </c>
      <c r="E468" s="30">
        <v>6.3532577979905205E-2</v>
      </c>
      <c r="F468" s="30">
        <v>6.7187395461929644E-2</v>
      </c>
      <c r="G468" s="30">
        <v>7.1069703029168665E-2</v>
      </c>
      <c r="H468" s="30">
        <v>7.5140790445340847E-2</v>
      </c>
      <c r="I468" s="30">
        <v>7.9365720408655596E-2</v>
      </c>
      <c r="J468" s="30">
        <v>8.3712391078836018E-2</v>
      </c>
      <c r="K468" s="30">
        <v>8.8150848419806166E-2</v>
      </c>
      <c r="L468" s="30">
        <v>9.2652931331319618E-2</v>
      </c>
      <c r="N468" s="1"/>
      <c r="O468" s="1"/>
      <c r="P468" s="1"/>
      <c r="Q468" s="1"/>
      <c r="R468" s="1"/>
      <c r="S468" s="1"/>
      <c r="T468" s="1"/>
      <c r="U468" s="1"/>
      <c r="V468" s="1"/>
      <c r="W468" s="68">
        <f t="shared" si="289"/>
        <v>0.95688178269878754</v>
      </c>
      <c r="Y468" s="24"/>
      <c r="Z468" s="24"/>
      <c r="AA468" s="24"/>
      <c r="AB468" s="24"/>
      <c r="AC468" s="24"/>
      <c r="AD468" s="24"/>
      <c r="AE468" s="24"/>
      <c r="AF468" s="24"/>
      <c r="AG468" s="24"/>
      <c r="AH468" s="24">
        <f t="shared" si="305"/>
        <v>9.2652931331319618E-2</v>
      </c>
      <c r="AL468" s="23">
        <f t="shared" si="294"/>
        <v>0</v>
      </c>
      <c r="AM468" s="23">
        <f t="shared" si="295"/>
        <v>0</v>
      </c>
      <c r="AN468" s="23">
        <f t="shared" si="296"/>
        <v>0</v>
      </c>
      <c r="AO468" s="23">
        <f t="shared" si="297"/>
        <v>0</v>
      </c>
      <c r="AP468" s="23">
        <f t="shared" si="298"/>
        <v>0</v>
      </c>
      <c r="AQ468" s="23">
        <f t="shared" si="299"/>
        <v>0</v>
      </c>
      <c r="AR468" s="23">
        <f t="shared" si="300"/>
        <v>0</v>
      </c>
      <c r="AS468" s="23">
        <f t="shared" si="301"/>
        <v>0</v>
      </c>
      <c r="AT468" s="23">
        <f t="shared" si="302"/>
        <v>0</v>
      </c>
      <c r="AU468" s="23">
        <f t="shared" si="303"/>
        <v>11937.369751700158</v>
      </c>
      <c r="AW468" s="25"/>
      <c r="AX468" s="25"/>
      <c r="AY468" s="25"/>
      <c r="AZ468" s="25"/>
      <c r="BA468" s="25"/>
      <c r="BB468" s="25"/>
      <c r="BC468" s="25"/>
      <c r="BD468" s="25"/>
      <c r="BE468" s="25"/>
      <c r="BF468" s="25">
        <f t="shared" si="307"/>
        <v>11937.369751700158</v>
      </c>
      <c r="BG468" s="25">
        <f t="shared" si="308"/>
        <v>0</v>
      </c>
      <c r="BI468" s="25"/>
      <c r="BJ468" s="25"/>
      <c r="BK468" s="25"/>
      <c r="BL468" s="25"/>
      <c r="BM468" s="25"/>
      <c r="BN468" s="25"/>
      <c r="BO468" s="25"/>
      <c r="BP468" s="25"/>
      <c r="BQ468" s="25"/>
      <c r="BR468" s="25">
        <f t="shared" si="291"/>
        <v>11937.369751700158</v>
      </c>
      <c r="BS468" s="25">
        <f t="shared" si="292"/>
        <v>0</v>
      </c>
    </row>
    <row r="469" spans="1:71" x14ac:dyDescent="0.2">
      <c r="A469" s="29">
        <f t="shared" si="309"/>
        <v>4.6099999999999461</v>
      </c>
      <c r="B469" s="30">
        <v>5.2896669371086016E-2</v>
      </c>
      <c r="C469" s="30">
        <v>5.5714064979605508E-2</v>
      </c>
      <c r="D469" s="30">
        <v>5.8882102034744192E-2</v>
      </c>
      <c r="E469" s="30">
        <v>6.2360291423274164E-2</v>
      </c>
      <c r="F469" s="30">
        <v>6.6103477357885659E-2</v>
      </c>
      <c r="G469" s="30">
        <v>7.0068873503213863E-2</v>
      </c>
      <c r="H469" s="30">
        <v>7.421794495961434E-2</v>
      </c>
      <c r="I469" s="30">
        <v>7.8515909541608392E-2</v>
      </c>
      <c r="J469" s="30">
        <v>8.2930805659138365E-2</v>
      </c>
      <c r="K469" s="30">
        <v>8.7432811630436896E-2</v>
      </c>
      <c r="L469" s="30">
        <v>9.1993895694539196E-2</v>
      </c>
      <c r="N469" s="1"/>
      <c r="O469" s="1"/>
      <c r="P469" s="1"/>
      <c r="Q469" s="1"/>
      <c r="R469" s="1"/>
      <c r="S469" s="1"/>
      <c r="T469" s="1"/>
      <c r="U469" s="1"/>
      <c r="V469" s="1"/>
      <c r="W469" s="68">
        <f t="shared" si="289"/>
        <v>0.95722538253595535</v>
      </c>
      <c r="Y469" s="24"/>
      <c r="Z469" s="24"/>
      <c r="AA469" s="24"/>
      <c r="AB469" s="24"/>
      <c r="AC469" s="24"/>
      <c r="AD469" s="24"/>
      <c r="AE469" s="24"/>
      <c r="AF469" s="24"/>
      <c r="AG469" s="24"/>
      <c r="AH469" s="24">
        <f t="shared" si="305"/>
        <v>9.1993895694539196E-2</v>
      </c>
      <c r="AL469" s="23">
        <f t="shared" si="294"/>
        <v>0</v>
      </c>
      <c r="AM469" s="23">
        <f t="shared" si="295"/>
        <v>0</v>
      </c>
      <c r="AN469" s="23">
        <f t="shared" si="296"/>
        <v>0</v>
      </c>
      <c r="AO469" s="23">
        <f t="shared" si="297"/>
        <v>0</v>
      </c>
      <c r="AP469" s="23">
        <f t="shared" si="298"/>
        <v>0</v>
      </c>
      <c r="AQ469" s="23">
        <f t="shared" si="299"/>
        <v>0</v>
      </c>
      <c r="AR469" s="23">
        <f t="shared" si="300"/>
        <v>0</v>
      </c>
      <c r="AS469" s="23">
        <f t="shared" si="301"/>
        <v>0</v>
      </c>
      <c r="AT469" s="23">
        <f t="shared" si="302"/>
        <v>0</v>
      </c>
      <c r="AU469" s="23">
        <f t="shared" si="303"/>
        <v>11626.233436685172</v>
      </c>
      <c r="AW469" s="25"/>
      <c r="AX469" s="25"/>
      <c r="AY469" s="25"/>
      <c r="AZ469" s="25"/>
      <c r="BA469" s="25"/>
      <c r="BB469" s="25"/>
      <c r="BC469" s="25"/>
      <c r="BD469" s="25"/>
      <c r="BE469" s="25"/>
      <c r="BF469" s="25">
        <f t="shared" si="307"/>
        <v>11626.233436685172</v>
      </c>
      <c r="BG469" s="25">
        <f t="shared" si="308"/>
        <v>0</v>
      </c>
      <c r="BI469" s="25"/>
      <c r="BJ469" s="25"/>
      <c r="BK469" s="25"/>
      <c r="BL469" s="25"/>
      <c r="BM469" s="25"/>
      <c r="BN469" s="25"/>
      <c r="BO469" s="25"/>
      <c r="BP469" s="25"/>
      <c r="BQ469" s="25"/>
      <c r="BR469" s="25">
        <f t="shared" si="291"/>
        <v>11626.233436685172</v>
      </c>
      <c r="BS469" s="25">
        <f t="shared" si="292"/>
        <v>0</v>
      </c>
    </row>
    <row r="470" spans="1:71" x14ac:dyDescent="0.2">
      <c r="A470" s="29">
        <f t="shared" si="309"/>
        <v>4.6199999999999459</v>
      </c>
      <c r="B470" s="30">
        <v>5.281347008114444E-2</v>
      </c>
      <c r="C470" s="30">
        <v>5.5578502140398375E-2</v>
      </c>
      <c r="D470" s="30">
        <v>5.8700449131878191E-2</v>
      </c>
      <c r="E470" s="30">
        <v>6.2138446300098051E-2</v>
      </c>
      <c r="F470" s="30">
        <v>6.584710010994814E-2</v>
      </c>
      <c r="G470" s="30">
        <v>6.9783421791750164E-2</v>
      </c>
      <c r="H470" s="30">
        <v>7.3908662162580144E-2</v>
      </c>
      <c r="I470" s="30">
        <v>7.8187804640439423E-2</v>
      </c>
      <c r="J470" s="30">
        <v>8.2588638512061385E-2</v>
      </c>
      <c r="K470" s="30">
        <v>8.7081085174176703E-2</v>
      </c>
      <c r="L470" s="30">
        <v>9.1636852978426109E-2</v>
      </c>
      <c r="N470" s="1"/>
      <c r="O470" s="1"/>
      <c r="P470" s="1"/>
      <c r="Q470" s="1"/>
      <c r="R470" s="1"/>
      <c r="S470" s="1"/>
      <c r="T470" s="1"/>
      <c r="U470" s="1"/>
      <c r="V470" s="1"/>
      <c r="W470" s="68">
        <f t="shared" si="289"/>
        <v>0.95739373808511741</v>
      </c>
      <c r="Y470" s="24"/>
      <c r="Z470" s="24"/>
      <c r="AA470" s="24"/>
      <c r="AB470" s="24"/>
      <c r="AC470" s="24"/>
      <c r="AD470" s="24"/>
      <c r="AE470" s="24"/>
      <c r="AF470" s="24"/>
      <c r="AG470" s="24"/>
      <c r="AH470" s="24">
        <f t="shared" si="305"/>
        <v>9.1636852978426109E-2</v>
      </c>
      <c r="AL470" s="23">
        <f t="shared" si="294"/>
        <v>0</v>
      </c>
      <c r="AM470" s="23">
        <f t="shared" si="295"/>
        <v>0</v>
      </c>
      <c r="AN470" s="23">
        <f t="shared" si="296"/>
        <v>0</v>
      </c>
      <c r="AO470" s="23">
        <f t="shared" si="297"/>
        <v>0</v>
      </c>
      <c r="AP470" s="23">
        <f t="shared" si="298"/>
        <v>0</v>
      </c>
      <c r="AQ470" s="23">
        <f t="shared" si="299"/>
        <v>0</v>
      </c>
      <c r="AR470" s="23">
        <f t="shared" si="300"/>
        <v>0</v>
      </c>
      <c r="AS470" s="23">
        <f t="shared" si="301"/>
        <v>0</v>
      </c>
      <c r="AT470" s="23">
        <f t="shared" si="302"/>
        <v>0</v>
      </c>
      <c r="AU470" s="23">
        <f t="shared" si="303"/>
        <v>11457.363013108441</v>
      </c>
      <c r="AW470" s="25"/>
      <c r="AX470" s="25"/>
      <c r="AY470" s="25"/>
      <c r="AZ470" s="25"/>
      <c r="BA470" s="25"/>
      <c r="BB470" s="25"/>
      <c r="BC470" s="25"/>
      <c r="BD470" s="25"/>
      <c r="BE470" s="25"/>
      <c r="BF470" s="25">
        <f t="shared" si="307"/>
        <v>11457.363013108441</v>
      </c>
      <c r="BG470" s="25">
        <f t="shared" si="308"/>
        <v>0</v>
      </c>
      <c r="BI470" s="25"/>
      <c r="BJ470" s="25"/>
      <c r="BK470" s="25"/>
      <c r="BL470" s="25"/>
      <c r="BM470" s="25"/>
      <c r="BN470" s="25"/>
      <c r="BO470" s="25"/>
      <c r="BP470" s="25"/>
      <c r="BQ470" s="25"/>
      <c r="BR470" s="25">
        <f t="shared" si="291"/>
        <v>11457.363013108441</v>
      </c>
      <c r="BS470" s="25">
        <f t="shared" si="292"/>
        <v>0</v>
      </c>
    </row>
    <row r="471" spans="1:71" x14ac:dyDescent="0.2">
      <c r="A471" s="29">
        <f t="shared" si="309"/>
        <v>4.6299999999999457</v>
      </c>
      <c r="B471" s="30">
        <v>5.4916229444195663E-2</v>
      </c>
      <c r="C471" s="30">
        <v>5.7664484570246345E-2</v>
      </c>
      <c r="D471" s="30">
        <v>6.0768703873589132E-2</v>
      </c>
      <c r="E471" s="30">
        <v>6.4187989716616586E-2</v>
      </c>
      <c r="F471" s="30">
        <v>6.7877051524935783E-2</v>
      </c>
      <c r="G471" s="30">
        <v>7.1793037859822828E-2</v>
      </c>
      <c r="H471" s="30">
        <v>7.5897324855056555E-2</v>
      </c>
      <c r="I471" s="30">
        <v>8.0155001239831769E-2</v>
      </c>
      <c r="J471" s="30">
        <v>8.4533947023954267E-2</v>
      </c>
      <c r="K471" s="30">
        <v>8.9004166625582054E-2</v>
      </c>
      <c r="L471" s="30">
        <v>9.353744850029358E-2</v>
      </c>
      <c r="N471" s="1"/>
      <c r="O471" s="1"/>
      <c r="P471" s="1"/>
      <c r="Q471" s="1"/>
      <c r="R471" s="1"/>
      <c r="S471" s="1"/>
      <c r="T471" s="1"/>
      <c r="U471" s="1"/>
      <c r="V471" s="1"/>
      <c r="W471" s="68">
        <f t="shared" si="289"/>
        <v>0.95647360745784449</v>
      </c>
      <c r="Y471" s="24"/>
      <c r="Z471" s="24"/>
      <c r="AA471" s="24"/>
      <c r="AB471" s="24"/>
      <c r="AC471" s="24"/>
      <c r="AD471" s="24"/>
      <c r="AE471" s="24"/>
      <c r="AF471" s="24"/>
      <c r="AG471" s="24"/>
      <c r="AH471" s="24">
        <f t="shared" si="305"/>
        <v>9.353744850029358E-2</v>
      </c>
      <c r="AL471" s="23">
        <f t="shared" si="294"/>
        <v>0</v>
      </c>
      <c r="AM471" s="23">
        <f t="shared" si="295"/>
        <v>0</v>
      </c>
      <c r="AN471" s="23">
        <f t="shared" si="296"/>
        <v>0</v>
      </c>
      <c r="AO471" s="23">
        <f t="shared" si="297"/>
        <v>0</v>
      </c>
      <c r="AP471" s="23">
        <f t="shared" si="298"/>
        <v>0</v>
      </c>
      <c r="AQ471" s="23">
        <f t="shared" si="299"/>
        <v>0</v>
      </c>
      <c r="AR471" s="23">
        <f t="shared" si="300"/>
        <v>0</v>
      </c>
      <c r="AS471" s="23">
        <f t="shared" si="301"/>
        <v>0</v>
      </c>
      <c r="AT471" s="23">
        <f t="shared" si="302"/>
        <v>0</v>
      </c>
      <c r="AU471" s="23">
        <f t="shared" si="303"/>
        <v>12355.286314337409</v>
      </c>
      <c r="AW471" s="25"/>
      <c r="AX471" s="25"/>
      <c r="AY471" s="25"/>
      <c r="AZ471" s="25"/>
      <c r="BA471" s="25"/>
      <c r="BB471" s="25"/>
      <c r="BC471" s="25"/>
      <c r="BD471" s="25"/>
      <c r="BE471" s="25"/>
      <c r="BF471" s="25">
        <f t="shared" si="307"/>
        <v>12355.286314337409</v>
      </c>
      <c r="BG471" s="25">
        <f t="shared" si="308"/>
        <v>0</v>
      </c>
      <c r="BI471" s="25"/>
      <c r="BJ471" s="25"/>
      <c r="BK471" s="25"/>
      <c r="BL471" s="25"/>
      <c r="BM471" s="25"/>
      <c r="BN471" s="25"/>
      <c r="BO471" s="25"/>
      <c r="BP471" s="25"/>
      <c r="BQ471" s="25"/>
      <c r="BR471" s="25">
        <f t="shared" si="291"/>
        <v>12355.286314337409</v>
      </c>
      <c r="BS471" s="25">
        <f t="shared" si="292"/>
        <v>0</v>
      </c>
    </row>
    <row r="472" spans="1:71" x14ac:dyDescent="0.2">
      <c r="A472" s="29">
        <f t="shared" si="309"/>
        <v>4.6399999999999455</v>
      </c>
      <c r="B472" s="30">
        <v>5.4417388810003901E-2</v>
      </c>
      <c r="C472" s="30">
        <v>5.729010630855378E-2</v>
      </c>
      <c r="D472" s="30">
        <v>6.0507774046403881E-2</v>
      </c>
      <c r="E472" s="30">
        <v>6.4029778997474571E-2</v>
      </c>
      <c r="F472" s="30">
        <v>6.7811249012287189E-2</v>
      </c>
      <c r="G472" s="30">
        <v>7.1809784519579839E-2</v>
      </c>
      <c r="H472" s="30">
        <v>7.5987201346516611E-2</v>
      </c>
      <c r="I472" s="30">
        <v>8.0309008018515995E-2</v>
      </c>
      <c r="J472" s="30">
        <v>8.4743489891215898E-2</v>
      </c>
      <c r="K472" s="30">
        <v>8.9261049122644515E-2</v>
      </c>
      <c r="L472" s="30">
        <v>9.3833869038437587E-2</v>
      </c>
      <c r="N472" s="1"/>
      <c r="O472" s="1"/>
      <c r="P472" s="1"/>
      <c r="Q472" s="1"/>
      <c r="R472" s="1"/>
      <c r="S472" s="1"/>
      <c r="T472" s="1"/>
      <c r="U472" s="1"/>
      <c r="V472" s="1"/>
      <c r="W472" s="68">
        <f t="shared" si="289"/>
        <v>0.95635076468272395</v>
      </c>
      <c r="Y472" s="24"/>
      <c r="Z472" s="24"/>
      <c r="AA472" s="24"/>
      <c r="AB472" s="24"/>
      <c r="AC472" s="24"/>
      <c r="AD472" s="24"/>
      <c r="AE472" s="24"/>
      <c r="AF472" s="24"/>
      <c r="AG472" s="24"/>
      <c r="AH472" s="24">
        <f t="shared" si="305"/>
        <v>9.3833869038437587E-2</v>
      </c>
      <c r="AL472" s="23">
        <f t="shared" si="294"/>
        <v>0</v>
      </c>
      <c r="AM472" s="23">
        <f t="shared" si="295"/>
        <v>0</v>
      </c>
      <c r="AN472" s="23">
        <f t="shared" si="296"/>
        <v>0</v>
      </c>
      <c r="AO472" s="23">
        <f t="shared" si="297"/>
        <v>0</v>
      </c>
      <c r="AP472" s="23">
        <f t="shared" si="298"/>
        <v>0</v>
      </c>
      <c r="AQ472" s="23">
        <f t="shared" si="299"/>
        <v>0</v>
      </c>
      <c r="AR472" s="23">
        <f t="shared" si="300"/>
        <v>0</v>
      </c>
      <c r="AS472" s="23">
        <f t="shared" si="301"/>
        <v>0</v>
      </c>
      <c r="AT472" s="23">
        <f t="shared" si="302"/>
        <v>0</v>
      </c>
      <c r="AU472" s="23">
        <f t="shared" si="303"/>
        <v>12495.440492007245</v>
      </c>
      <c r="AW472" s="25"/>
      <c r="AX472" s="25"/>
      <c r="AY472" s="25"/>
      <c r="AZ472" s="25"/>
      <c r="BA472" s="25"/>
      <c r="BB472" s="25"/>
      <c r="BC472" s="25"/>
      <c r="BD472" s="25"/>
      <c r="BE472" s="25"/>
      <c r="BF472" s="25">
        <f t="shared" si="307"/>
        <v>12495.440492007245</v>
      </c>
      <c r="BG472" s="25">
        <f t="shared" si="308"/>
        <v>0</v>
      </c>
      <c r="BI472" s="25"/>
      <c r="BJ472" s="25"/>
      <c r="BK472" s="25"/>
      <c r="BL472" s="25"/>
      <c r="BM472" s="25"/>
      <c r="BN472" s="25"/>
      <c r="BO472" s="25"/>
      <c r="BP472" s="25"/>
      <c r="BQ472" s="25"/>
      <c r="BR472" s="25">
        <f t="shared" si="291"/>
        <v>12495.440492007245</v>
      </c>
      <c r="BS472" s="25">
        <f t="shared" si="292"/>
        <v>0</v>
      </c>
    </row>
    <row r="473" spans="1:71" x14ac:dyDescent="0.2">
      <c r="A473" s="29">
        <f t="shared" si="309"/>
        <v>4.6499999999999453</v>
      </c>
      <c r="B473" s="30">
        <v>5.3645852308179996E-2</v>
      </c>
      <c r="C473" s="30">
        <v>5.6533287473944635E-2</v>
      </c>
      <c r="D473" s="30">
        <v>5.9770167991100132E-2</v>
      </c>
      <c r="E473" s="30">
        <v>6.331549556499376E-2</v>
      </c>
      <c r="F473" s="30">
        <v>6.7124144583543502E-2</v>
      </c>
      <c r="G473" s="30">
        <v>7.115349454309923E-2</v>
      </c>
      <c r="H473" s="30">
        <v>7.536512800989853E-2</v>
      </c>
      <c r="I473" s="30">
        <v>7.9724300460207051E-2</v>
      </c>
      <c r="J473" s="30">
        <v>8.4199029887007004E-2</v>
      </c>
      <c r="K473" s="30">
        <v>8.8759443574431857E-2</v>
      </c>
      <c r="L473" s="30">
        <v>9.3377447151365922E-2</v>
      </c>
      <c r="N473" s="1"/>
      <c r="O473" s="1"/>
      <c r="P473" s="1"/>
      <c r="Q473" s="1"/>
      <c r="R473" s="1"/>
      <c r="S473" s="1"/>
      <c r="T473" s="1"/>
      <c r="U473" s="1"/>
      <c r="V473" s="1"/>
      <c r="W473" s="68">
        <f t="shared" si="289"/>
        <v>0.95659065018824285</v>
      </c>
      <c r="Y473" s="24"/>
      <c r="Z473" s="24"/>
      <c r="AA473" s="24"/>
      <c r="AB473" s="24"/>
      <c r="AC473" s="24"/>
      <c r="AD473" s="24"/>
      <c r="AE473" s="24"/>
      <c r="AF473" s="24"/>
      <c r="AG473" s="24"/>
      <c r="AH473" s="24">
        <f t="shared" si="305"/>
        <v>9.3377447151365922E-2</v>
      </c>
      <c r="AL473" s="23">
        <f t="shared" si="294"/>
        <v>0</v>
      </c>
      <c r="AM473" s="23">
        <f t="shared" si="295"/>
        <v>0</v>
      </c>
      <c r="AN473" s="23">
        <f t="shared" si="296"/>
        <v>0</v>
      </c>
      <c r="AO473" s="23">
        <f t="shared" si="297"/>
        <v>0</v>
      </c>
      <c r="AP473" s="23">
        <f t="shared" si="298"/>
        <v>0</v>
      </c>
      <c r="AQ473" s="23">
        <f t="shared" si="299"/>
        <v>0</v>
      </c>
      <c r="AR473" s="23">
        <f t="shared" si="300"/>
        <v>0</v>
      </c>
      <c r="AS473" s="23">
        <f t="shared" si="301"/>
        <v>0</v>
      </c>
      <c r="AT473" s="23">
        <f t="shared" si="302"/>
        <v>0</v>
      </c>
      <c r="AU473" s="23">
        <f t="shared" si="303"/>
        <v>12280.270321316459</v>
      </c>
      <c r="AW473" s="25"/>
      <c r="AX473" s="25"/>
      <c r="AY473" s="25"/>
      <c r="AZ473" s="25"/>
      <c r="BA473" s="25"/>
      <c r="BB473" s="25"/>
      <c r="BC473" s="25"/>
      <c r="BD473" s="25"/>
      <c r="BE473" s="25"/>
      <c r="BF473" s="25">
        <f t="shared" si="307"/>
        <v>12280.270321316459</v>
      </c>
      <c r="BG473" s="25">
        <f t="shared" si="308"/>
        <v>0</v>
      </c>
      <c r="BI473" s="25"/>
      <c r="BJ473" s="25"/>
      <c r="BK473" s="25"/>
      <c r="BL473" s="25"/>
      <c r="BM473" s="25"/>
      <c r="BN473" s="25"/>
      <c r="BO473" s="25"/>
      <c r="BP473" s="25"/>
      <c r="BQ473" s="25"/>
      <c r="BR473" s="25">
        <f t="shared" si="291"/>
        <v>12280.270321316459</v>
      </c>
      <c r="BS473" s="25">
        <f t="shared" si="292"/>
        <v>0</v>
      </c>
    </row>
    <row r="474" spans="1:71" x14ac:dyDescent="0.2">
      <c r="A474" s="29">
        <f t="shared" si="309"/>
        <v>4.6599999999999451</v>
      </c>
      <c r="B474" s="30">
        <v>5.3809911583788207E-2</v>
      </c>
      <c r="C474" s="30">
        <v>5.6659952600548819E-2</v>
      </c>
      <c r="D474" s="30">
        <v>5.9859008270577767E-2</v>
      </c>
      <c r="E474" s="30">
        <v>6.3366061874875951E-2</v>
      </c>
      <c r="F474" s="30">
        <v>6.7136099197469587E-2</v>
      </c>
      <c r="G474" s="30">
        <v>7.1126642763856884E-2</v>
      </c>
      <c r="H474" s="30">
        <v>7.529940569169162E-2</v>
      </c>
      <c r="I474" s="30">
        <v>7.9619754329923922E-2</v>
      </c>
      <c r="J474" s="30">
        <v>8.4055803366762785E-2</v>
      </c>
      <c r="K474" s="30">
        <v>8.8577769364097156E-2</v>
      </c>
      <c r="L474" s="30">
        <v>9.3157644451951058E-2</v>
      </c>
      <c r="N474" s="1"/>
      <c r="O474" s="1"/>
      <c r="P474" s="1"/>
      <c r="Q474" s="1"/>
      <c r="R474" s="1"/>
      <c r="S474" s="1"/>
      <c r="T474" s="1"/>
      <c r="U474" s="1"/>
      <c r="V474" s="1"/>
      <c r="W474" s="68">
        <f t="shared" ref="W474:W508" si="310">EXP(-K474*($W$7-$V$7))</f>
        <v>0.95667754806045191</v>
      </c>
      <c r="Y474" s="24"/>
      <c r="Z474" s="24"/>
      <c r="AA474" s="24"/>
      <c r="AB474" s="24"/>
      <c r="AC474" s="24"/>
      <c r="AD474" s="24"/>
      <c r="AE474" s="24"/>
      <c r="AF474" s="24"/>
      <c r="AG474" s="24"/>
      <c r="AH474" s="24">
        <f t="shared" si="305"/>
        <v>9.3157644451951058E-2</v>
      </c>
      <c r="AL474" s="23">
        <f t="shared" si="294"/>
        <v>0</v>
      </c>
      <c r="AM474" s="23">
        <f t="shared" si="295"/>
        <v>0</v>
      </c>
      <c r="AN474" s="23">
        <f t="shared" si="296"/>
        <v>0</v>
      </c>
      <c r="AO474" s="23">
        <f t="shared" si="297"/>
        <v>0</v>
      </c>
      <c r="AP474" s="23">
        <f t="shared" si="298"/>
        <v>0</v>
      </c>
      <c r="AQ474" s="23">
        <f t="shared" si="299"/>
        <v>0</v>
      </c>
      <c r="AR474" s="23">
        <f t="shared" si="300"/>
        <v>0</v>
      </c>
      <c r="AS474" s="23">
        <f t="shared" si="301"/>
        <v>0</v>
      </c>
      <c r="AT474" s="23">
        <f t="shared" si="302"/>
        <v>0</v>
      </c>
      <c r="AU474" s="23">
        <f t="shared" si="303"/>
        <v>12176.2457224226</v>
      </c>
      <c r="AW474" s="25"/>
      <c r="AX474" s="25"/>
      <c r="AY474" s="25"/>
      <c r="AZ474" s="25"/>
      <c r="BA474" s="25"/>
      <c r="BB474" s="25"/>
      <c r="BC474" s="25"/>
      <c r="BD474" s="25"/>
      <c r="BE474" s="25"/>
      <c r="BF474" s="25">
        <f t="shared" si="307"/>
        <v>12176.2457224226</v>
      </c>
      <c r="BG474" s="25">
        <f t="shared" si="308"/>
        <v>0</v>
      </c>
      <c r="BI474" s="25"/>
      <c r="BJ474" s="25"/>
      <c r="BK474" s="25"/>
      <c r="BL474" s="25"/>
      <c r="BM474" s="25"/>
      <c r="BN474" s="25"/>
      <c r="BO474" s="25"/>
      <c r="BP474" s="25"/>
      <c r="BQ474" s="25"/>
      <c r="BR474" s="25">
        <f t="shared" si="291"/>
        <v>12176.2457224226</v>
      </c>
      <c r="BS474" s="25">
        <f t="shared" si="292"/>
        <v>0</v>
      </c>
    </row>
    <row r="475" spans="1:71" x14ac:dyDescent="0.2">
      <c r="A475" s="29">
        <f t="shared" si="309"/>
        <v>4.6699999999999449</v>
      </c>
      <c r="B475" s="30">
        <v>5.494124396210151E-2</v>
      </c>
      <c r="C475" s="30">
        <v>5.7661896662932123E-2</v>
      </c>
      <c r="D475" s="30">
        <v>6.0739837035421261E-2</v>
      </c>
      <c r="E475" s="30">
        <v>6.4133707847653071E-2</v>
      </c>
      <c r="F475" s="30">
        <v>6.7798282227443357E-2</v>
      </c>
      <c r="G475" s="30">
        <v>7.1690900794904602E-2</v>
      </c>
      <c r="H475" s="30">
        <v>7.5773082140552714E-2</v>
      </c>
      <c r="I475" s="30">
        <v>8.0009978517493696E-2</v>
      </c>
      <c r="J475" s="30">
        <v>8.436947647583444E-2</v>
      </c>
      <c r="K475" s="30">
        <v>8.8821557114707642E-2</v>
      </c>
      <c r="L475" s="30">
        <v>9.3337974370296617E-2</v>
      </c>
      <c r="N475" s="1"/>
      <c r="O475" s="1"/>
      <c r="P475" s="1"/>
      <c r="Q475" s="1"/>
      <c r="R475" s="1"/>
      <c r="S475" s="1"/>
      <c r="T475" s="1"/>
      <c r="U475" s="1"/>
      <c r="V475" s="1"/>
      <c r="W475" s="68">
        <f t="shared" si="310"/>
        <v>0.95656094203362585</v>
      </c>
      <c r="Y475" s="24"/>
      <c r="Z475" s="24"/>
      <c r="AA475" s="24"/>
      <c r="AB475" s="24"/>
      <c r="AC475" s="24"/>
      <c r="AD475" s="24"/>
      <c r="AE475" s="24"/>
      <c r="AF475" s="24"/>
      <c r="AG475" s="24"/>
      <c r="AH475" s="24">
        <f t="shared" si="305"/>
        <v>9.3337974370296617E-2</v>
      </c>
      <c r="AL475" s="23">
        <f t="shared" si="294"/>
        <v>0</v>
      </c>
      <c r="AM475" s="23">
        <f t="shared" si="295"/>
        <v>0</v>
      </c>
      <c r="AN475" s="23">
        <f t="shared" si="296"/>
        <v>0</v>
      </c>
      <c r="AO475" s="23">
        <f t="shared" si="297"/>
        <v>0</v>
      </c>
      <c r="AP475" s="23">
        <f t="shared" si="298"/>
        <v>0</v>
      </c>
      <c r="AQ475" s="23">
        <f t="shared" si="299"/>
        <v>0</v>
      </c>
      <c r="AR475" s="23">
        <f t="shared" si="300"/>
        <v>0</v>
      </c>
      <c r="AS475" s="23">
        <f t="shared" si="301"/>
        <v>0</v>
      </c>
      <c r="AT475" s="23">
        <f t="shared" si="302"/>
        <v>0</v>
      </c>
      <c r="AU475" s="23">
        <f t="shared" si="303"/>
        <v>12261.009881383927</v>
      </c>
      <c r="AW475" s="25"/>
      <c r="AX475" s="25"/>
      <c r="AY475" s="25"/>
      <c r="AZ475" s="25"/>
      <c r="BA475" s="25"/>
      <c r="BB475" s="25"/>
      <c r="BC475" s="25"/>
      <c r="BD475" s="25"/>
      <c r="BE475" s="25"/>
      <c r="BF475" s="25">
        <f t="shared" si="307"/>
        <v>12261.009881383927</v>
      </c>
      <c r="BG475" s="25">
        <f t="shared" si="308"/>
        <v>0</v>
      </c>
      <c r="BI475" s="25"/>
      <c r="BJ475" s="25"/>
      <c r="BK475" s="25"/>
      <c r="BL475" s="25"/>
      <c r="BM475" s="25"/>
      <c r="BN475" s="25"/>
      <c r="BO475" s="25"/>
      <c r="BP475" s="25"/>
      <c r="BQ475" s="25"/>
      <c r="BR475" s="25">
        <f t="shared" si="291"/>
        <v>12261.009881383927</v>
      </c>
      <c r="BS475" s="25">
        <f t="shared" si="292"/>
        <v>0</v>
      </c>
    </row>
    <row r="476" spans="1:71" x14ac:dyDescent="0.2">
      <c r="A476" s="29">
        <f t="shared" si="309"/>
        <v>4.6799999999999446</v>
      </c>
      <c r="B476" s="30">
        <v>5.6081174409397527E-2</v>
      </c>
      <c r="C476" s="30">
        <v>5.8750768688136286E-2</v>
      </c>
      <c r="D476" s="30">
        <v>6.1779596487862312E-2</v>
      </c>
      <c r="E476" s="30">
        <v>6.5126178658806461E-2</v>
      </c>
      <c r="F476" s="30">
        <v>6.8745292325519972E-2</v>
      </c>
      <c r="G476" s="30">
        <v>7.2594311988223859E-2</v>
      </c>
      <c r="H476" s="30">
        <v>7.6634777356851383E-2</v>
      </c>
      <c r="I476" s="30">
        <v>8.0831842345748556E-2</v>
      </c>
      <c r="J476" s="30">
        <v>8.5153381258356461E-2</v>
      </c>
      <c r="K476" s="30">
        <v>8.9569355714359145E-2</v>
      </c>
      <c r="L476" s="30">
        <v>9.4051497484234053E-2</v>
      </c>
      <c r="N476" s="1"/>
      <c r="O476" s="1"/>
      <c r="P476" s="1"/>
      <c r="Q476" s="1"/>
      <c r="R476" s="1"/>
      <c r="S476" s="1"/>
      <c r="T476" s="1"/>
      <c r="U476" s="1"/>
      <c r="V476" s="1"/>
      <c r="W476" s="68">
        <f t="shared" si="310"/>
        <v>0.95620335142276436</v>
      </c>
      <c r="Y476" s="24"/>
      <c r="Z476" s="24"/>
      <c r="AA476" s="24"/>
      <c r="AB476" s="24"/>
      <c r="AC476" s="24"/>
      <c r="AD476" s="24"/>
      <c r="AE476" s="24"/>
      <c r="AF476" s="24"/>
      <c r="AG476" s="24"/>
      <c r="AH476" s="24">
        <f t="shared" si="305"/>
        <v>9.4051497484234053E-2</v>
      </c>
      <c r="AL476" s="23">
        <f t="shared" si="294"/>
        <v>0</v>
      </c>
      <c r="AM476" s="23">
        <f t="shared" si="295"/>
        <v>0</v>
      </c>
      <c r="AN476" s="23">
        <f t="shared" si="296"/>
        <v>0</v>
      </c>
      <c r="AO476" s="23">
        <f t="shared" si="297"/>
        <v>0</v>
      </c>
      <c r="AP476" s="23">
        <f t="shared" si="298"/>
        <v>0</v>
      </c>
      <c r="AQ476" s="23">
        <f t="shared" si="299"/>
        <v>0</v>
      </c>
      <c r="AR476" s="23">
        <f t="shared" si="300"/>
        <v>0</v>
      </c>
      <c r="AS476" s="23">
        <f t="shared" si="301"/>
        <v>0</v>
      </c>
      <c r="AT476" s="23">
        <f t="shared" si="302"/>
        <v>0</v>
      </c>
      <c r="AU476" s="23">
        <f t="shared" si="303"/>
        <v>12597.562951748407</v>
      </c>
      <c r="AW476" s="25"/>
      <c r="AX476" s="25"/>
      <c r="AY476" s="25"/>
      <c r="AZ476" s="25"/>
      <c r="BA476" s="25"/>
      <c r="BB476" s="25"/>
      <c r="BC476" s="25"/>
      <c r="BD476" s="25"/>
      <c r="BE476" s="25"/>
      <c r="BF476" s="25">
        <f t="shared" si="307"/>
        <v>12597.562951748407</v>
      </c>
      <c r="BG476" s="25">
        <f t="shared" si="308"/>
        <v>0</v>
      </c>
      <c r="BI476" s="25"/>
      <c r="BJ476" s="25"/>
      <c r="BK476" s="25"/>
      <c r="BL476" s="25"/>
      <c r="BM476" s="25"/>
      <c r="BN476" s="25"/>
      <c r="BO476" s="25"/>
      <c r="BP476" s="25"/>
      <c r="BQ476" s="25"/>
      <c r="BR476" s="25">
        <f t="shared" ref="BR476:BR508" si="311">MAX(BF476,0)</f>
        <v>12597.562951748407</v>
      </c>
      <c r="BS476" s="25">
        <f t="shared" ref="BS476:BS508" si="312">MAX(BG476,0)</f>
        <v>0</v>
      </c>
    </row>
    <row r="477" spans="1:71" x14ac:dyDescent="0.2">
      <c r="A477" s="29">
        <f t="shared" si="309"/>
        <v>4.6899999999999444</v>
      </c>
      <c r="B477" s="30">
        <v>5.6422917964313708E-2</v>
      </c>
      <c r="C477" s="30">
        <v>5.9043125506721028E-2</v>
      </c>
      <c r="D477" s="30">
        <v>6.2028563531698749E-2</v>
      </c>
      <c r="E477" s="30">
        <v>6.5337405123189821E-2</v>
      </c>
      <c r="F477" s="30">
        <v>6.8924203633421971E-2</v>
      </c>
      <c r="G477" s="30">
        <v>7.2746138820784526E-2</v>
      </c>
      <c r="H477" s="30">
        <v>7.6764542758738175E-2</v>
      </c>
      <c r="I477" s="30">
        <v>8.094434237798441E-2</v>
      </c>
      <c r="J477" s="30">
        <v>8.5253171223916471E-2</v>
      </c>
      <c r="K477" s="30">
        <v>8.9660743016318212E-2</v>
      </c>
      <c r="L477" s="30">
        <v>9.4138538983638081E-2</v>
      </c>
      <c r="N477" s="1"/>
      <c r="O477" s="1"/>
      <c r="P477" s="1"/>
      <c r="Q477" s="1"/>
      <c r="R477" s="1"/>
      <c r="S477" s="1"/>
      <c r="T477" s="1"/>
      <c r="U477" s="1"/>
      <c r="V477" s="1"/>
      <c r="W477" s="68">
        <f t="shared" si="310"/>
        <v>0.95615965999877695</v>
      </c>
      <c r="Y477" s="24"/>
      <c r="Z477" s="24"/>
      <c r="AA477" s="24"/>
      <c r="AB477" s="24"/>
      <c r="AC477" s="24"/>
      <c r="AD477" s="24"/>
      <c r="AE477" s="24"/>
      <c r="AF477" s="24"/>
      <c r="AG477" s="24"/>
      <c r="AH477" s="24">
        <f t="shared" si="305"/>
        <v>9.4138538983638081E-2</v>
      </c>
      <c r="AL477" s="23">
        <f t="shared" si="294"/>
        <v>0</v>
      </c>
      <c r="AM477" s="23">
        <f t="shared" si="295"/>
        <v>0</v>
      </c>
      <c r="AN477" s="23">
        <f t="shared" si="296"/>
        <v>0</v>
      </c>
      <c r="AO477" s="23">
        <f t="shared" si="297"/>
        <v>0</v>
      </c>
      <c r="AP477" s="23">
        <f t="shared" si="298"/>
        <v>0</v>
      </c>
      <c r="AQ477" s="23">
        <f t="shared" si="299"/>
        <v>0</v>
      </c>
      <c r="AR477" s="23">
        <f t="shared" si="300"/>
        <v>0</v>
      </c>
      <c r="AS477" s="23">
        <f t="shared" si="301"/>
        <v>0</v>
      </c>
      <c r="AT477" s="23">
        <f t="shared" si="302"/>
        <v>0</v>
      </c>
      <c r="AU477" s="23">
        <f t="shared" si="303"/>
        <v>12638.600121492753</v>
      </c>
      <c r="AW477" s="25"/>
      <c r="AX477" s="25"/>
      <c r="AY477" s="25"/>
      <c r="AZ477" s="25"/>
      <c r="BA477" s="25"/>
      <c r="BB477" s="25"/>
      <c r="BC477" s="25"/>
      <c r="BD477" s="25"/>
      <c r="BE477" s="25"/>
      <c r="BF477" s="25">
        <f t="shared" si="307"/>
        <v>12638.600121492753</v>
      </c>
      <c r="BG477" s="25">
        <f t="shared" si="308"/>
        <v>0</v>
      </c>
      <c r="BI477" s="25"/>
      <c r="BJ477" s="25"/>
      <c r="BK477" s="25"/>
      <c r="BL477" s="25"/>
      <c r="BM477" s="25"/>
      <c r="BN477" s="25"/>
      <c r="BO477" s="25"/>
      <c r="BP477" s="25"/>
      <c r="BQ477" s="25"/>
      <c r="BR477" s="25">
        <f t="shared" si="311"/>
        <v>12638.600121492753</v>
      </c>
      <c r="BS477" s="25">
        <f t="shared" si="312"/>
        <v>0</v>
      </c>
    </row>
    <row r="478" spans="1:71" x14ac:dyDescent="0.2">
      <c r="A478" s="29">
        <f t="shared" si="309"/>
        <v>4.6999999999999442</v>
      </c>
      <c r="B478" s="30">
        <v>5.8239883066149307E-2</v>
      </c>
      <c r="C478" s="30">
        <v>6.0900504224453283E-2</v>
      </c>
      <c r="D478" s="30">
        <v>6.3916595429491185E-2</v>
      </c>
      <c r="E478" s="30">
        <v>6.7246705212606006E-2</v>
      </c>
      <c r="F478" s="30">
        <v>7.0845884468120471E-2</v>
      </c>
      <c r="G478" s="30">
        <v>7.4671838688508047E-2</v>
      </c>
      <c r="H478" s="30">
        <v>7.8686412657622065E-2</v>
      </c>
      <c r="I478" s="30">
        <v>8.2855026780840113E-2</v>
      </c>
      <c r="J478" s="30">
        <v>8.7145794436479185E-2</v>
      </c>
      <c r="K478" s="30">
        <v>9.1528902125389028E-2</v>
      </c>
      <c r="L478" s="30">
        <v>9.5976301258390309E-2</v>
      </c>
      <c r="N478" s="1"/>
      <c r="O478" s="1"/>
      <c r="P478" s="1"/>
      <c r="Q478" s="1"/>
      <c r="R478" s="1"/>
      <c r="S478" s="1"/>
      <c r="T478" s="1"/>
      <c r="U478" s="1"/>
      <c r="V478" s="1"/>
      <c r="W478" s="68">
        <f t="shared" si="310"/>
        <v>0.95526694780651189</v>
      </c>
      <c r="Y478" s="24"/>
      <c r="Z478" s="24"/>
      <c r="AA478" s="24"/>
      <c r="AB478" s="24"/>
      <c r="AC478" s="24"/>
      <c r="AD478" s="24"/>
      <c r="AE478" s="24"/>
      <c r="AF478" s="24"/>
      <c r="AG478" s="24"/>
      <c r="AH478" s="24">
        <f t="shared" si="305"/>
        <v>9.5976301258390309E-2</v>
      </c>
      <c r="AL478" s="23">
        <f t="shared" si="294"/>
        <v>0</v>
      </c>
      <c r="AM478" s="23">
        <f t="shared" si="295"/>
        <v>0</v>
      </c>
      <c r="AN478" s="23">
        <f t="shared" si="296"/>
        <v>0</v>
      </c>
      <c r="AO478" s="23">
        <f t="shared" si="297"/>
        <v>0</v>
      </c>
      <c r="AP478" s="23">
        <f t="shared" si="298"/>
        <v>0</v>
      </c>
      <c r="AQ478" s="23">
        <f t="shared" si="299"/>
        <v>0</v>
      </c>
      <c r="AR478" s="23">
        <f t="shared" si="300"/>
        <v>0</v>
      </c>
      <c r="AS478" s="23">
        <f t="shared" si="301"/>
        <v>0</v>
      </c>
      <c r="AT478" s="23">
        <f t="shared" si="302"/>
        <v>0</v>
      </c>
      <c r="AU478" s="23">
        <f t="shared" si="303"/>
        <v>13504.576954921717</v>
      </c>
      <c r="AW478" s="25"/>
      <c r="AX478" s="25"/>
      <c r="AY478" s="25"/>
      <c r="AZ478" s="25"/>
      <c r="BA478" s="25"/>
      <c r="BB478" s="25"/>
      <c r="BC478" s="25"/>
      <c r="BD478" s="25"/>
      <c r="BE478" s="25"/>
      <c r="BF478" s="25">
        <f t="shared" si="307"/>
        <v>13504.576954921717</v>
      </c>
      <c r="BG478" s="25">
        <f t="shared" si="308"/>
        <v>0</v>
      </c>
      <c r="BI478" s="25"/>
      <c r="BJ478" s="25"/>
      <c r="BK478" s="25"/>
      <c r="BL478" s="25"/>
      <c r="BM478" s="25"/>
      <c r="BN478" s="25"/>
      <c r="BO478" s="25"/>
      <c r="BP478" s="25"/>
      <c r="BQ478" s="25"/>
      <c r="BR478" s="25">
        <f t="shared" si="311"/>
        <v>13504.576954921717</v>
      </c>
      <c r="BS478" s="25">
        <f t="shared" si="312"/>
        <v>0</v>
      </c>
    </row>
    <row r="479" spans="1:71" x14ac:dyDescent="0.2">
      <c r="A479" s="29">
        <f t="shared" si="309"/>
        <v>4.709999999999944</v>
      </c>
      <c r="B479" s="30">
        <v>5.9614318416013078E-2</v>
      </c>
      <c r="C479" s="30">
        <v>6.2229096918399361E-2</v>
      </c>
      <c r="D479" s="30">
        <v>6.5205874653524939E-2</v>
      </c>
      <c r="E479" s="30">
        <v>6.8502821447115045E-2</v>
      </c>
      <c r="F479" s="30">
        <v>7.2074729704515478E-2</v>
      </c>
      <c r="G479" s="30">
        <v>7.587907379689833E-2</v>
      </c>
      <c r="H479" s="30">
        <v>7.9877454238883552E-2</v>
      </c>
      <c r="I479" s="30">
        <v>8.4035028042778084E-2</v>
      </c>
      <c r="J479" s="30">
        <v>8.8319631683873828E-2</v>
      </c>
      <c r="K479" s="30">
        <v>9.2701167797200862E-2</v>
      </c>
      <c r="L479" s="30">
        <v>9.71513013718137E-2</v>
      </c>
      <c r="N479" s="1"/>
      <c r="O479" s="1"/>
      <c r="P479" s="1"/>
      <c r="Q479" s="1"/>
      <c r="R479" s="1"/>
      <c r="S479" s="1"/>
      <c r="T479" s="1"/>
      <c r="U479" s="1"/>
      <c r="V479" s="1"/>
      <c r="W479" s="68">
        <f t="shared" si="310"/>
        <v>0.95470719854108432</v>
      </c>
      <c r="Y479" s="24"/>
      <c r="Z479" s="24"/>
      <c r="AA479" s="24"/>
      <c r="AB479" s="24"/>
      <c r="AC479" s="24"/>
      <c r="AD479" s="24"/>
      <c r="AE479" s="24"/>
      <c r="AF479" s="24"/>
      <c r="AG479" s="24"/>
      <c r="AH479" s="24">
        <f t="shared" si="305"/>
        <v>9.71513013718137E-2</v>
      </c>
      <c r="AL479" s="23">
        <f t="shared" si="294"/>
        <v>0</v>
      </c>
      <c r="AM479" s="23">
        <f t="shared" si="295"/>
        <v>0</v>
      </c>
      <c r="AN479" s="23">
        <f t="shared" si="296"/>
        <v>0</v>
      </c>
      <c r="AO479" s="23">
        <f t="shared" si="297"/>
        <v>0</v>
      </c>
      <c r="AP479" s="23">
        <f t="shared" si="298"/>
        <v>0</v>
      </c>
      <c r="AQ479" s="23">
        <f t="shared" si="299"/>
        <v>0</v>
      </c>
      <c r="AR479" s="23">
        <f t="shared" si="300"/>
        <v>0</v>
      </c>
      <c r="AS479" s="23">
        <f t="shared" si="301"/>
        <v>0</v>
      </c>
      <c r="AT479" s="23">
        <f t="shared" si="302"/>
        <v>0</v>
      </c>
      <c r="AU479" s="23">
        <f t="shared" si="303"/>
        <v>14057.5543315264</v>
      </c>
      <c r="AW479" s="25"/>
      <c r="AX479" s="25"/>
      <c r="AY479" s="25"/>
      <c r="AZ479" s="25"/>
      <c r="BA479" s="25"/>
      <c r="BB479" s="25"/>
      <c r="BC479" s="25"/>
      <c r="BD479" s="25"/>
      <c r="BE479" s="25"/>
      <c r="BF479" s="25">
        <f t="shared" si="307"/>
        <v>14057.5543315264</v>
      </c>
      <c r="BG479" s="25">
        <f t="shared" si="308"/>
        <v>0</v>
      </c>
      <c r="BI479" s="25"/>
      <c r="BJ479" s="25"/>
      <c r="BK479" s="25"/>
      <c r="BL479" s="25"/>
      <c r="BM479" s="25"/>
      <c r="BN479" s="25"/>
      <c r="BO479" s="25"/>
      <c r="BP479" s="25"/>
      <c r="BQ479" s="25"/>
      <c r="BR479" s="25">
        <f t="shared" si="311"/>
        <v>14057.5543315264</v>
      </c>
      <c r="BS479" s="25">
        <f t="shared" si="312"/>
        <v>0</v>
      </c>
    </row>
    <row r="480" spans="1:71" x14ac:dyDescent="0.2">
      <c r="A480" s="29">
        <f t="shared" si="309"/>
        <v>4.7199999999999438</v>
      </c>
      <c r="B480" s="30">
        <v>5.9356746198948714E-2</v>
      </c>
      <c r="C480" s="30">
        <v>6.1858456674554252E-2</v>
      </c>
      <c r="D480" s="30">
        <v>6.4738213385978224E-2</v>
      </c>
      <c r="E480" s="30">
        <v>6.7953396743196615E-2</v>
      </c>
      <c r="F480" s="30">
        <v>7.1458128095467394E-2</v>
      </c>
      <c r="G480" s="30">
        <v>7.5209237315238348E-2</v>
      </c>
      <c r="H480" s="30">
        <v>7.9167667150954912E-2</v>
      </c>
      <c r="I480" s="30">
        <v>8.3297897837189952E-2</v>
      </c>
      <c r="J480" s="30">
        <v>8.7567075692490018E-2</v>
      </c>
      <c r="K480" s="30">
        <v>9.1944406320482244E-2</v>
      </c>
      <c r="L480" s="30">
        <v>9.6400855164936419E-2</v>
      </c>
      <c r="N480" s="1"/>
      <c r="O480" s="1"/>
      <c r="P480" s="1"/>
      <c r="Q480" s="1"/>
      <c r="R480" s="1"/>
      <c r="S480" s="1"/>
      <c r="T480" s="1"/>
      <c r="U480" s="1"/>
      <c r="V480" s="1"/>
      <c r="W480" s="68">
        <f t="shared" si="310"/>
        <v>0.95506850970806745</v>
      </c>
      <c r="Y480" s="24"/>
      <c r="Z480" s="24"/>
      <c r="AA480" s="24"/>
      <c r="AB480" s="24"/>
      <c r="AC480" s="24"/>
      <c r="AD480" s="24"/>
      <c r="AE480" s="24"/>
      <c r="AF480" s="24"/>
      <c r="AG480" s="24"/>
      <c r="AH480" s="24">
        <f t="shared" si="305"/>
        <v>9.6400855164936419E-2</v>
      </c>
      <c r="AL480" s="23">
        <f t="shared" si="294"/>
        <v>0</v>
      </c>
      <c r="AM480" s="23">
        <f t="shared" si="295"/>
        <v>0</v>
      </c>
      <c r="AN480" s="23">
        <f t="shared" si="296"/>
        <v>0</v>
      </c>
      <c r="AO480" s="23">
        <f t="shared" si="297"/>
        <v>0</v>
      </c>
      <c r="AP480" s="23">
        <f t="shared" si="298"/>
        <v>0</v>
      </c>
      <c r="AQ480" s="23">
        <f t="shared" si="299"/>
        <v>0</v>
      </c>
      <c r="AR480" s="23">
        <f t="shared" si="300"/>
        <v>0</v>
      </c>
      <c r="AS480" s="23">
        <f t="shared" si="301"/>
        <v>0</v>
      </c>
      <c r="AT480" s="23">
        <f t="shared" si="302"/>
        <v>0</v>
      </c>
      <c r="AU480" s="23">
        <f t="shared" si="303"/>
        <v>13704.510675555613</v>
      </c>
      <c r="AW480" s="25"/>
      <c r="AX480" s="25"/>
      <c r="AY480" s="25"/>
      <c r="AZ480" s="25"/>
      <c r="BA480" s="25"/>
      <c r="BB480" s="25"/>
      <c r="BC480" s="25"/>
      <c r="BD480" s="25"/>
      <c r="BE480" s="25"/>
      <c r="BF480" s="25">
        <f t="shared" si="307"/>
        <v>13704.510675555613</v>
      </c>
      <c r="BG480" s="25">
        <f t="shared" si="308"/>
        <v>0</v>
      </c>
      <c r="BI480" s="25"/>
      <c r="BJ480" s="25"/>
      <c r="BK480" s="25"/>
      <c r="BL480" s="25"/>
      <c r="BM480" s="25"/>
      <c r="BN480" s="25"/>
      <c r="BO480" s="25"/>
      <c r="BP480" s="25"/>
      <c r="BQ480" s="25"/>
      <c r="BR480" s="25">
        <f t="shared" si="311"/>
        <v>13704.510675555613</v>
      </c>
      <c r="BS480" s="25">
        <f t="shared" si="312"/>
        <v>0</v>
      </c>
    </row>
    <row r="481" spans="1:71" x14ac:dyDescent="0.2">
      <c r="A481" s="29">
        <f t="shared" si="309"/>
        <v>4.7299999999999436</v>
      </c>
      <c r="B481" s="30">
        <v>5.9531586454230734E-2</v>
      </c>
      <c r="C481" s="30">
        <v>6.1940318219326239E-2</v>
      </c>
      <c r="D481" s="30">
        <v>6.4735913124440436E-2</v>
      </c>
      <c r="E481" s="30">
        <v>6.7875331626232063E-2</v>
      </c>
      <c r="F481" s="30">
        <v>7.1312391644257414E-2</v>
      </c>
      <c r="G481" s="30">
        <v>7.5003645382129766E-2</v>
      </c>
      <c r="H481" s="30">
        <v>7.8909744537127693E-2</v>
      </c>
      <c r="I481" s="30">
        <v>8.2994859393748607E-2</v>
      </c>
      <c r="J481" s="30">
        <v>8.7225813071539385E-2</v>
      </c>
      <c r="K481" s="30">
        <v>9.1571481187685391E-2</v>
      </c>
      <c r="L481" s="30">
        <v>9.6002496727020534E-2</v>
      </c>
      <c r="N481" s="1"/>
      <c r="O481" s="1"/>
      <c r="P481" s="1"/>
      <c r="Q481" s="1"/>
      <c r="R481" s="1"/>
      <c r="S481" s="1"/>
      <c r="T481" s="1"/>
      <c r="U481" s="1"/>
      <c r="V481" s="1"/>
      <c r="W481" s="68">
        <f t="shared" si="310"/>
        <v>0.9552466108375548</v>
      </c>
      <c r="Y481" s="24"/>
      <c r="Z481" s="24"/>
      <c r="AA481" s="24"/>
      <c r="AB481" s="24"/>
      <c r="AC481" s="24"/>
      <c r="AD481" s="24"/>
      <c r="AE481" s="24"/>
      <c r="AF481" s="24"/>
      <c r="AG481" s="24"/>
      <c r="AH481" s="24">
        <f t="shared" si="305"/>
        <v>9.6002496727020534E-2</v>
      </c>
      <c r="AL481" s="23">
        <f t="shared" si="294"/>
        <v>0</v>
      </c>
      <c r="AM481" s="23">
        <f t="shared" si="295"/>
        <v>0</v>
      </c>
      <c r="AN481" s="23">
        <f t="shared" si="296"/>
        <v>0</v>
      </c>
      <c r="AO481" s="23">
        <f t="shared" si="297"/>
        <v>0</v>
      </c>
      <c r="AP481" s="23">
        <f t="shared" si="298"/>
        <v>0</v>
      </c>
      <c r="AQ481" s="23">
        <f t="shared" si="299"/>
        <v>0</v>
      </c>
      <c r="AR481" s="23">
        <f t="shared" si="300"/>
        <v>0</v>
      </c>
      <c r="AS481" s="23">
        <f t="shared" si="301"/>
        <v>0</v>
      </c>
      <c r="AT481" s="23">
        <f t="shared" si="302"/>
        <v>0</v>
      </c>
      <c r="AU481" s="23">
        <f t="shared" si="303"/>
        <v>13516.801018184566</v>
      </c>
      <c r="AW481" s="25"/>
      <c r="AX481" s="25"/>
      <c r="AY481" s="25"/>
      <c r="AZ481" s="25"/>
      <c r="BA481" s="25"/>
      <c r="BB481" s="25"/>
      <c r="BC481" s="25"/>
      <c r="BD481" s="25"/>
      <c r="BE481" s="25"/>
      <c r="BF481" s="25">
        <f t="shared" si="307"/>
        <v>13516.801018184566</v>
      </c>
      <c r="BG481" s="25">
        <f t="shared" si="308"/>
        <v>0</v>
      </c>
      <c r="BI481" s="25"/>
      <c r="BJ481" s="25"/>
      <c r="BK481" s="25"/>
      <c r="BL481" s="25"/>
      <c r="BM481" s="25"/>
      <c r="BN481" s="25"/>
      <c r="BO481" s="25"/>
      <c r="BP481" s="25"/>
      <c r="BQ481" s="25"/>
      <c r="BR481" s="25">
        <f t="shared" si="311"/>
        <v>13516.801018184566</v>
      </c>
      <c r="BS481" s="25">
        <f t="shared" si="312"/>
        <v>0</v>
      </c>
    </row>
    <row r="482" spans="1:71" x14ac:dyDescent="0.2">
      <c r="A482" s="29">
        <f t="shared" si="309"/>
        <v>4.7399999999999434</v>
      </c>
      <c r="B482" s="30">
        <v>6.0318482144956602E-2</v>
      </c>
      <c r="C482" s="30">
        <v>6.2611340222886419E-2</v>
      </c>
      <c r="D482" s="30">
        <v>6.5301700288461731E-2</v>
      </c>
      <c r="E482" s="30">
        <v>6.8346043367328219E-2</v>
      </c>
      <c r="F482" s="30">
        <v>7.1697822656389673E-2</v>
      </c>
      <c r="G482" s="30">
        <v>7.5313250614610069E-2</v>
      </c>
      <c r="H482" s="30">
        <v>7.9152625701954776E-2</v>
      </c>
      <c r="I482" s="30">
        <v>8.3179746179699129E-2</v>
      </c>
      <c r="J482" s="30">
        <v>8.7361050024473308E-2</v>
      </c>
      <c r="K482" s="30">
        <v>9.1665021009402908E-2</v>
      </c>
      <c r="L482" s="30">
        <v>9.6061897843483735E-2</v>
      </c>
      <c r="N482" s="1"/>
      <c r="O482" s="1"/>
      <c r="P482" s="1"/>
      <c r="Q482" s="1"/>
      <c r="R482" s="1"/>
      <c r="S482" s="1"/>
      <c r="T482" s="1"/>
      <c r="U482" s="1"/>
      <c r="V482" s="1"/>
      <c r="W482" s="68">
        <f t="shared" si="310"/>
        <v>0.9552019350834664</v>
      </c>
      <c r="Y482" s="24"/>
      <c r="Z482" s="24"/>
      <c r="AA482" s="24"/>
      <c r="AB482" s="24"/>
      <c r="AC482" s="24"/>
      <c r="AD482" s="24"/>
      <c r="AE482" s="24"/>
      <c r="AF482" s="24"/>
      <c r="AG482" s="24"/>
      <c r="AH482" s="24">
        <f t="shared" si="305"/>
        <v>9.6061897843483735E-2</v>
      </c>
      <c r="AL482" s="23">
        <f t="shared" si="294"/>
        <v>0</v>
      </c>
      <c r="AM482" s="23">
        <f t="shared" si="295"/>
        <v>0</v>
      </c>
      <c r="AN482" s="23">
        <f t="shared" si="296"/>
        <v>0</v>
      </c>
      <c r="AO482" s="23">
        <f t="shared" si="297"/>
        <v>0</v>
      </c>
      <c r="AP482" s="23">
        <f t="shared" si="298"/>
        <v>0</v>
      </c>
      <c r="AQ482" s="23">
        <f t="shared" si="299"/>
        <v>0</v>
      </c>
      <c r="AR482" s="23">
        <f t="shared" si="300"/>
        <v>0</v>
      </c>
      <c r="AS482" s="23">
        <f t="shared" si="301"/>
        <v>0</v>
      </c>
      <c r="AT482" s="23">
        <f t="shared" si="302"/>
        <v>0</v>
      </c>
      <c r="AU482" s="23">
        <f t="shared" si="303"/>
        <v>13544.538884084996</v>
      </c>
      <c r="AW482" s="25"/>
      <c r="AX482" s="25"/>
      <c r="AY482" s="25"/>
      <c r="AZ482" s="25"/>
      <c r="BA482" s="25"/>
      <c r="BB482" s="25"/>
      <c r="BC482" s="25"/>
      <c r="BD482" s="25"/>
      <c r="BE482" s="25"/>
      <c r="BF482" s="25">
        <f t="shared" si="307"/>
        <v>13544.538884084996</v>
      </c>
      <c r="BG482" s="25">
        <f t="shared" si="308"/>
        <v>0</v>
      </c>
      <c r="BI482" s="25"/>
      <c r="BJ482" s="25"/>
      <c r="BK482" s="25"/>
      <c r="BL482" s="25"/>
      <c r="BM482" s="25"/>
      <c r="BN482" s="25"/>
      <c r="BO482" s="25"/>
      <c r="BP482" s="25"/>
      <c r="BQ482" s="25"/>
      <c r="BR482" s="25">
        <f t="shared" si="311"/>
        <v>13544.538884084996</v>
      </c>
      <c r="BS482" s="25">
        <f t="shared" si="312"/>
        <v>0</v>
      </c>
    </row>
    <row r="483" spans="1:71" x14ac:dyDescent="0.2">
      <c r="A483" s="29">
        <f t="shared" si="309"/>
        <v>4.7499999999999432</v>
      </c>
      <c r="B483" s="30">
        <v>6.0160143876131084E-2</v>
      </c>
      <c r="C483" s="30">
        <v>6.2521197218964458E-2</v>
      </c>
      <c r="D483" s="30">
        <v>6.5272789157276093E-2</v>
      </c>
      <c r="E483" s="30">
        <v>6.8371583413504911E-2</v>
      </c>
      <c r="F483" s="30">
        <v>7.1771328795101355E-2</v>
      </c>
      <c r="G483" s="30">
        <v>7.5428557580165895E-2</v>
      </c>
      <c r="H483" s="30">
        <v>7.9303874449271602E-2</v>
      </c>
      <c r="I483" s="30">
        <v>8.3361365211716873E-2</v>
      </c>
      <c r="J483" s="30">
        <v>8.7567742400831455E-2</v>
      </c>
      <c r="K483" s="30">
        <v>9.1891757730684642E-2</v>
      </c>
      <c r="L483" s="30">
        <v>9.6303915459487119E-2</v>
      </c>
      <c r="N483" s="1"/>
      <c r="O483" s="1"/>
      <c r="P483" s="1"/>
      <c r="Q483" s="1"/>
      <c r="R483" s="1"/>
      <c r="S483" s="1"/>
      <c r="T483" s="1"/>
      <c r="U483" s="1"/>
      <c r="V483" s="1"/>
      <c r="W483" s="68">
        <f t="shared" si="310"/>
        <v>0.95509365154408465</v>
      </c>
      <c r="Y483" s="24"/>
      <c r="Z483" s="24"/>
      <c r="AA483" s="24"/>
      <c r="AB483" s="24"/>
      <c r="AC483" s="24"/>
      <c r="AD483" s="24"/>
      <c r="AE483" s="24"/>
      <c r="AF483" s="24"/>
      <c r="AG483" s="24"/>
      <c r="AH483" s="24">
        <f t="shared" si="305"/>
        <v>9.6303915459487119E-2</v>
      </c>
      <c r="AL483" s="23">
        <f t="shared" si="294"/>
        <v>0</v>
      </c>
      <c r="AM483" s="23">
        <f t="shared" si="295"/>
        <v>0</v>
      </c>
      <c r="AN483" s="23">
        <f t="shared" si="296"/>
        <v>0</v>
      </c>
      <c r="AO483" s="23">
        <f t="shared" si="297"/>
        <v>0</v>
      </c>
      <c r="AP483" s="23">
        <f t="shared" si="298"/>
        <v>0</v>
      </c>
      <c r="AQ483" s="23">
        <f t="shared" si="299"/>
        <v>0</v>
      </c>
      <c r="AR483" s="23">
        <f t="shared" si="300"/>
        <v>0</v>
      </c>
      <c r="AS483" s="23">
        <f t="shared" si="301"/>
        <v>0</v>
      </c>
      <c r="AT483" s="23">
        <f t="shared" si="302"/>
        <v>0</v>
      </c>
      <c r="AU483" s="23">
        <f t="shared" si="303"/>
        <v>13658.578193255929</v>
      </c>
      <c r="AW483" s="25"/>
      <c r="AX483" s="25"/>
      <c r="AY483" s="25"/>
      <c r="AZ483" s="25"/>
      <c r="BA483" s="25"/>
      <c r="BB483" s="25"/>
      <c r="BC483" s="25"/>
      <c r="BD483" s="25"/>
      <c r="BE483" s="25"/>
      <c r="BF483" s="25">
        <f t="shared" si="307"/>
        <v>13658.578193255929</v>
      </c>
      <c r="BG483" s="25">
        <f t="shared" si="308"/>
        <v>0</v>
      </c>
      <c r="BI483" s="25"/>
      <c r="BJ483" s="25"/>
      <c r="BK483" s="25"/>
      <c r="BL483" s="25"/>
      <c r="BM483" s="25"/>
      <c r="BN483" s="25"/>
      <c r="BO483" s="25"/>
      <c r="BP483" s="25"/>
      <c r="BQ483" s="25"/>
      <c r="BR483" s="25">
        <f t="shared" si="311"/>
        <v>13658.578193255929</v>
      </c>
      <c r="BS483" s="25">
        <f t="shared" si="312"/>
        <v>0</v>
      </c>
    </row>
    <row r="484" spans="1:71" x14ac:dyDescent="0.2">
      <c r="A484" s="29">
        <f t="shared" si="309"/>
        <v>4.7599999999999429</v>
      </c>
      <c r="B484" s="30">
        <v>5.9688428140055497E-2</v>
      </c>
      <c r="C484" s="30">
        <v>6.2072340537945483E-2</v>
      </c>
      <c r="D484" s="30">
        <v>6.4843855658499941E-2</v>
      </c>
      <c r="E484" s="30">
        <v>6.7959676715245484E-2</v>
      </c>
      <c r="F484" s="30">
        <v>7.1373703146370329E-2</v>
      </c>
      <c r="G484" s="30">
        <v>7.5042641313160227E-2</v>
      </c>
      <c r="H484" s="30">
        <v>7.8927256279363631E-2</v>
      </c>
      <c r="I484" s="30">
        <v>8.2991775678494889E-2</v>
      </c>
      <c r="J484" s="30">
        <v>8.7203041004287551E-2</v>
      </c>
      <c r="K484" s="30">
        <v>9.1529926399939399E-2</v>
      </c>
      <c r="L484" s="30">
        <v>9.5943056200449142E-2</v>
      </c>
      <c r="N484" s="1"/>
      <c r="O484" s="1"/>
      <c r="P484" s="1"/>
      <c r="Q484" s="1"/>
      <c r="R484" s="1"/>
      <c r="S484" s="1"/>
      <c r="T484" s="1"/>
      <c r="U484" s="1"/>
      <c r="V484" s="1"/>
      <c r="W484" s="68">
        <f t="shared" si="310"/>
        <v>0.95526645857882542</v>
      </c>
      <c r="Y484" s="24"/>
      <c r="Z484" s="24"/>
      <c r="AA484" s="24"/>
      <c r="AB484" s="24"/>
      <c r="AC484" s="24"/>
      <c r="AD484" s="24"/>
      <c r="AE484" s="24"/>
      <c r="AF484" s="24"/>
      <c r="AG484" s="24"/>
      <c r="AH484" s="24">
        <f t="shared" si="305"/>
        <v>9.5943056200449142E-2</v>
      </c>
      <c r="AL484" s="23">
        <f t="shared" si="294"/>
        <v>0</v>
      </c>
      <c r="AM484" s="23">
        <f t="shared" si="295"/>
        <v>0</v>
      </c>
      <c r="AN484" s="23">
        <f t="shared" si="296"/>
        <v>0</v>
      </c>
      <c r="AO484" s="23">
        <f t="shared" si="297"/>
        <v>0</v>
      </c>
      <c r="AP484" s="23">
        <f t="shared" si="298"/>
        <v>0</v>
      </c>
      <c r="AQ484" s="23">
        <f t="shared" si="299"/>
        <v>0</v>
      </c>
      <c r="AR484" s="23">
        <f t="shared" si="300"/>
        <v>0</v>
      </c>
      <c r="AS484" s="23">
        <f t="shared" si="301"/>
        <v>0</v>
      </c>
      <c r="AT484" s="23">
        <f t="shared" si="302"/>
        <v>0</v>
      </c>
      <c r="AU484" s="23">
        <f t="shared" si="303"/>
        <v>13488.691094343889</v>
      </c>
      <c r="AW484" s="25"/>
      <c r="AX484" s="25"/>
      <c r="AY484" s="25"/>
      <c r="AZ484" s="25"/>
      <c r="BA484" s="25"/>
      <c r="BB484" s="25"/>
      <c r="BC484" s="25"/>
      <c r="BD484" s="25"/>
      <c r="BE484" s="25"/>
      <c r="BF484" s="25">
        <f t="shared" si="307"/>
        <v>13488.691094343889</v>
      </c>
      <c r="BG484" s="25">
        <f t="shared" si="308"/>
        <v>0</v>
      </c>
      <c r="BI484" s="25"/>
      <c r="BJ484" s="25"/>
      <c r="BK484" s="25"/>
      <c r="BL484" s="25"/>
      <c r="BM484" s="25"/>
      <c r="BN484" s="25"/>
      <c r="BO484" s="25"/>
      <c r="BP484" s="25"/>
      <c r="BQ484" s="25"/>
      <c r="BR484" s="25">
        <f t="shared" si="311"/>
        <v>13488.691094343889</v>
      </c>
      <c r="BS484" s="25">
        <f t="shared" si="312"/>
        <v>0</v>
      </c>
    </row>
    <row r="485" spans="1:71" x14ac:dyDescent="0.2">
      <c r="A485" s="29">
        <f t="shared" si="309"/>
        <v>4.7699999999999427</v>
      </c>
      <c r="B485" s="30">
        <v>6.0276147163646675E-2</v>
      </c>
      <c r="C485" s="30">
        <v>6.2699161988099411E-2</v>
      </c>
      <c r="D485" s="30">
        <v>6.5504044823823993E-2</v>
      </c>
      <c r="E485" s="30">
        <v>6.8647668080923305E-2</v>
      </c>
      <c r="F485" s="30">
        <v>7.2084209780067937E-2</v>
      </c>
      <c r="G485" s="30">
        <v>7.5770677574424336E-2</v>
      </c>
      <c r="H485" s="30">
        <v>7.9668124022432771E-2</v>
      </c>
      <c r="I485" s="30">
        <v>8.3741045807242884E-2</v>
      </c>
      <c r="J485" s="30">
        <v>8.7956540735062164E-2</v>
      </c>
      <c r="K485" s="30">
        <v>9.2283732813865704E-2</v>
      </c>
      <c r="L485" s="30">
        <v>9.6693493929821697E-2</v>
      </c>
      <c r="N485" s="1"/>
      <c r="O485" s="1"/>
      <c r="P485" s="1"/>
      <c r="Q485" s="1"/>
      <c r="R485" s="1"/>
      <c r="S485" s="1"/>
      <c r="T485" s="1"/>
      <c r="U485" s="1"/>
      <c r="V485" s="1"/>
      <c r="W485" s="68">
        <f t="shared" si="310"/>
        <v>0.95490648342923834</v>
      </c>
      <c r="Y485" s="24"/>
      <c r="Z485" s="24"/>
      <c r="AA485" s="24"/>
      <c r="AB485" s="24"/>
      <c r="AC485" s="24"/>
      <c r="AD485" s="24"/>
      <c r="AE485" s="24"/>
      <c r="AF485" s="24"/>
      <c r="AG485" s="24"/>
      <c r="AH485" s="24">
        <f t="shared" si="305"/>
        <v>9.6693493929821697E-2</v>
      </c>
      <c r="AL485" s="23">
        <f t="shared" si="294"/>
        <v>0</v>
      </c>
      <c r="AM485" s="23">
        <f t="shared" si="295"/>
        <v>0</v>
      </c>
      <c r="AN485" s="23">
        <f t="shared" si="296"/>
        <v>0</v>
      </c>
      <c r="AO485" s="23">
        <f t="shared" si="297"/>
        <v>0</v>
      </c>
      <c r="AP485" s="23">
        <f t="shared" si="298"/>
        <v>0</v>
      </c>
      <c r="AQ485" s="23">
        <f t="shared" si="299"/>
        <v>0</v>
      </c>
      <c r="AR485" s="23">
        <f t="shared" si="300"/>
        <v>0</v>
      </c>
      <c r="AS485" s="23">
        <f t="shared" si="301"/>
        <v>0</v>
      </c>
      <c r="AT485" s="23">
        <f t="shared" si="302"/>
        <v>0</v>
      </c>
      <c r="AU485" s="23">
        <f t="shared" si="303"/>
        <v>13841.907047961162</v>
      </c>
      <c r="AW485" s="25"/>
      <c r="AX485" s="25"/>
      <c r="AY485" s="25"/>
      <c r="AZ485" s="25"/>
      <c r="BA485" s="25"/>
      <c r="BB485" s="25"/>
      <c r="BC485" s="25"/>
      <c r="BD485" s="25"/>
      <c r="BE485" s="25"/>
      <c r="BF485" s="25">
        <f t="shared" si="307"/>
        <v>13841.907047961162</v>
      </c>
      <c r="BG485" s="25">
        <f t="shared" si="308"/>
        <v>0</v>
      </c>
      <c r="BI485" s="25"/>
      <c r="BJ485" s="25"/>
      <c r="BK485" s="25"/>
      <c r="BL485" s="25"/>
      <c r="BM485" s="25"/>
      <c r="BN485" s="25"/>
      <c r="BO485" s="25"/>
      <c r="BP485" s="25"/>
      <c r="BQ485" s="25"/>
      <c r="BR485" s="25">
        <f t="shared" si="311"/>
        <v>13841.907047961162</v>
      </c>
      <c r="BS485" s="25">
        <f t="shared" si="312"/>
        <v>0</v>
      </c>
    </row>
    <row r="486" spans="1:71" x14ac:dyDescent="0.2">
      <c r="A486" s="29">
        <f t="shared" si="309"/>
        <v>4.7799999999999425</v>
      </c>
      <c r="B486" s="30">
        <v>5.929632643018394E-2</v>
      </c>
      <c r="C486" s="30">
        <v>6.17194454058759E-2</v>
      </c>
      <c r="D486" s="30">
        <v>6.4526676936362548E-2</v>
      </c>
      <c r="E486" s="30">
        <v>6.7674688514173909E-2</v>
      </c>
      <c r="F486" s="30">
        <v>7.1117560894783632E-2</v>
      </c>
      <c r="G486" s="30">
        <v>7.4812226445427774E-2</v>
      </c>
      <c r="H486" s="30">
        <v>7.8719648548470036E-2</v>
      </c>
      <c r="I486" s="30">
        <v>8.280421638008488E-2</v>
      </c>
      <c r="J486" s="30">
        <v>8.7032907628132497E-2</v>
      </c>
      <c r="K486" s="30">
        <v>9.1374719817225863E-2</v>
      </c>
      <c r="L486" s="30">
        <v>9.5800396074645452E-2</v>
      </c>
      <c r="N486" s="1"/>
      <c r="O486" s="1"/>
      <c r="P486" s="1"/>
      <c r="Q486" s="1"/>
      <c r="R486" s="1"/>
      <c r="S486" s="1"/>
      <c r="T486" s="1"/>
      <c r="U486" s="1"/>
      <c r="V486" s="1"/>
      <c r="W486" s="68">
        <f t="shared" si="310"/>
        <v>0.955340593276645</v>
      </c>
      <c r="Y486" s="24"/>
      <c r="Z486" s="24"/>
      <c r="AA486" s="24"/>
      <c r="AB486" s="24"/>
      <c r="AC486" s="24"/>
      <c r="AD486" s="24"/>
      <c r="AE486" s="24"/>
      <c r="AF486" s="24"/>
      <c r="AG486" s="24"/>
      <c r="AH486" s="24">
        <f t="shared" si="305"/>
        <v>9.5800396074645452E-2</v>
      </c>
      <c r="AL486" s="23">
        <f t="shared" si="294"/>
        <v>0</v>
      </c>
      <c r="AM486" s="23">
        <f t="shared" si="295"/>
        <v>0</v>
      </c>
      <c r="AN486" s="23">
        <f t="shared" si="296"/>
        <v>0</v>
      </c>
      <c r="AO486" s="23">
        <f t="shared" si="297"/>
        <v>0</v>
      </c>
      <c r="AP486" s="23">
        <f t="shared" si="298"/>
        <v>0</v>
      </c>
      <c r="AQ486" s="23">
        <f t="shared" si="299"/>
        <v>0</v>
      </c>
      <c r="AR486" s="23">
        <f t="shared" si="300"/>
        <v>0</v>
      </c>
      <c r="AS486" s="23">
        <f t="shared" si="301"/>
        <v>0</v>
      </c>
      <c r="AT486" s="23">
        <f t="shared" si="302"/>
        <v>0</v>
      </c>
      <c r="AU486" s="23">
        <f t="shared" si="303"/>
        <v>13421.593397175124</v>
      </c>
      <c r="AW486" s="25"/>
      <c r="AX486" s="25"/>
      <c r="AY486" s="25"/>
      <c r="AZ486" s="25"/>
      <c r="BA486" s="25"/>
      <c r="BB486" s="25"/>
      <c r="BC486" s="25"/>
      <c r="BD486" s="25"/>
      <c r="BE486" s="25"/>
      <c r="BF486" s="25">
        <f t="shared" si="307"/>
        <v>13421.593397175124</v>
      </c>
      <c r="BG486" s="25">
        <f t="shared" si="308"/>
        <v>0</v>
      </c>
      <c r="BI486" s="25"/>
      <c r="BJ486" s="25"/>
      <c r="BK486" s="25"/>
      <c r="BL486" s="25"/>
      <c r="BM486" s="25"/>
      <c r="BN486" s="25"/>
      <c r="BO486" s="25"/>
      <c r="BP486" s="25"/>
      <c r="BQ486" s="25"/>
      <c r="BR486" s="25">
        <f t="shared" si="311"/>
        <v>13421.593397175124</v>
      </c>
      <c r="BS486" s="25">
        <f t="shared" si="312"/>
        <v>0</v>
      </c>
    </row>
    <row r="487" spans="1:71" x14ac:dyDescent="0.2">
      <c r="A487" s="29">
        <f t="shared" si="309"/>
        <v>4.7899999999999423</v>
      </c>
      <c r="B487" s="30">
        <v>5.869904360149384E-2</v>
      </c>
      <c r="C487" s="30">
        <v>6.1142251149659536E-2</v>
      </c>
      <c r="D487" s="30">
        <v>6.3968376600533186E-2</v>
      </c>
      <c r="E487" s="30">
        <v>6.7134041210321113E-2</v>
      </c>
      <c r="F487" s="30">
        <v>7.0593385437087181E-2</v>
      </c>
      <c r="G487" s="30">
        <v>7.4303422612535794E-2</v>
      </c>
      <c r="H487" s="30">
        <v>7.822518310453784E-2</v>
      </c>
      <c r="I487" s="30">
        <v>8.2323104858266882E-2</v>
      </c>
      <c r="J487" s="30">
        <v>8.656420184413724E-2</v>
      </c>
      <c r="K487" s="30">
        <v>9.0917501586090993E-2</v>
      </c>
      <c r="L487" s="30">
        <v>9.5353774972649186E-2</v>
      </c>
      <c r="N487" s="1"/>
      <c r="O487" s="1"/>
      <c r="P487" s="1"/>
      <c r="Q487" s="1"/>
      <c r="R487" s="1"/>
      <c r="S487" s="1"/>
      <c r="T487" s="1"/>
      <c r="U487" s="1"/>
      <c r="V487" s="1"/>
      <c r="W487" s="68">
        <f t="shared" si="310"/>
        <v>0.95555901781070807</v>
      </c>
      <c r="Y487" s="24"/>
      <c r="Z487" s="24"/>
      <c r="AA487" s="24"/>
      <c r="AB487" s="24"/>
      <c r="AC487" s="24"/>
      <c r="AD487" s="24"/>
      <c r="AE487" s="24"/>
      <c r="AF487" s="24"/>
      <c r="AG487" s="24"/>
      <c r="AH487" s="24">
        <f t="shared" si="305"/>
        <v>9.5353774972649186E-2</v>
      </c>
      <c r="AL487" s="23">
        <f t="shared" si="294"/>
        <v>0</v>
      </c>
      <c r="AM487" s="23">
        <f t="shared" si="295"/>
        <v>0</v>
      </c>
      <c r="AN487" s="23">
        <f t="shared" si="296"/>
        <v>0</v>
      </c>
      <c r="AO487" s="23">
        <f t="shared" si="297"/>
        <v>0</v>
      </c>
      <c r="AP487" s="23">
        <f t="shared" si="298"/>
        <v>0</v>
      </c>
      <c r="AQ487" s="23">
        <f t="shared" si="299"/>
        <v>0</v>
      </c>
      <c r="AR487" s="23">
        <f t="shared" si="300"/>
        <v>0</v>
      </c>
      <c r="AS487" s="23">
        <f t="shared" si="301"/>
        <v>0</v>
      </c>
      <c r="AT487" s="23">
        <f t="shared" si="302"/>
        <v>0</v>
      </c>
      <c r="AU487" s="23">
        <f t="shared" si="303"/>
        <v>13211.275635739854</v>
      </c>
      <c r="AW487" s="25"/>
      <c r="AX487" s="25"/>
      <c r="AY487" s="25"/>
      <c r="AZ487" s="25"/>
      <c r="BA487" s="25"/>
      <c r="BB487" s="25"/>
      <c r="BC487" s="25"/>
      <c r="BD487" s="25"/>
      <c r="BE487" s="25"/>
      <c r="BF487" s="25">
        <f t="shared" si="307"/>
        <v>13211.275635739854</v>
      </c>
      <c r="BG487" s="25">
        <f t="shared" si="308"/>
        <v>0</v>
      </c>
      <c r="BI487" s="25"/>
      <c r="BJ487" s="25"/>
      <c r="BK487" s="25"/>
      <c r="BL487" s="25"/>
      <c r="BM487" s="25"/>
      <c r="BN487" s="25"/>
      <c r="BO487" s="25"/>
      <c r="BP487" s="25"/>
      <c r="BQ487" s="25"/>
      <c r="BR487" s="25">
        <f t="shared" si="311"/>
        <v>13211.275635739854</v>
      </c>
      <c r="BS487" s="25">
        <f t="shared" si="312"/>
        <v>0</v>
      </c>
    </row>
    <row r="488" spans="1:71" x14ac:dyDescent="0.2">
      <c r="A488" s="29">
        <f t="shared" si="309"/>
        <v>4.7999999999999421</v>
      </c>
      <c r="B488" s="30">
        <v>5.8897743424472508E-2</v>
      </c>
      <c r="C488" s="30">
        <v>6.1316609454567066E-2</v>
      </c>
      <c r="D488" s="30">
        <v>6.4119374616424016E-2</v>
      </c>
      <c r="E488" s="30">
        <v>6.7262571980534563E-2</v>
      </c>
      <c r="F488" s="30">
        <v>7.0700358064620578E-2</v>
      </c>
      <c r="G488" s="30">
        <v>7.438978281710594E-2</v>
      </c>
      <c r="H488" s="30">
        <v>7.8291899158868819E-2</v>
      </c>
      <c r="I488" s="30">
        <v>8.2371149486183293E-2</v>
      </c>
      <c r="J488" s="30">
        <v>8.659453985818355E-2</v>
      </c>
      <c r="K488" s="30">
        <v>9.0931083685209316E-2</v>
      </c>
      <c r="L488" s="30">
        <v>9.5351535540888002E-2</v>
      </c>
      <c r="N488" s="1"/>
      <c r="O488" s="1"/>
      <c r="P488" s="1"/>
      <c r="Q488" s="1"/>
      <c r="R488" s="1"/>
      <c r="S488" s="1"/>
      <c r="T488" s="1"/>
      <c r="U488" s="1"/>
      <c r="V488" s="1"/>
      <c r="W488" s="68">
        <f t="shared" si="310"/>
        <v>0.95555252858409578</v>
      </c>
      <c r="Y488" s="24"/>
      <c r="Z488" s="24"/>
      <c r="AA488" s="24"/>
      <c r="AB488" s="24"/>
      <c r="AC488" s="24"/>
      <c r="AD488" s="24"/>
      <c r="AE488" s="24"/>
      <c r="AF488" s="24"/>
      <c r="AG488" s="24"/>
      <c r="AH488" s="24">
        <f t="shared" si="305"/>
        <v>9.5351535540888002E-2</v>
      </c>
      <c r="AL488" s="23">
        <f t="shared" si="294"/>
        <v>0</v>
      </c>
      <c r="AM488" s="23">
        <f t="shared" si="295"/>
        <v>0</v>
      </c>
      <c r="AN488" s="23">
        <f t="shared" si="296"/>
        <v>0</v>
      </c>
      <c r="AO488" s="23">
        <f t="shared" si="297"/>
        <v>0</v>
      </c>
      <c r="AP488" s="23">
        <f t="shared" si="298"/>
        <v>0</v>
      </c>
      <c r="AQ488" s="23">
        <f t="shared" si="299"/>
        <v>0</v>
      </c>
      <c r="AR488" s="23">
        <f t="shared" si="300"/>
        <v>0</v>
      </c>
      <c r="AS488" s="23">
        <f t="shared" si="301"/>
        <v>0</v>
      </c>
      <c r="AT488" s="23">
        <f t="shared" si="302"/>
        <v>0</v>
      </c>
      <c r="AU488" s="23">
        <f t="shared" si="303"/>
        <v>13210.115970275918</v>
      </c>
      <c r="AW488" s="25"/>
      <c r="AX488" s="25"/>
      <c r="AY488" s="25"/>
      <c r="AZ488" s="25"/>
      <c r="BA488" s="25"/>
      <c r="BB488" s="25"/>
      <c r="BC488" s="25"/>
      <c r="BD488" s="25"/>
      <c r="BE488" s="25"/>
      <c r="BF488" s="25">
        <f t="shared" si="307"/>
        <v>13210.115970275918</v>
      </c>
      <c r="BG488" s="25">
        <f t="shared" si="308"/>
        <v>0</v>
      </c>
      <c r="BI488" s="25"/>
      <c r="BJ488" s="25"/>
      <c r="BK488" s="25"/>
      <c r="BL488" s="25"/>
      <c r="BM488" s="25"/>
      <c r="BN488" s="25"/>
      <c r="BO488" s="25"/>
      <c r="BP488" s="25"/>
      <c r="BQ488" s="25"/>
      <c r="BR488" s="25">
        <f t="shared" si="311"/>
        <v>13210.115970275918</v>
      </c>
      <c r="BS488" s="25">
        <f t="shared" si="312"/>
        <v>0</v>
      </c>
    </row>
    <row r="489" spans="1:71" x14ac:dyDescent="0.2">
      <c r="A489" s="29">
        <f t="shared" si="309"/>
        <v>4.8099999999999419</v>
      </c>
      <c r="B489" s="30">
        <v>5.8151651008494218E-2</v>
      </c>
      <c r="C489" s="30">
        <v>6.0510607150007598E-2</v>
      </c>
      <c r="D489" s="30">
        <v>6.3266956104957084E-2</v>
      </c>
      <c r="E489" s="30">
        <v>6.6376510316096426E-2</v>
      </c>
      <c r="F489" s="30">
        <v>6.9792808245016894E-2</v>
      </c>
      <c r="G489" s="30">
        <v>7.3472301648657784E-2</v>
      </c>
      <c r="H489" s="30">
        <v>7.7375431111936635E-2</v>
      </c>
      <c r="I489" s="30">
        <v>8.1466008708050569E-2</v>
      </c>
      <c r="J489" s="30">
        <v>8.5710397933877414E-2</v>
      </c>
      <c r="K489" s="30">
        <v>9.0076963515198893E-2</v>
      </c>
      <c r="L489" s="30">
        <v>9.4535809175955832E-2</v>
      </c>
      <c r="N489" s="1"/>
      <c r="O489" s="1"/>
      <c r="P489" s="1"/>
      <c r="Q489" s="1"/>
      <c r="R489" s="1"/>
      <c r="S489" s="1"/>
      <c r="T489" s="1"/>
      <c r="U489" s="1"/>
      <c r="V489" s="1"/>
      <c r="W489" s="68">
        <f t="shared" si="310"/>
        <v>0.95596069407757156</v>
      </c>
      <c r="Y489" s="24"/>
      <c r="Z489" s="24"/>
      <c r="AA489" s="24"/>
      <c r="AB489" s="24"/>
      <c r="AC489" s="24"/>
      <c r="AD489" s="24"/>
      <c r="AE489" s="24"/>
      <c r="AF489" s="24"/>
      <c r="AG489" s="24"/>
      <c r="AH489" s="24">
        <f t="shared" si="305"/>
        <v>9.4535809175955832E-2</v>
      </c>
      <c r="AL489" s="23">
        <f t="shared" si="294"/>
        <v>0</v>
      </c>
      <c r="AM489" s="23">
        <f t="shared" si="295"/>
        <v>0</v>
      </c>
      <c r="AN489" s="23">
        <f t="shared" si="296"/>
        <v>0</v>
      </c>
      <c r="AO489" s="23">
        <f t="shared" si="297"/>
        <v>0</v>
      </c>
      <c r="AP489" s="23">
        <f t="shared" si="298"/>
        <v>0</v>
      </c>
      <c r="AQ489" s="23">
        <f t="shared" si="299"/>
        <v>0</v>
      </c>
      <c r="AR489" s="23">
        <f t="shared" si="300"/>
        <v>0</v>
      </c>
      <c r="AS489" s="23">
        <f t="shared" si="301"/>
        <v>0</v>
      </c>
      <c r="AT489" s="23">
        <f t="shared" si="302"/>
        <v>0</v>
      </c>
      <c r="AU489" s="23">
        <f t="shared" si="303"/>
        <v>12825.857517330211</v>
      </c>
      <c r="AW489" s="25"/>
      <c r="AX489" s="25"/>
      <c r="AY489" s="25"/>
      <c r="AZ489" s="25"/>
      <c r="BA489" s="25"/>
      <c r="BB489" s="25"/>
      <c r="BC489" s="25"/>
      <c r="BD489" s="25"/>
      <c r="BE489" s="25"/>
      <c r="BF489" s="25">
        <f t="shared" si="307"/>
        <v>12825.857517330211</v>
      </c>
      <c r="BG489" s="25">
        <f t="shared" si="308"/>
        <v>0</v>
      </c>
      <c r="BI489" s="25"/>
      <c r="BJ489" s="25"/>
      <c r="BK489" s="25"/>
      <c r="BL489" s="25"/>
      <c r="BM489" s="25"/>
      <c r="BN489" s="25"/>
      <c r="BO489" s="25"/>
      <c r="BP489" s="25"/>
      <c r="BQ489" s="25"/>
      <c r="BR489" s="25">
        <f t="shared" si="311"/>
        <v>12825.857517330211</v>
      </c>
      <c r="BS489" s="25">
        <f t="shared" si="312"/>
        <v>0</v>
      </c>
    </row>
    <row r="490" spans="1:71" x14ac:dyDescent="0.2">
      <c r="A490" s="29">
        <f t="shared" si="309"/>
        <v>4.8199999999999417</v>
      </c>
      <c r="B490" s="30">
        <v>5.8219904332309086E-2</v>
      </c>
      <c r="C490" s="30">
        <v>6.0597581387709577E-2</v>
      </c>
      <c r="D490" s="30">
        <v>6.3372086051532897E-2</v>
      </c>
      <c r="E490" s="30">
        <v>6.6499157646074503E-2</v>
      </c>
      <c r="F490" s="30">
        <v>6.9932362429935002E-2</v>
      </c>
      <c r="G490" s="30">
        <v>7.3628199141526587E-2</v>
      </c>
      <c r="H490" s="30">
        <v>7.754714112591081E-2</v>
      </c>
      <c r="I490" s="30">
        <v>8.1653015344271287E-2</v>
      </c>
      <c r="J490" s="30">
        <v>8.5912188064630454E-2</v>
      </c>
      <c r="K490" s="30">
        <v>9.0293020740756458E-2</v>
      </c>
      <c r="L490" s="30">
        <v>9.4765611694981308E-2</v>
      </c>
      <c r="N490" s="1"/>
      <c r="O490" s="1"/>
      <c r="P490" s="1"/>
      <c r="Q490" s="1"/>
      <c r="R490" s="1"/>
      <c r="S490" s="1"/>
      <c r="T490" s="1"/>
      <c r="U490" s="1"/>
      <c r="V490" s="1"/>
      <c r="W490" s="68">
        <f t="shared" si="310"/>
        <v>0.95585742854783573</v>
      </c>
      <c r="Y490" s="24"/>
      <c r="Z490" s="24"/>
      <c r="AA490" s="24"/>
      <c r="AB490" s="24"/>
      <c r="AC490" s="24"/>
      <c r="AD490" s="24"/>
      <c r="AE490" s="24"/>
      <c r="AF490" s="24"/>
      <c r="AG490" s="24"/>
      <c r="AH490" s="24">
        <f t="shared" si="305"/>
        <v>9.4765611694981308E-2</v>
      </c>
      <c r="AL490" s="23">
        <f t="shared" si="294"/>
        <v>0</v>
      </c>
      <c r="AM490" s="23">
        <f t="shared" si="295"/>
        <v>0</v>
      </c>
      <c r="AN490" s="23">
        <f t="shared" si="296"/>
        <v>0</v>
      </c>
      <c r="AO490" s="23">
        <f t="shared" si="297"/>
        <v>0</v>
      </c>
      <c r="AP490" s="23">
        <f t="shared" si="298"/>
        <v>0</v>
      </c>
      <c r="AQ490" s="23">
        <f t="shared" si="299"/>
        <v>0</v>
      </c>
      <c r="AR490" s="23">
        <f t="shared" si="300"/>
        <v>0</v>
      </c>
      <c r="AS490" s="23">
        <f t="shared" si="301"/>
        <v>0</v>
      </c>
      <c r="AT490" s="23">
        <f t="shared" si="302"/>
        <v>0</v>
      </c>
      <c r="AU490" s="23">
        <f t="shared" si="303"/>
        <v>12934.301255027016</v>
      </c>
      <c r="AW490" s="25"/>
      <c r="AX490" s="25"/>
      <c r="AY490" s="25"/>
      <c r="AZ490" s="25"/>
      <c r="BA490" s="25"/>
      <c r="BB490" s="25"/>
      <c r="BC490" s="25"/>
      <c r="BD490" s="25"/>
      <c r="BE490" s="25"/>
      <c r="BF490" s="25">
        <f t="shared" si="307"/>
        <v>12934.301255027016</v>
      </c>
      <c r="BG490" s="25">
        <f t="shared" si="308"/>
        <v>0</v>
      </c>
      <c r="BI490" s="25"/>
      <c r="BJ490" s="25"/>
      <c r="BK490" s="25"/>
      <c r="BL490" s="25"/>
      <c r="BM490" s="25"/>
      <c r="BN490" s="25"/>
      <c r="BO490" s="25"/>
      <c r="BP490" s="25"/>
      <c r="BQ490" s="25"/>
      <c r="BR490" s="25">
        <f t="shared" si="311"/>
        <v>12934.301255027016</v>
      </c>
      <c r="BS490" s="25">
        <f t="shared" si="312"/>
        <v>0</v>
      </c>
    </row>
    <row r="491" spans="1:71" x14ac:dyDescent="0.2">
      <c r="A491" s="29">
        <f t="shared" si="309"/>
        <v>4.8299999999999415</v>
      </c>
      <c r="B491" s="30">
        <v>5.8773467362431421E-2</v>
      </c>
      <c r="C491" s="30">
        <v>6.1182702755724787E-2</v>
      </c>
      <c r="D491" s="30">
        <v>6.39855992507503E-2</v>
      </c>
      <c r="E491" s="30">
        <v>6.713794742610138E-2</v>
      </c>
      <c r="F491" s="30">
        <v>7.0593464079484081E-2</v>
      </c>
      <c r="G491" s="30">
        <v>7.43088170047638E-2</v>
      </c>
      <c r="H491" s="30">
        <v>7.8244634308109823E-2</v>
      </c>
      <c r="I491" s="30">
        <v>8.2364879954762313E-2</v>
      </c>
      <c r="J491" s="30">
        <v>8.663604522143202E-2</v>
      </c>
      <c r="K491" s="30">
        <v>9.1026610605688452E-2</v>
      </c>
      <c r="L491" s="30">
        <v>9.5506791378979008E-2</v>
      </c>
      <c r="N491" s="1"/>
      <c r="O491" s="1"/>
      <c r="P491" s="1"/>
      <c r="Q491" s="1"/>
      <c r="R491" s="1"/>
      <c r="S491" s="1"/>
      <c r="T491" s="1"/>
      <c r="U491" s="1"/>
      <c r="V491" s="1"/>
      <c r="W491" s="68">
        <f t="shared" si="310"/>
        <v>0.95550688917884663</v>
      </c>
      <c r="Y491" s="24"/>
      <c r="Z491" s="24"/>
      <c r="AA491" s="24"/>
      <c r="AB491" s="24"/>
      <c r="AC491" s="24"/>
      <c r="AD491" s="24"/>
      <c r="AE491" s="24"/>
      <c r="AF491" s="24"/>
      <c r="AG491" s="24"/>
      <c r="AH491" s="24">
        <f t="shared" si="305"/>
        <v>9.5506791378979008E-2</v>
      </c>
      <c r="AL491" s="23">
        <f t="shared" si="294"/>
        <v>0</v>
      </c>
      <c r="AM491" s="23">
        <f t="shared" si="295"/>
        <v>0</v>
      </c>
      <c r="AN491" s="23">
        <f t="shared" si="296"/>
        <v>0</v>
      </c>
      <c r="AO491" s="23">
        <f t="shared" si="297"/>
        <v>0</v>
      </c>
      <c r="AP491" s="23">
        <f t="shared" si="298"/>
        <v>0</v>
      </c>
      <c r="AQ491" s="23">
        <f t="shared" si="299"/>
        <v>0</v>
      </c>
      <c r="AR491" s="23">
        <f t="shared" si="300"/>
        <v>0</v>
      </c>
      <c r="AS491" s="23">
        <f t="shared" si="301"/>
        <v>0</v>
      </c>
      <c r="AT491" s="23">
        <f t="shared" si="302"/>
        <v>0</v>
      </c>
      <c r="AU491" s="23">
        <f t="shared" si="303"/>
        <v>13283.659035935805</v>
      </c>
      <c r="AW491" s="25"/>
      <c r="AX491" s="25"/>
      <c r="AY491" s="25"/>
      <c r="AZ491" s="25"/>
      <c r="BA491" s="25"/>
      <c r="BB491" s="25"/>
      <c r="BC491" s="25"/>
      <c r="BD491" s="25"/>
      <c r="BE491" s="25"/>
      <c r="BF491" s="25">
        <f t="shared" si="307"/>
        <v>13283.659035935805</v>
      </c>
      <c r="BG491" s="25">
        <f t="shared" si="308"/>
        <v>0</v>
      </c>
      <c r="BI491" s="25"/>
      <c r="BJ491" s="25"/>
      <c r="BK491" s="25"/>
      <c r="BL491" s="25"/>
      <c r="BM491" s="25"/>
      <c r="BN491" s="25"/>
      <c r="BO491" s="25"/>
      <c r="BP491" s="25"/>
      <c r="BQ491" s="25"/>
      <c r="BR491" s="25">
        <f t="shared" si="311"/>
        <v>13283.659035935805</v>
      </c>
      <c r="BS491" s="25">
        <f t="shared" si="312"/>
        <v>0</v>
      </c>
    </row>
    <row r="492" spans="1:71" x14ac:dyDescent="0.2">
      <c r="A492" s="29">
        <f t="shared" si="309"/>
        <v>4.8399999999999412</v>
      </c>
      <c r="B492" s="30">
        <v>5.9571428699190597E-2</v>
      </c>
      <c r="C492" s="30">
        <v>6.209592890366273E-2</v>
      </c>
      <c r="D492" s="30">
        <v>6.5010632370826049E-2</v>
      </c>
      <c r="E492" s="30">
        <v>6.8271253844192969E-2</v>
      </c>
      <c r="F492" s="30">
        <v>7.1831531953866906E-2</v>
      </c>
      <c r="G492" s="30">
        <v>7.5648174186244435E-2</v>
      </c>
      <c r="H492" s="30">
        <v>7.968183397642653E-2</v>
      </c>
      <c r="I492" s="30">
        <v>8.3896482976767384E-2</v>
      </c>
      <c r="J492" s="30">
        <v>8.8258608276333264E-2</v>
      </c>
      <c r="K492" s="30">
        <v>9.2736680297566265E-2</v>
      </c>
      <c r="L492" s="30">
        <v>9.730090217639073E-2</v>
      </c>
      <c r="N492" s="1"/>
      <c r="O492" s="1"/>
      <c r="P492" s="1"/>
      <c r="Q492" s="1"/>
      <c r="R492" s="1"/>
      <c r="S492" s="1"/>
      <c r="T492" s="1"/>
      <c r="U492" s="1"/>
      <c r="V492" s="1"/>
      <c r="W492" s="68">
        <f t="shared" si="310"/>
        <v>0.95469024667171709</v>
      </c>
      <c r="Y492" s="24"/>
      <c r="Z492" s="24"/>
      <c r="AA492" s="24"/>
      <c r="AB492" s="24"/>
      <c r="AC492" s="24"/>
      <c r="AD492" s="24"/>
      <c r="AE492" s="24"/>
      <c r="AF492" s="24"/>
      <c r="AG492" s="24"/>
      <c r="AH492" s="24">
        <f t="shared" si="305"/>
        <v>9.730090217639073E-2</v>
      </c>
      <c r="AL492" s="23">
        <f t="shared" si="294"/>
        <v>0</v>
      </c>
      <c r="AM492" s="23">
        <f t="shared" si="295"/>
        <v>0</v>
      </c>
      <c r="AN492" s="23">
        <f t="shared" si="296"/>
        <v>0</v>
      </c>
      <c r="AO492" s="23">
        <f t="shared" si="297"/>
        <v>0</v>
      </c>
      <c r="AP492" s="23">
        <f t="shared" si="298"/>
        <v>0</v>
      </c>
      <c r="AQ492" s="23">
        <f t="shared" si="299"/>
        <v>0</v>
      </c>
      <c r="AR492" s="23">
        <f t="shared" si="300"/>
        <v>0</v>
      </c>
      <c r="AS492" s="23">
        <f t="shared" si="301"/>
        <v>0</v>
      </c>
      <c r="AT492" s="23">
        <f t="shared" si="302"/>
        <v>0</v>
      </c>
      <c r="AU492" s="23">
        <f t="shared" si="303"/>
        <v>14128.715938802752</v>
      </c>
      <c r="AW492" s="25"/>
      <c r="AX492" s="25"/>
      <c r="AY492" s="25"/>
      <c r="AZ492" s="25"/>
      <c r="BA492" s="25"/>
      <c r="BB492" s="25"/>
      <c r="BC492" s="25"/>
      <c r="BD492" s="25"/>
      <c r="BE492" s="25"/>
      <c r="BF492" s="25">
        <f t="shared" si="307"/>
        <v>14128.715938802752</v>
      </c>
      <c r="BG492" s="25">
        <f t="shared" si="308"/>
        <v>0</v>
      </c>
      <c r="BI492" s="25"/>
      <c r="BJ492" s="25"/>
      <c r="BK492" s="25"/>
      <c r="BL492" s="25"/>
      <c r="BM492" s="25"/>
      <c r="BN492" s="25"/>
      <c r="BO492" s="25"/>
      <c r="BP492" s="25"/>
      <c r="BQ492" s="25"/>
      <c r="BR492" s="25">
        <f t="shared" si="311"/>
        <v>14128.715938802752</v>
      </c>
      <c r="BS492" s="25">
        <f t="shared" si="312"/>
        <v>0</v>
      </c>
    </row>
    <row r="493" spans="1:71" x14ac:dyDescent="0.2">
      <c r="A493" s="29">
        <f t="shared" si="309"/>
        <v>4.849999999999941</v>
      </c>
      <c r="B493" s="30">
        <v>5.9053299271215227E-2</v>
      </c>
      <c r="C493" s="30">
        <v>6.1621238349737796E-2</v>
      </c>
      <c r="D493" s="30">
        <v>6.4575661383549546E-2</v>
      </c>
      <c r="E493" s="30">
        <v>6.7872348198171062E-2</v>
      </c>
      <c r="F493" s="30">
        <v>7.1465198577045336E-2</v>
      </c>
      <c r="G493" s="30">
        <v>7.5311098375567792E-2</v>
      </c>
      <c r="H493" s="30">
        <v>7.9370864968674237E-2</v>
      </c>
      <c r="I493" s="30">
        <v>8.3608616422077384E-2</v>
      </c>
      <c r="J493" s="30">
        <v>8.7990974483188905E-2</v>
      </c>
      <c r="K493" s="30">
        <v>9.2486538421855169E-2</v>
      </c>
      <c r="L493" s="30">
        <v>9.7065638194685736E-2</v>
      </c>
      <c r="N493" s="1"/>
      <c r="O493" s="1"/>
      <c r="P493" s="1"/>
      <c r="Q493" s="1"/>
      <c r="R493" s="1"/>
      <c r="S493" s="1"/>
      <c r="T493" s="1"/>
      <c r="U493" s="1"/>
      <c r="V493" s="1"/>
      <c r="W493" s="68">
        <f t="shared" si="310"/>
        <v>0.95480965814352659</v>
      </c>
      <c r="Y493" s="24"/>
      <c r="Z493" s="24"/>
      <c r="AA493" s="24"/>
      <c r="AB493" s="24"/>
      <c r="AC493" s="24"/>
      <c r="AD493" s="24"/>
      <c r="AE493" s="24"/>
      <c r="AF493" s="24"/>
      <c r="AG493" s="24"/>
      <c r="AH493" s="24">
        <f t="shared" si="305"/>
        <v>9.7065638194685736E-2</v>
      </c>
      <c r="AL493" s="23">
        <f t="shared" si="294"/>
        <v>0</v>
      </c>
      <c r="AM493" s="23">
        <f t="shared" si="295"/>
        <v>0</v>
      </c>
      <c r="AN493" s="23">
        <f t="shared" si="296"/>
        <v>0</v>
      </c>
      <c r="AO493" s="23">
        <f t="shared" si="297"/>
        <v>0</v>
      </c>
      <c r="AP493" s="23">
        <f t="shared" si="298"/>
        <v>0</v>
      </c>
      <c r="AQ493" s="23">
        <f t="shared" si="299"/>
        <v>0</v>
      </c>
      <c r="AR493" s="23">
        <f t="shared" si="300"/>
        <v>0</v>
      </c>
      <c r="AS493" s="23">
        <f t="shared" si="301"/>
        <v>0</v>
      </c>
      <c r="AT493" s="23">
        <f t="shared" si="302"/>
        <v>0</v>
      </c>
      <c r="AU493" s="23">
        <f t="shared" si="303"/>
        <v>14018.166980093814</v>
      </c>
      <c r="AW493" s="25"/>
      <c r="AX493" s="25"/>
      <c r="AY493" s="25"/>
      <c r="AZ493" s="25"/>
      <c r="BA493" s="25"/>
      <c r="BB493" s="25"/>
      <c r="BC493" s="25"/>
      <c r="BD493" s="25"/>
      <c r="BE493" s="25"/>
      <c r="BF493" s="25">
        <f t="shared" si="307"/>
        <v>14018.166980093814</v>
      </c>
      <c r="BG493" s="25">
        <f t="shared" si="308"/>
        <v>0</v>
      </c>
      <c r="BI493" s="25"/>
      <c r="BJ493" s="25"/>
      <c r="BK493" s="25"/>
      <c r="BL493" s="25"/>
      <c r="BM493" s="25"/>
      <c r="BN493" s="25"/>
      <c r="BO493" s="25"/>
      <c r="BP493" s="25"/>
      <c r="BQ493" s="25"/>
      <c r="BR493" s="25">
        <f t="shared" si="311"/>
        <v>14018.166980093814</v>
      </c>
      <c r="BS493" s="25">
        <f t="shared" si="312"/>
        <v>0</v>
      </c>
    </row>
    <row r="494" spans="1:71" x14ac:dyDescent="0.2">
      <c r="A494" s="29">
        <f t="shared" si="309"/>
        <v>4.8599999999999408</v>
      </c>
      <c r="B494" s="30">
        <v>5.9737457891319942E-2</v>
      </c>
      <c r="C494" s="30">
        <v>6.2299367948842367E-2</v>
      </c>
      <c r="D494" s="30">
        <v>6.5245166923483283E-2</v>
      </c>
      <c r="E494" s="30">
        <v>6.8530724863249265E-2</v>
      </c>
      <c r="F494" s="30">
        <v>7.2110126268287347E-2</v>
      </c>
      <c r="G494" s="30">
        <v>7.5940458293459731E-2</v>
      </c>
      <c r="H494" s="30">
        <v>7.9982725122058812E-2</v>
      </c>
      <c r="I494" s="30">
        <v>8.4201214217106773E-2</v>
      </c>
      <c r="J494" s="30">
        <v>8.8562705087193119E-2</v>
      </c>
      <c r="K494" s="30">
        <v>9.3035949028085346E-2</v>
      </c>
      <c r="L494" s="30">
        <v>9.7591426028663233E-2</v>
      </c>
      <c r="N494" s="1"/>
      <c r="O494" s="1"/>
      <c r="P494" s="1"/>
      <c r="Q494" s="1"/>
      <c r="R494" s="1"/>
      <c r="S494" s="1"/>
      <c r="T494" s="1"/>
      <c r="U494" s="1"/>
      <c r="V494" s="1"/>
      <c r="W494" s="68">
        <f t="shared" si="310"/>
        <v>0.95454740289007267</v>
      </c>
      <c r="Y494" s="24"/>
      <c r="Z494" s="24"/>
      <c r="AA494" s="24"/>
      <c r="AB494" s="24"/>
      <c r="AC494" s="24"/>
      <c r="AD494" s="24"/>
      <c r="AE494" s="24"/>
      <c r="AF494" s="24"/>
      <c r="AG494" s="24"/>
      <c r="AH494" s="24">
        <f t="shared" si="305"/>
        <v>9.7591426028663233E-2</v>
      </c>
      <c r="AL494" s="23">
        <f t="shared" si="294"/>
        <v>0</v>
      </c>
      <c r="AM494" s="23">
        <f t="shared" si="295"/>
        <v>0</v>
      </c>
      <c r="AN494" s="23">
        <f t="shared" si="296"/>
        <v>0</v>
      </c>
      <c r="AO494" s="23">
        <f t="shared" si="297"/>
        <v>0</v>
      </c>
      <c r="AP494" s="23">
        <f t="shared" si="298"/>
        <v>0</v>
      </c>
      <c r="AQ494" s="23">
        <f t="shared" si="299"/>
        <v>0</v>
      </c>
      <c r="AR494" s="23">
        <f t="shared" si="300"/>
        <v>0</v>
      </c>
      <c r="AS494" s="23">
        <f t="shared" si="301"/>
        <v>0</v>
      </c>
      <c r="AT494" s="23">
        <f t="shared" si="302"/>
        <v>0</v>
      </c>
      <c r="AU494" s="23">
        <f t="shared" si="303"/>
        <v>14265.2613498597</v>
      </c>
      <c r="AW494" s="25"/>
      <c r="AX494" s="25"/>
      <c r="AY494" s="25"/>
      <c r="AZ494" s="25"/>
      <c r="BA494" s="25"/>
      <c r="BB494" s="25"/>
      <c r="BC494" s="25"/>
      <c r="BD494" s="25"/>
      <c r="BE494" s="25"/>
      <c r="BF494" s="25">
        <f t="shared" si="307"/>
        <v>14265.2613498597</v>
      </c>
      <c r="BG494" s="25">
        <f t="shared" si="308"/>
        <v>0</v>
      </c>
      <c r="BI494" s="25"/>
      <c r="BJ494" s="25"/>
      <c r="BK494" s="25"/>
      <c r="BL494" s="25"/>
      <c r="BM494" s="25"/>
      <c r="BN494" s="25"/>
      <c r="BO494" s="25"/>
      <c r="BP494" s="25"/>
      <c r="BQ494" s="25"/>
      <c r="BR494" s="25">
        <f t="shared" si="311"/>
        <v>14265.2613498597</v>
      </c>
      <c r="BS494" s="25">
        <f t="shared" si="312"/>
        <v>0</v>
      </c>
    </row>
    <row r="495" spans="1:71" x14ac:dyDescent="0.2">
      <c r="A495" s="29">
        <f t="shared" si="309"/>
        <v>4.8699999999999406</v>
      </c>
      <c r="B495" s="30">
        <v>5.9978451474054569E-2</v>
      </c>
      <c r="C495" s="30">
        <v>6.255929042651201E-2</v>
      </c>
      <c r="D495" s="30">
        <v>6.5519594215865631E-2</v>
      </c>
      <c r="E495" s="30">
        <v>6.8815383475337555E-2</v>
      </c>
      <c r="F495" s="30">
        <v>7.2400986226279315E-2</v>
      </c>
      <c r="G495" s="30">
        <v>7.6233749106042858E-2</v>
      </c>
      <c r="H495" s="30">
        <v>8.0274921230901394E-2</v>
      </c>
      <c r="I495" s="30">
        <v>8.4489017701309135E-2</v>
      </c>
      <c r="J495" s="30">
        <v>8.8843034145173513E-2</v>
      </c>
      <c r="K495" s="30">
        <v>9.3305932317155268E-2</v>
      </c>
      <c r="L495" s="30">
        <v>9.7848400703841362E-2</v>
      </c>
      <c r="N495" s="1"/>
      <c r="O495" s="1"/>
      <c r="P495" s="1"/>
      <c r="Q495" s="1"/>
      <c r="R495" s="1"/>
      <c r="S495" s="1"/>
      <c r="T495" s="1"/>
      <c r="U495" s="1"/>
      <c r="V495" s="1"/>
      <c r="W495" s="68">
        <f t="shared" si="310"/>
        <v>0.9544185556632151</v>
      </c>
      <c r="Y495" s="24"/>
      <c r="Z495" s="24"/>
      <c r="AA495" s="24"/>
      <c r="AB495" s="24"/>
      <c r="AC495" s="24"/>
      <c r="AD495" s="24"/>
      <c r="AE495" s="24"/>
      <c r="AF495" s="24"/>
      <c r="AG495" s="24"/>
      <c r="AH495" s="24">
        <f t="shared" si="305"/>
        <v>9.7848400703841362E-2</v>
      </c>
      <c r="AL495" s="23">
        <f t="shared" si="294"/>
        <v>0</v>
      </c>
      <c r="AM495" s="23">
        <f t="shared" si="295"/>
        <v>0</v>
      </c>
      <c r="AN495" s="23">
        <f t="shared" si="296"/>
        <v>0</v>
      </c>
      <c r="AO495" s="23">
        <f t="shared" si="297"/>
        <v>0</v>
      </c>
      <c r="AP495" s="23">
        <f t="shared" si="298"/>
        <v>0</v>
      </c>
      <c r="AQ495" s="23">
        <f t="shared" si="299"/>
        <v>0</v>
      </c>
      <c r="AR495" s="23">
        <f t="shared" si="300"/>
        <v>0</v>
      </c>
      <c r="AS495" s="23">
        <f t="shared" si="301"/>
        <v>0</v>
      </c>
      <c r="AT495" s="23">
        <f t="shared" si="302"/>
        <v>0</v>
      </c>
      <c r="AU495" s="23">
        <f t="shared" si="303"/>
        <v>14385.966487903384</v>
      </c>
      <c r="AW495" s="25"/>
      <c r="AX495" s="25"/>
      <c r="AY495" s="25"/>
      <c r="AZ495" s="25"/>
      <c r="BA495" s="25"/>
      <c r="BB495" s="25"/>
      <c r="BC495" s="25"/>
      <c r="BD495" s="25"/>
      <c r="BE495" s="25"/>
      <c r="BF495" s="25">
        <f t="shared" si="307"/>
        <v>14385.966487903384</v>
      </c>
      <c r="BG495" s="25">
        <f t="shared" si="308"/>
        <v>0</v>
      </c>
      <c r="BI495" s="25"/>
      <c r="BJ495" s="25"/>
      <c r="BK495" s="25"/>
      <c r="BL495" s="25"/>
      <c r="BM495" s="25"/>
      <c r="BN495" s="25"/>
      <c r="BO495" s="25"/>
      <c r="BP495" s="25"/>
      <c r="BQ495" s="25"/>
      <c r="BR495" s="25">
        <f t="shared" si="311"/>
        <v>14385.966487903384</v>
      </c>
      <c r="BS495" s="25">
        <f t="shared" si="312"/>
        <v>0</v>
      </c>
    </row>
    <row r="496" spans="1:71" x14ac:dyDescent="0.2">
      <c r="A496" s="29">
        <f t="shared" si="309"/>
        <v>4.8799999999999404</v>
      </c>
      <c r="B496" s="30">
        <v>6.0586336054733861E-2</v>
      </c>
      <c r="C496" s="30">
        <v>6.3260180907407704E-2</v>
      </c>
      <c r="D496" s="30">
        <v>6.6305291239954198E-2</v>
      </c>
      <c r="E496" s="30">
        <v>6.9677921668572174E-2</v>
      </c>
      <c r="F496" s="30">
        <v>7.3332725594084686E-2</v>
      </c>
      <c r="G496" s="30">
        <v>7.7227390384384587E-2</v>
      </c>
      <c r="H496" s="30">
        <v>8.1323491281856272E-2</v>
      </c>
      <c r="I496" s="30">
        <v>8.5585852333065038E-2</v>
      </c>
      <c r="J496" s="30">
        <v>8.9981766711069069E-2</v>
      </c>
      <c r="K496" s="30">
        <v>9.4480488129239995E-2</v>
      </c>
      <c r="L496" s="30">
        <v>9.9052995103556113E-2</v>
      </c>
      <c r="N496" s="1"/>
      <c r="O496" s="1"/>
      <c r="P496" s="1"/>
      <c r="Q496" s="1"/>
      <c r="R496" s="1"/>
      <c r="S496" s="1"/>
      <c r="T496" s="1"/>
      <c r="U496" s="1"/>
      <c r="V496" s="1"/>
      <c r="W496" s="68">
        <f t="shared" si="310"/>
        <v>0.95385821128739812</v>
      </c>
      <c r="Y496" s="24"/>
      <c r="Z496" s="24"/>
      <c r="AA496" s="24"/>
      <c r="AB496" s="24"/>
      <c r="AC496" s="24"/>
      <c r="AD496" s="24"/>
      <c r="AE496" s="24"/>
      <c r="AF496" s="24"/>
      <c r="AG496" s="24"/>
      <c r="AH496" s="24">
        <f t="shared" si="305"/>
        <v>9.9052995103556113E-2</v>
      </c>
      <c r="AL496" s="23">
        <f t="shared" si="294"/>
        <v>0</v>
      </c>
      <c r="AM496" s="23">
        <f t="shared" si="295"/>
        <v>0</v>
      </c>
      <c r="AN496" s="23">
        <f t="shared" si="296"/>
        <v>0</v>
      </c>
      <c r="AO496" s="23">
        <f t="shared" si="297"/>
        <v>0</v>
      </c>
      <c r="AP496" s="23">
        <f t="shared" si="298"/>
        <v>0</v>
      </c>
      <c r="AQ496" s="23">
        <f t="shared" si="299"/>
        <v>0</v>
      </c>
      <c r="AR496" s="23">
        <f t="shared" si="300"/>
        <v>0</v>
      </c>
      <c r="AS496" s="23">
        <f t="shared" si="301"/>
        <v>0</v>
      </c>
      <c r="AT496" s="23">
        <f t="shared" si="302"/>
        <v>0</v>
      </c>
      <c r="AU496" s="23">
        <f t="shared" si="303"/>
        <v>14952.026537688156</v>
      </c>
      <c r="AW496" s="25"/>
      <c r="AX496" s="25"/>
      <c r="AY496" s="25"/>
      <c r="AZ496" s="25"/>
      <c r="BA496" s="25"/>
      <c r="BB496" s="25"/>
      <c r="BC496" s="25"/>
      <c r="BD496" s="25"/>
      <c r="BE496" s="25"/>
      <c r="BF496" s="25">
        <f t="shared" si="307"/>
        <v>14952.026537688156</v>
      </c>
      <c r="BG496" s="25">
        <f t="shared" si="308"/>
        <v>0</v>
      </c>
      <c r="BI496" s="25"/>
      <c r="BJ496" s="25"/>
      <c r="BK496" s="25"/>
      <c r="BL496" s="25"/>
      <c r="BM496" s="25"/>
      <c r="BN496" s="25"/>
      <c r="BO496" s="25"/>
      <c r="BP496" s="25"/>
      <c r="BQ496" s="25"/>
      <c r="BR496" s="25">
        <f t="shared" si="311"/>
        <v>14952.026537688156</v>
      </c>
      <c r="BS496" s="25">
        <f t="shared" si="312"/>
        <v>0</v>
      </c>
    </row>
    <row r="497" spans="1:71" x14ac:dyDescent="0.2">
      <c r="A497" s="29">
        <f t="shared" si="309"/>
        <v>4.8899999999999402</v>
      </c>
      <c r="B497" s="30">
        <v>6.2361652066661839E-2</v>
      </c>
      <c r="C497" s="30">
        <v>6.4984003449014324E-2</v>
      </c>
      <c r="D497" s="30">
        <v>6.7973990261533515E-2</v>
      </c>
      <c r="E497" s="30">
        <v>7.1288099388587142E-2</v>
      </c>
      <c r="F497" s="30">
        <v>7.4881306374753459E-2</v>
      </c>
      <c r="G497" s="30">
        <v>7.8711635483639922E-2</v>
      </c>
      <c r="H497" s="30">
        <v>8.274098419740443E-2</v>
      </c>
      <c r="I497" s="30">
        <v>8.6934481737966446E-2</v>
      </c>
      <c r="J497" s="30">
        <v>9.1259715169068417E-2</v>
      </c>
      <c r="K497" s="30">
        <v>9.5686226581468761E-2</v>
      </c>
      <c r="L497" s="30">
        <v>0.10018528097048654</v>
      </c>
      <c r="N497" s="1"/>
      <c r="O497" s="1"/>
      <c r="P497" s="1"/>
      <c r="Q497" s="1"/>
      <c r="R497" s="1"/>
      <c r="S497" s="1"/>
      <c r="T497" s="1"/>
      <c r="U497" s="1"/>
      <c r="V497" s="1"/>
      <c r="W497" s="68">
        <f t="shared" si="310"/>
        <v>0.95328333283141309</v>
      </c>
      <c r="Y497" s="24"/>
      <c r="Z497" s="24"/>
      <c r="AA497" s="24"/>
      <c r="AB497" s="24"/>
      <c r="AC497" s="24"/>
      <c r="AD497" s="24"/>
      <c r="AE497" s="24"/>
      <c r="AF497" s="24"/>
      <c r="AG497" s="24"/>
      <c r="AH497" s="24">
        <f t="shared" si="305"/>
        <v>0.10018528097048654</v>
      </c>
      <c r="AL497" s="23">
        <f t="shared" si="294"/>
        <v>0</v>
      </c>
      <c r="AM497" s="23">
        <f t="shared" si="295"/>
        <v>0</v>
      </c>
      <c r="AN497" s="23">
        <f t="shared" si="296"/>
        <v>0</v>
      </c>
      <c r="AO497" s="23">
        <f t="shared" si="297"/>
        <v>0</v>
      </c>
      <c r="AP497" s="23">
        <f t="shared" si="298"/>
        <v>0</v>
      </c>
      <c r="AQ497" s="23">
        <f t="shared" si="299"/>
        <v>0</v>
      </c>
      <c r="AR497" s="23">
        <f t="shared" si="300"/>
        <v>0</v>
      </c>
      <c r="AS497" s="23">
        <f t="shared" si="301"/>
        <v>0</v>
      </c>
      <c r="AT497" s="23">
        <f t="shared" si="302"/>
        <v>0</v>
      </c>
      <c r="AU497" s="23">
        <f t="shared" si="303"/>
        <v>15482.709760114032</v>
      </c>
      <c r="AW497" s="25"/>
      <c r="AX497" s="25"/>
      <c r="AY497" s="25"/>
      <c r="AZ497" s="25"/>
      <c r="BA497" s="25"/>
      <c r="BB497" s="25"/>
      <c r="BC497" s="25"/>
      <c r="BD497" s="25"/>
      <c r="BE497" s="25"/>
      <c r="BF497" s="25">
        <f t="shared" si="307"/>
        <v>15482.709760114032</v>
      </c>
      <c r="BG497" s="25">
        <f t="shared" si="308"/>
        <v>0</v>
      </c>
      <c r="BI497" s="25"/>
      <c r="BJ497" s="25"/>
      <c r="BK497" s="25"/>
      <c r="BL497" s="25"/>
      <c r="BM497" s="25"/>
      <c r="BN497" s="25"/>
      <c r="BO497" s="25"/>
      <c r="BP497" s="25"/>
      <c r="BQ497" s="25"/>
      <c r="BR497" s="25">
        <f t="shared" si="311"/>
        <v>15482.709760114032</v>
      </c>
      <c r="BS497" s="25">
        <f t="shared" si="312"/>
        <v>0</v>
      </c>
    </row>
    <row r="498" spans="1:71" x14ac:dyDescent="0.2">
      <c r="A498" s="29">
        <f t="shared" si="309"/>
        <v>4.89999999999994</v>
      </c>
      <c r="B498" s="30">
        <v>6.4070106460177662E-2</v>
      </c>
      <c r="C498" s="30">
        <v>6.6758518992895186E-2</v>
      </c>
      <c r="D498" s="30">
        <v>6.9801950127216308E-2</v>
      </c>
      <c r="E498" s="30">
        <v>7.3157416996169455E-2</v>
      </c>
      <c r="F498" s="30">
        <v>7.6780513766107367E-2</v>
      </c>
      <c r="G498" s="30">
        <v>8.0629897486213395E-2</v>
      </c>
      <c r="H498" s="30">
        <v>8.4668083720110629E-2</v>
      </c>
      <c r="I498" s="30">
        <v>8.8860802822359419E-2</v>
      </c>
      <c r="J498" s="30">
        <v>9.3176231820100583E-2</v>
      </c>
      <c r="K498" s="30">
        <v>9.7584497326498543E-2</v>
      </c>
      <c r="L498" s="30">
        <v>0.10205744699191781</v>
      </c>
      <c r="N498" s="1"/>
      <c r="O498" s="1"/>
      <c r="P498" s="1"/>
      <c r="Q498" s="1"/>
      <c r="R498" s="1"/>
      <c r="S498" s="1"/>
      <c r="T498" s="1"/>
      <c r="U498" s="1"/>
      <c r="V498" s="1"/>
      <c r="W498" s="68">
        <f t="shared" si="310"/>
        <v>0.9523789671508146</v>
      </c>
      <c r="Y498" s="24"/>
      <c r="Z498" s="24"/>
      <c r="AA498" s="24"/>
      <c r="AB498" s="24"/>
      <c r="AC498" s="24"/>
      <c r="AD498" s="24"/>
      <c r="AE498" s="24"/>
      <c r="AF498" s="24"/>
      <c r="AG498" s="24"/>
      <c r="AH498" s="24">
        <f t="shared" si="305"/>
        <v>0.10205744699191781</v>
      </c>
      <c r="AL498" s="23">
        <f t="shared" si="294"/>
        <v>0</v>
      </c>
      <c r="AM498" s="23">
        <f t="shared" si="295"/>
        <v>0</v>
      </c>
      <c r="AN498" s="23">
        <f t="shared" si="296"/>
        <v>0</v>
      </c>
      <c r="AO498" s="23">
        <f t="shared" si="297"/>
        <v>0</v>
      </c>
      <c r="AP498" s="23">
        <f t="shared" si="298"/>
        <v>0</v>
      </c>
      <c r="AQ498" s="23">
        <f t="shared" si="299"/>
        <v>0</v>
      </c>
      <c r="AR498" s="23">
        <f t="shared" si="300"/>
        <v>0</v>
      </c>
      <c r="AS498" s="23">
        <f t="shared" si="301"/>
        <v>0</v>
      </c>
      <c r="AT498" s="23">
        <f t="shared" si="302"/>
        <v>0</v>
      </c>
      <c r="AU498" s="23">
        <f t="shared" si="303"/>
        <v>16359.52731518638</v>
      </c>
      <c r="AW498" s="25"/>
      <c r="AX498" s="25"/>
      <c r="AY498" s="25"/>
      <c r="AZ498" s="25"/>
      <c r="BA498" s="25"/>
      <c r="BB498" s="25"/>
      <c r="BC498" s="25"/>
      <c r="BD498" s="25"/>
      <c r="BE498" s="25"/>
      <c r="BF498" s="25">
        <f t="shared" si="307"/>
        <v>16359.52731518638</v>
      </c>
      <c r="BG498" s="25">
        <f t="shared" si="308"/>
        <v>0</v>
      </c>
      <c r="BI498" s="25"/>
      <c r="BJ498" s="25"/>
      <c r="BK498" s="25"/>
      <c r="BL498" s="25"/>
      <c r="BM498" s="25"/>
      <c r="BN498" s="25"/>
      <c r="BO498" s="25"/>
      <c r="BP498" s="25"/>
      <c r="BQ498" s="25"/>
      <c r="BR498" s="25">
        <f t="shared" si="311"/>
        <v>16359.52731518638</v>
      </c>
      <c r="BS498" s="25">
        <f t="shared" si="312"/>
        <v>0</v>
      </c>
    </row>
    <row r="499" spans="1:71" x14ac:dyDescent="0.2">
      <c r="A499" s="29">
        <f t="shared" si="309"/>
        <v>4.9099999999999397</v>
      </c>
      <c r="B499" s="30">
        <v>6.2867893375864597E-2</v>
      </c>
      <c r="C499" s="30">
        <v>6.5773400638693219E-2</v>
      </c>
      <c r="D499" s="30">
        <v>6.9016205520752882E-2</v>
      </c>
      <c r="E499" s="30">
        <v>7.2553879263044296E-2</v>
      </c>
      <c r="F499" s="30">
        <v>7.6342657028820038E-2</v>
      </c>
      <c r="G499" s="30">
        <v>8.0341850450606433E-2</v>
      </c>
      <c r="H499" s="30">
        <v>8.4514614926364598E-2</v>
      </c>
      <c r="I499" s="30">
        <v>8.8827303811760225E-2</v>
      </c>
      <c r="J499" s="30">
        <v>9.3248706080361954E-2</v>
      </c>
      <c r="K499" s="30">
        <v>9.7749554922242327E-2</v>
      </c>
      <c r="L499" s="30">
        <v>0.1023023027274161</v>
      </c>
      <c r="N499" s="1"/>
      <c r="O499" s="1"/>
      <c r="P499" s="1"/>
      <c r="Q499" s="1"/>
      <c r="R499" s="1"/>
      <c r="S499" s="1"/>
      <c r="T499" s="1"/>
      <c r="U499" s="1"/>
      <c r="V499" s="1"/>
      <c r="W499" s="68">
        <f t="shared" si="310"/>
        <v>0.95230037170277571</v>
      </c>
      <c r="Y499" s="24"/>
      <c r="Z499" s="24"/>
      <c r="AA499" s="24"/>
      <c r="AB499" s="24"/>
      <c r="AC499" s="24"/>
      <c r="AD499" s="24"/>
      <c r="AE499" s="24"/>
      <c r="AF499" s="24"/>
      <c r="AG499" s="24"/>
      <c r="AH499" s="24">
        <f t="shared" si="305"/>
        <v>0.1023023027274161</v>
      </c>
      <c r="AL499" s="23">
        <f t="shared" si="294"/>
        <v>0</v>
      </c>
      <c r="AM499" s="23">
        <f t="shared" si="295"/>
        <v>0</v>
      </c>
      <c r="AN499" s="23">
        <f t="shared" si="296"/>
        <v>0</v>
      </c>
      <c r="AO499" s="23">
        <f t="shared" si="297"/>
        <v>0</v>
      </c>
      <c r="AP499" s="23">
        <f t="shared" si="298"/>
        <v>0</v>
      </c>
      <c r="AQ499" s="23">
        <f t="shared" si="299"/>
        <v>0</v>
      </c>
      <c r="AR499" s="23">
        <f t="shared" si="300"/>
        <v>0</v>
      </c>
      <c r="AS499" s="23">
        <f t="shared" si="301"/>
        <v>0</v>
      </c>
      <c r="AT499" s="23">
        <f t="shared" si="302"/>
        <v>0</v>
      </c>
      <c r="AU499" s="23">
        <f t="shared" si="303"/>
        <v>16474.76534273845</v>
      </c>
      <c r="AW499" s="25"/>
      <c r="AX499" s="25"/>
      <c r="AY499" s="25"/>
      <c r="AZ499" s="25"/>
      <c r="BA499" s="25"/>
      <c r="BB499" s="25"/>
      <c r="BC499" s="25"/>
      <c r="BD499" s="25"/>
      <c r="BE499" s="25"/>
      <c r="BF499" s="25">
        <f t="shared" si="307"/>
        <v>16474.76534273845</v>
      </c>
      <c r="BG499" s="25">
        <f t="shared" si="308"/>
        <v>0</v>
      </c>
      <c r="BI499" s="25"/>
      <c r="BJ499" s="25"/>
      <c r="BK499" s="25"/>
      <c r="BL499" s="25"/>
      <c r="BM499" s="25"/>
      <c r="BN499" s="25"/>
      <c r="BO499" s="25"/>
      <c r="BP499" s="25"/>
      <c r="BQ499" s="25"/>
      <c r="BR499" s="25">
        <f t="shared" si="311"/>
        <v>16474.76534273845</v>
      </c>
      <c r="BS499" s="25">
        <f t="shared" si="312"/>
        <v>0</v>
      </c>
    </row>
    <row r="500" spans="1:71" x14ac:dyDescent="0.2">
      <c r="A500" s="29">
        <f t="shared" si="309"/>
        <v>4.9199999999999395</v>
      </c>
      <c r="B500" s="30">
        <v>6.1873635126240771E-2</v>
      </c>
      <c r="C500" s="30">
        <v>6.4736505751039425E-2</v>
      </c>
      <c r="D500" s="30">
        <v>6.7939041681071191E-2</v>
      </c>
      <c r="E500" s="30">
        <v>7.143870294223037E-2</v>
      </c>
      <c r="F500" s="30">
        <v>7.5191698905540894E-2</v>
      </c>
      <c r="G500" s="30">
        <v>7.9157328431034679E-2</v>
      </c>
      <c r="H500" s="30">
        <v>8.3298719353488912E-2</v>
      </c>
      <c r="I500" s="30">
        <v>8.7582180747723795E-2</v>
      </c>
      <c r="J500" s="30">
        <v>9.1976446365488074E-2</v>
      </c>
      <c r="K500" s="30">
        <v>9.6452188876159958E-2</v>
      </c>
      <c r="L500" s="30">
        <v>0.10098179834132688</v>
      </c>
      <c r="N500" s="1"/>
      <c r="O500" s="1"/>
      <c r="P500" s="1"/>
      <c r="Q500" s="1"/>
      <c r="R500" s="1"/>
      <c r="S500" s="1"/>
      <c r="T500" s="1"/>
      <c r="U500" s="1"/>
      <c r="V500" s="1"/>
      <c r="W500" s="68">
        <f t="shared" si="310"/>
        <v>0.95291831318914222</v>
      </c>
      <c r="Y500" s="24"/>
      <c r="Z500" s="24"/>
      <c r="AA500" s="24"/>
      <c r="AB500" s="24"/>
      <c r="AC500" s="24"/>
      <c r="AD500" s="24"/>
      <c r="AE500" s="24"/>
      <c r="AF500" s="24"/>
      <c r="AG500" s="24"/>
      <c r="AH500" s="24">
        <f t="shared" si="305"/>
        <v>0.10098179834132688</v>
      </c>
      <c r="AL500" s="23">
        <f t="shared" si="294"/>
        <v>0</v>
      </c>
      <c r="AM500" s="23">
        <f t="shared" si="295"/>
        <v>0</v>
      </c>
      <c r="AN500" s="23">
        <f t="shared" si="296"/>
        <v>0</v>
      </c>
      <c r="AO500" s="23">
        <f t="shared" si="297"/>
        <v>0</v>
      </c>
      <c r="AP500" s="23">
        <f t="shared" si="298"/>
        <v>0</v>
      </c>
      <c r="AQ500" s="23">
        <f t="shared" si="299"/>
        <v>0</v>
      </c>
      <c r="AR500" s="23">
        <f t="shared" si="300"/>
        <v>0</v>
      </c>
      <c r="AS500" s="23">
        <f t="shared" si="301"/>
        <v>0</v>
      </c>
      <c r="AT500" s="23">
        <f t="shared" si="302"/>
        <v>0</v>
      </c>
      <c r="AU500" s="23">
        <f t="shared" si="303"/>
        <v>15856.289304204476</v>
      </c>
      <c r="AW500" s="25"/>
      <c r="AX500" s="25"/>
      <c r="AY500" s="25"/>
      <c r="AZ500" s="25"/>
      <c r="BA500" s="25"/>
      <c r="BB500" s="25"/>
      <c r="BC500" s="25"/>
      <c r="BD500" s="25"/>
      <c r="BE500" s="25"/>
      <c r="BF500" s="25">
        <f t="shared" si="307"/>
        <v>15856.289304204476</v>
      </c>
      <c r="BG500" s="25">
        <f t="shared" si="308"/>
        <v>0</v>
      </c>
      <c r="BI500" s="25"/>
      <c r="BJ500" s="25"/>
      <c r="BK500" s="25"/>
      <c r="BL500" s="25"/>
      <c r="BM500" s="25"/>
      <c r="BN500" s="25"/>
      <c r="BO500" s="25"/>
      <c r="BP500" s="25"/>
      <c r="BQ500" s="25"/>
      <c r="BR500" s="25">
        <f t="shared" si="311"/>
        <v>15856.289304204476</v>
      </c>
      <c r="BS500" s="25">
        <f t="shared" si="312"/>
        <v>0</v>
      </c>
    </row>
    <row r="501" spans="1:71" x14ac:dyDescent="0.2">
      <c r="A501" s="29">
        <f t="shared" si="309"/>
        <v>4.9299999999999393</v>
      </c>
      <c r="B501" s="30">
        <v>6.2508190885993201E-2</v>
      </c>
      <c r="C501" s="30">
        <v>6.5449911110696798E-2</v>
      </c>
      <c r="D501" s="30">
        <v>6.8718449817962546E-2</v>
      </c>
      <c r="E501" s="30">
        <v>7.2271793216508173E-2</v>
      </c>
      <c r="F501" s="30">
        <v>7.6066760834995986E-2</v>
      </c>
      <c r="G501" s="30">
        <v>8.0063274154622055E-2</v>
      </c>
      <c r="H501" s="30">
        <v>8.4225068802098693E-2</v>
      </c>
      <c r="I501" s="30">
        <v>8.8519045042053462E-2</v>
      </c>
      <c r="J501" s="30">
        <v>9.2914516987910062E-2</v>
      </c>
      <c r="K501" s="30">
        <v>9.7382732441670006E-2</v>
      </c>
      <c r="L501" s="30">
        <v>0.10189665481876328</v>
      </c>
      <c r="N501" s="1"/>
      <c r="O501" s="1"/>
      <c r="P501" s="1"/>
      <c r="Q501" s="1"/>
      <c r="R501" s="1"/>
      <c r="S501" s="1"/>
      <c r="T501" s="1"/>
      <c r="U501" s="1"/>
      <c r="V501" s="1"/>
      <c r="W501" s="68">
        <f t="shared" si="310"/>
        <v>0.95247505031359525</v>
      </c>
      <c r="Y501" s="24"/>
      <c r="Z501" s="24"/>
      <c r="AA501" s="24"/>
      <c r="AB501" s="24"/>
      <c r="AC501" s="24"/>
      <c r="AD501" s="24"/>
      <c r="AE501" s="24"/>
      <c r="AF501" s="24"/>
      <c r="AG501" s="24"/>
      <c r="AH501" s="24">
        <f t="shared" si="305"/>
        <v>0.10189665481876328</v>
      </c>
      <c r="AL501" s="23">
        <f t="shared" si="294"/>
        <v>0</v>
      </c>
      <c r="AM501" s="23">
        <f t="shared" si="295"/>
        <v>0</v>
      </c>
      <c r="AN501" s="23">
        <f t="shared" si="296"/>
        <v>0</v>
      </c>
      <c r="AO501" s="23">
        <f t="shared" si="297"/>
        <v>0</v>
      </c>
      <c r="AP501" s="23">
        <f t="shared" si="298"/>
        <v>0</v>
      </c>
      <c r="AQ501" s="23">
        <f t="shared" si="299"/>
        <v>0</v>
      </c>
      <c r="AR501" s="23">
        <f t="shared" si="300"/>
        <v>0</v>
      </c>
      <c r="AS501" s="23">
        <f t="shared" si="301"/>
        <v>0</v>
      </c>
      <c r="AT501" s="23">
        <f t="shared" si="302"/>
        <v>0</v>
      </c>
      <c r="AU501" s="23">
        <f t="shared" si="303"/>
        <v>16284.602520901422</v>
      </c>
      <c r="AW501" s="25"/>
      <c r="AX501" s="25"/>
      <c r="AY501" s="25"/>
      <c r="AZ501" s="25"/>
      <c r="BA501" s="25"/>
      <c r="BB501" s="25"/>
      <c r="BC501" s="25"/>
      <c r="BD501" s="25"/>
      <c r="BE501" s="25"/>
      <c r="BF501" s="25">
        <f t="shared" si="307"/>
        <v>16284.602520901422</v>
      </c>
      <c r="BG501" s="25">
        <f t="shared" si="308"/>
        <v>0</v>
      </c>
      <c r="BI501" s="25"/>
      <c r="BJ501" s="25"/>
      <c r="BK501" s="25"/>
      <c r="BL501" s="25"/>
      <c r="BM501" s="25"/>
      <c r="BN501" s="25"/>
      <c r="BO501" s="25"/>
      <c r="BP501" s="25"/>
      <c r="BQ501" s="25"/>
      <c r="BR501" s="25">
        <f t="shared" si="311"/>
        <v>16284.602520901422</v>
      </c>
      <c r="BS501" s="25">
        <f t="shared" si="312"/>
        <v>0</v>
      </c>
    </row>
    <row r="502" spans="1:71" x14ac:dyDescent="0.2">
      <c r="A502" s="29">
        <f t="shared" si="309"/>
        <v>4.9399999999999391</v>
      </c>
      <c r="B502" s="30">
        <v>6.1501992511014528E-2</v>
      </c>
      <c r="C502" s="30">
        <v>6.4524328584377885E-2</v>
      </c>
      <c r="D502" s="30">
        <v>6.786457780583488E-2</v>
      </c>
      <c r="E502" s="30">
        <v>7.1481032022826282E-2</v>
      </c>
      <c r="F502" s="30">
        <v>7.5330898947326586E-2</v>
      </c>
      <c r="G502" s="30">
        <v>7.9374500161514691E-2</v>
      </c>
      <c r="H502" s="30">
        <v>8.357595652839879E-2</v>
      </c>
      <c r="I502" s="30">
        <v>8.7902537062254441E-2</v>
      </c>
      <c r="J502" s="30">
        <v>9.2323913910002581E-2</v>
      </c>
      <c r="K502" s="30">
        <v>9.681168774709567E-2</v>
      </c>
      <c r="L502" s="30">
        <v>0.10133917311201847</v>
      </c>
      <c r="N502" s="1"/>
      <c r="O502" s="1"/>
      <c r="P502" s="1"/>
      <c r="Q502" s="1"/>
      <c r="R502" s="1"/>
      <c r="S502" s="1"/>
      <c r="T502" s="1"/>
      <c r="U502" s="1"/>
      <c r="V502" s="1"/>
      <c r="W502" s="68">
        <f t="shared" si="310"/>
        <v>0.95274704205370553</v>
      </c>
      <c r="Y502" s="24"/>
      <c r="Z502" s="24"/>
      <c r="AA502" s="24"/>
      <c r="AB502" s="24"/>
      <c r="AC502" s="24"/>
      <c r="AD502" s="24"/>
      <c r="AE502" s="24"/>
      <c r="AF502" s="24"/>
      <c r="AG502" s="24"/>
      <c r="AH502" s="24">
        <f t="shared" si="305"/>
        <v>0.10133917311201848</v>
      </c>
      <c r="AL502" s="23">
        <f t="shared" si="294"/>
        <v>0</v>
      </c>
      <c r="AM502" s="23">
        <f t="shared" si="295"/>
        <v>0</v>
      </c>
      <c r="AN502" s="23">
        <f t="shared" si="296"/>
        <v>0</v>
      </c>
      <c r="AO502" s="23">
        <f t="shared" si="297"/>
        <v>0</v>
      </c>
      <c r="AP502" s="23">
        <f t="shared" si="298"/>
        <v>0</v>
      </c>
      <c r="AQ502" s="23">
        <f t="shared" si="299"/>
        <v>0</v>
      </c>
      <c r="AR502" s="23">
        <f t="shared" si="300"/>
        <v>0</v>
      </c>
      <c r="AS502" s="23">
        <f t="shared" si="301"/>
        <v>0</v>
      </c>
      <c r="AT502" s="23">
        <f t="shared" si="302"/>
        <v>0</v>
      </c>
      <c r="AU502" s="23">
        <f t="shared" si="303"/>
        <v>16023.683279135841</v>
      </c>
      <c r="AW502" s="25"/>
      <c r="AX502" s="25"/>
      <c r="AY502" s="25"/>
      <c r="AZ502" s="25"/>
      <c r="BA502" s="25"/>
      <c r="BB502" s="25"/>
      <c r="BC502" s="25"/>
      <c r="BD502" s="25"/>
      <c r="BE502" s="25"/>
      <c r="BF502" s="25">
        <f t="shared" si="307"/>
        <v>16023.683279135841</v>
      </c>
      <c r="BG502" s="25">
        <f t="shared" si="308"/>
        <v>0</v>
      </c>
      <c r="BI502" s="25"/>
      <c r="BJ502" s="25"/>
      <c r="BK502" s="25"/>
      <c r="BL502" s="25"/>
      <c r="BM502" s="25"/>
      <c r="BN502" s="25"/>
      <c r="BO502" s="25"/>
      <c r="BP502" s="25"/>
      <c r="BQ502" s="25"/>
      <c r="BR502" s="25">
        <f t="shared" si="311"/>
        <v>16023.683279135841</v>
      </c>
      <c r="BS502" s="25">
        <f t="shared" si="312"/>
        <v>0</v>
      </c>
    </row>
    <row r="503" spans="1:71" x14ac:dyDescent="0.2">
      <c r="A503" s="29">
        <f t="shared" si="309"/>
        <v>4.9499999999999389</v>
      </c>
      <c r="B503" s="30">
        <v>6.053705343755849E-2</v>
      </c>
      <c r="C503" s="30">
        <v>6.3553754294841322E-2</v>
      </c>
      <c r="D503" s="30">
        <v>6.6889839900105413E-2</v>
      </c>
      <c r="E503" s="30">
        <v>7.0503481712014177E-2</v>
      </c>
      <c r="F503" s="30">
        <v>7.4351848185815458E-2</v>
      </c>
      <c r="G503" s="30">
        <v>7.8395233028985101E-2</v>
      </c>
      <c r="H503" s="30">
        <v>8.259771433270198E-2</v>
      </c>
      <c r="I503" s="30">
        <v>8.6926501968174447E-2</v>
      </c>
      <c r="J503" s="30">
        <v>9.1351198334227543E-2</v>
      </c>
      <c r="K503" s="30">
        <v>9.5843329266364546E-2</v>
      </c>
      <c r="L503" s="30">
        <v>0.10037613274054676</v>
      </c>
      <c r="N503" s="1"/>
      <c r="O503" s="1"/>
      <c r="P503" s="1"/>
      <c r="Q503" s="1"/>
      <c r="R503" s="1"/>
      <c r="S503" s="1"/>
      <c r="T503" s="1"/>
      <c r="U503" s="1"/>
      <c r="V503" s="1"/>
      <c r="W503" s="68">
        <f t="shared" si="310"/>
        <v>0.95320845408683741</v>
      </c>
      <c r="Y503" s="24"/>
      <c r="Z503" s="24"/>
      <c r="AA503" s="24"/>
      <c r="AB503" s="24"/>
      <c r="AC503" s="24"/>
      <c r="AD503" s="24"/>
      <c r="AE503" s="24"/>
      <c r="AF503" s="24"/>
      <c r="AG503" s="24"/>
      <c r="AH503" s="24">
        <f t="shared" si="305"/>
        <v>0.10037613274054676</v>
      </c>
      <c r="AL503" s="23">
        <f t="shared" si="294"/>
        <v>0</v>
      </c>
      <c r="AM503" s="23">
        <f t="shared" si="295"/>
        <v>0</v>
      </c>
      <c r="AN503" s="23">
        <f t="shared" si="296"/>
        <v>0</v>
      </c>
      <c r="AO503" s="23">
        <f t="shared" si="297"/>
        <v>0</v>
      </c>
      <c r="AP503" s="23">
        <f t="shared" si="298"/>
        <v>0</v>
      </c>
      <c r="AQ503" s="23">
        <f t="shared" si="299"/>
        <v>0</v>
      </c>
      <c r="AR503" s="23">
        <f t="shared" si="300"/>
        <v>0</v>
      </c>
      <c r="AS503" s="23">
        <f t="shared" si="301"/>
        <v>0</v>
      </c>
      <c r="AT503" s="23">
        <f t="shared" si="302"/>
        <v>0</v>
      </c>
      <c r="AU503" s="23">
        <f t="shared" si="303"/>
        <v>15572.454380592395</v>
      </c>
      <c r="AW503" s="25"/>
      <c r="AX503" s="25"/>
      <c r="AY503" s="25"/>
      <c r="AZ503" s="25"/>
      <c r="BA503" s="25"/>
      <c r="BB503" s="25"/>
      <c r="BC503" s="25"/>
      <c r="BD503" s="25"/>
      <c r="BE503" s="25"/>
      <c r="BF503" s="25">
        <f t="shared" si="307"/>
        <v>15572.454380592395</v>
      </c>
      <c r="BG503" s="25">
        <f t="shared" si="308"/>
        <v>0</v>
      </c>
      <c r="BI503" s="25"/>
      <c r="BJ503" s="25"/>
      <c r="BK503" s="25"/>
      <c r="BL503" s="25"/>
      <c r="BM503" s="25"/>
      <c r="BN503" s="25"/>
      <c r="BO503" s="25"/>
      <c r="BP503" s="25"/>
      <c r="BQ503" s="25"/>
      <c r="BR503" s="25">
        <f t="shared" si="311"/>
        <v>15572.454380592395</v>
      </c>
      <c r="BS503" s="25">
        <f t="shared" si="312"/>
        <v>0</v>
      </c>
    </row>
    <row r="504" spans="1:71" x14ac:dyDescent="0.2">
      <c r="A504" s="29">
        <f t="shared" si="309"/>
        <v>4.9599999999999387</v>
      </c>
      <c r="B504" s="30">
        <v>6.0983150936055906E-2</v>
      </c>
      <c r="C504" s="30">
        <v>6.4066431448098732E-2</v>
      </c>
      <c r="D504" s="30">
        <v>6.7453427960129056E-2</v>
      </c>
      <c r="E504" s="30">
        <v>7.1103021451269247E-2</v>
      </c>
      <c r="F504" s="30">
        <v>7.4973169634276332E-2</v>
      </c>
      <c r="G504" s="30">
        <v>7.9024966330575819E-2</v>
      </c>
      <c r="H504" s="30">
        <v>8.3223274818687923E-2</v>
      </c>
      <c r="I504" s="30">
        <v>8.7536073901248415E-2</v>
      </c>
      <c r="J504" s="30">
        <v>9.1933724413744755E-2</v>
      </c>
      <c r="K504" s="30">
        <v>9.638850560387488E-2</v>
      </c>
      <c r="L504" s="30">
        <v>0.10087440716448466</v>
      </c>
      <c r="N504" s="1"/>
      <c r="O504" s="1"/>
      <c r="P504" s="1"/>
      <c r="Q504" s="1"/>
      <c r="R504" s="1"/>
      <c r="S504" s="1"/>
      <c r="T504" s="1"/>
      <c r="U504" s="1"/>
      <c r="V504" s="1"/>
      <c r="W504" s="68">
        <f t="shared" si="310"/>
        <v>0.95294865615042645</v>
      </c>
      <c r="Y504" s="24"/>
      <c r="Z504" s="24"/>
      <c r="AA504" s="24"/>
      <c r="AB504" s="24"/>
      <c r="AC504" s="24"/>
      <c r="AD504" s="24"/>
      <c r="AE504" s="24"/>
      <c r="AF504" s="24"/>
      <c r="AG504" s="24"/>
      <c r="AH504" s="24">
        <f t="shared" si="305"/>
        <v>0.10087440716448466</v>
      </c>
      <c r="AL504" s="23">
        <f t="shared" si="294"/>
        <v>0</v>
      </c>
      <c r="AM504" s="23">
        <f t="shared" si="295"/>
        <v>0</v>
      </c>
      <c r="AN504" s="23">
        <f t="shared" si="296"/>
        <v>0</v>
      </c>
      <c r="AO504" s="23">
        <f t="shared" si="297"/>
        <v>0</v>
      </c>
      <c r="AP504" s="23">
        <f t="shared" si="298"/>
        <v>0</v>
      </c>
      <c r="AQ504" s="23">
        <f t="shared" si="299"/>
        <v>0</v>
      </c>
      <c r="AR504" s="23">
        <f t="shared" si="300"/>
        <v>0</v>
      </c>
      <c r="AS504" s="23">
        <f t="shared" si="301"/>
        <v>0</v>
      </c>
      <c r="AT504" s="23">
        <f t="shared" si="302"/>
        <v>0</v>
      </c>
      <c r="AU504" s="23">
        <f t="shared" si="303"/>
        <v>15805.625063610318</v>
      </c>
      <c r="AW504" s="25"/>
      <c r="AX504" s="25"/>
      <c r="AY504" s="25"/>
      <c r="AZ504" s="25"/>
      <c r="BA504" s="25"/>
      <c r="BB504" s="25"/>
      <c r="BC504" s="25"/>
      <c r="BD504" s="25"/>
      <c r="BE504" s="25"/>
      <c r="BF504" s="25">
        <f t="shared" si="307"/>
        <v>15805.625063610318</v>
      </c>
      <c r="BG504" s="25">
        <f t="shared" si="308"/>
        <v>0</v>
      </c>
      <c r="BI504" s="25"/>
      <c r="BJ504" s="25"/>
      <c r="BK504" s="25"/>
      <c r="BL504" s="25"/>
      <c r="BM504" s="25"/>
      <c r="BN504" s="25"/>
      <c r="BO504" s="25"/>
      <c r="BP504" s="25"/>
      <c r="BQ504" s="25"/>
      <c r="BR504" s="25">
        <f t="shared" si="311"/>
        <v>15805.625063610318</v>
      </c>
      <c r="BS504" s="25">
        <f t="shared" si="312"/>
        <v>0</v>
      </c>
    </row>
    <row r="505" spans="1:71" x14ac:dyDescent="0.2">
      <c r="A505" s="29">
        <f t="shared" si="309"/>
        <v>4.9699999999999385</v>
      </c>
      <c r="B505" s="30">
        <v>6.1229548678534688E-2</v>
      </c>
      <c r="C505" s="30">
        <v>6.4176517820948922E-2</v>
      </c>
      <c r="D505" s="30">
        <v>6.7445169975929378E-2</v>
      </c>
      <c r="E505" s="30">
        <v>7.0993578060174881E-2</v>
      </c>
      <c r="F505" s="30">
        <v>7.4778970083457019E-2</v>
      </c>
      <c r="G505" s="30">
        <v>7.8761720504995358E-2</v>
      </c>
      <c r="H505" s="30">
        <v>8.2905958287909656E-2</v>
      </c>
      <c r="I505" s="30">
        <v>8.7178911778744414E-2</v>
      </c>
      <c r="J505" s="30">
        <v>9.1550180971536652E-2</v>
      </c>
      <c r="K505" s="30">
        <v>9.5991279314649305E-2</v>
      </c>
      <c r="L505" s="30">
        <v>0.10047542903299478</v>
      </c>
      <c r="N505" s="1"/>
      <c r="O505" s="1"/>
      <c r="P505" s="1"/>
      <c r="Q505" s="1"/>
      <c r="R505" s="1"/>
      <c r="S505" s="1"/>
      <c r="T505" s="1"/>
      <c r="U505" s="1"/>
      <c r="V505" s="1"/>
      <c r="W505" s="68">
        <f t="shared" si="310"/>
        <v>0.95313794307649269</v>
      </c>
      <c r="Y505" s="24"/>
      <c r="Z505" s="24"/>
      <c r="AA505" s="24"/>
      <c r="AB505" s="24"/>
      <c r="AC505" s="24"/>
      <c r="AD505" s="24"/>
      <c r="AE505" s="24"/>
      <c r="AF505" s="24"/>
      <c r="AG505" s="24"/>
      <c r="AH505" s="24">
        <f t="shared" si="305"/>
        <v>0.10047542903299478</v>
      </c>
      <c r="AL505" s="23">
        <f t="shared" si="294"/>
        <v>0</v>
      </c>
      <c r="AM505" s="23">
        <f t="shared" si="295"/>
        <v>0</v>
      </c>
      <c r="AN505" s="23">
        <f t="shared" si="296"/>
        <v>0</v>
      </c>
      <c r="AO505" s="23">
        <f t="shared" si="297"/>
        <v>0</v>
      </c>
      <c r="AP505" s="23">
        <f t="shared" si="298"/>
        <v>0</v>
      </c>
      <c r="AQ505" s="23">
        <f t="shared" si="299"/>
        <v>0</v>
      </c>
      <c r="AR505" s="23">
        <f t="shared" si="300"/>
        <v>0</v>
      </c>
      <c r="AS505" s="23">
        <f t="shared" si="301"/>
        <v>0</v>
      </c>
      <c r="AT505" s="23">
        <f t="shared" si="302"/>
        <v>0</v>
      </c>
      <c r="AU505" s="23">
        <f t="shared" si="303"/>
        <v>15618.623982480705</v>
      </c>
      <c r="AW505" s="25"/>
      <c r="AX505" s="25"/>
      <c r="AY505" s="25"/>
      <c r="AZ505" s="25"/>
      <c r="BA505" s="25"/>
      <c r="BB505" s="25"/>
      <c r="BC505" s="25"/>
      <c r="BD505" s="25"/>
      <c r="BE505" s="25"/>
      <c r="BF505" s="25">
        <f t="shared" si="307"/>
        <v>15618.623982480705</v>
      </c>
      <c r="BG505" s="25">
        <f t="shared" si="308"/>
        <v>0</v>
      </c>
      <c r="BI505" s="25"/>
      <c r="BJ505" s="25"/>
      <c r="BK505" s="25"/>
      <c r="BL505" s="25"/>
      <c r="BM505" s="25"/>
      <c r="BN505" s="25"/>
      <c r="BO505" s="25"/>
      <c r="BP505" s="25"/>
      <c r="BQ505" s="25"/>
      <c r="BR505" s="25">
        <f t="shared" si="311"/>
        <v>15618.623982480705</v>
      </c>
      <c r="BS505" s="25">
        <f t="shared" si="312"/>
        <v>0</v>
      </c>
    </row>
    <row r="506" spans="1:71" x14ac:dyDescent="0.2">
      <c r="A506" s="29">
        <f t="shared" si="309"/>
        <v>4.9799999999999383</v>
      </c>
      <c r="B506" s="30">
        <v>6.1309359675939694E-2</v>
      </c>
      <c r="C506" s="30">
        <v>6.4231784146802501E-2</v>
      </c>
      <c r="D506" s="30">
        <v>6.7476303605797053E-2</v>
      </c>
      <c r="E506" s="30">
        <v>7.1000967017143146E-2</v>
      </c>
      <c r="F506" s="30">
        <v>7.4763055437198259E-2</v>
      </c>
      <c r="G506" s="30">
        <v>7.8723006206667806E-2</v>
      </c>
      <c r="H506" s="30">
        <v>8.2844996193212991E-2</v>
      </c>
      <c r="I506" s="30">
        <v>8.7096285622335623E-2</v>
      </c>
      <c r="J506" s="30">
        <v>9.1446496090220319E-2</v>
      </c>
      <c r="K506" s="30">
        <v>9.5867157755278737E-2</v>
      </c>
      <c r="L506" s="30">
        <v>0.10033150791003752</v>
      </c>
      <c r="N506" s="1"/>
      <c r="O506" s="1"/>
      <c r="P506" s="1"/>
      <c r="Q506" s="1"/>
      <c r="R506" s="1"/>
      <c r="S506" s="1"/>
      <c r="T506" s="1"/>
      <c r="U506" s="1"/>
      <c r="V506" s="1"/>
      <c r="W506" s="68">
        <f t="shared" si="310"/>
        <v>0.95319709739595015</v>
      </c>
      <c r="Y506" s="24"/>
      <c r="Z506" s="24"/>
      <c r="AA506" s="24"/>
      <c r="AB506" s="24"/>
      <c r="AC506" s="24"/>
      <c r="AD506" s="24"/>
      <c r="AE506" s="24"/>
      <c r="AF506" s="24"/>
      <c r="AG506" s="24"/>
      <c r="AH506" s="24">
        <f t="shared" si="305"/>
        <v>0.1003315079100375</v>
      </c>
      <c r="AL506" s="23">
        <f t="shared" si="294"/>
        <v>0</v>
      </c>
      <c r="AM506" s="23">
        <f t="shared" si="295"/>
        <v>0</v>
      </c>
      <c r="AN506" s="23">
        <f t="shared" si="296"/>
        <v>0</v>
      </c>
      <c r="AO506" s="23">
        <f t="shared" si="297"/>
        <v>0</v>
      </c>
      <c r="AP506" s="23">
        <f t="shared" si="298"/>
        <v>0</v>
      </c>
      <c r="AQ506" s="23">
        <f t="shared" si="299"/>
        <v>0</v>
      </c>
      <c r="AR506" s="23">
        <f t="shared" si="300"/>
        <v>0</v>
      </c>
      <c r="AS506" s="23">
        <f t="shared" si="301"/>
        <v>0</v>
      </c>
      <c r="AT506" s="23">
        <f t="shared" si="302"/>
        <v>0</v>
      </c>
      <c r="AU506" s="23">
        <f t="shared" si="303"/>
        <v>15551.00071821275</v>
      </c>
      <c r="AW506" s="25"/>
      <c r="AX506" s="25"/>
      <c r="AY506" s="25"/>
      <c r="AZ506" s="25"/>
      <c r="BA506" s="25"/>
      <c r="BB506" s="25"/>
      <c r="BC506" s="25"/>
      <c r="BD506" s="25"/>
      <c r="BE506" s="25"/>
      <c r="BF506" s="25">
        <f t="shared" si="307"/>
        <v>15551.00071821275</v>
      </c>
      <c r="BG506" s="25">
        <f t="shared" si="308"/>
        <v>0</v>
      </c>
      <c r="BI506" s="25"/>
      <c r="BJ506" s="25"/>
      <c r="BK506" s="25"/>
      <c r="BL506" s="25"/>
      <c r="BM506" s="25"/>
      <c r="BN506" s="25"/>
      <c r="BO506" s="25"/>
      <c r="BP506" s="25"/>
      <c r="BQ506" s="25"/>
      <c r="BR506" s="25">
        <f t="shared" si="311"/>
        <v>15551.00071821275</v>
      </c>
      <c r="BS506" s="25">
        <f t="shared" si="312"/>
        <v>0</v>
      </c>
    </row>
    <row r="507" spans="1:71" x14ac:dyDescent="0.2">
      <c r="A507" s="29">
        <f t="shared" si="309"/>
        <v>4.989999999999938</v>
      </c>
      <c r="B507" s="30">
        <v>6.0561034493170754E-2</v>
      </c>
      <c r="C507" s="30">
        <v>6.3512451941571693E-2</v>
      </c>
      <c r="D507" s="30">
        <v>6.6786867715890388E-2</v>
      </c>
      <c r="E507" s="30">
        <v>7.0342188127193311E-2</v>
      </c>
      <c r="F507" s="30">
        <v>7.4135627234466178E-2</v>
      </c>
      <c r="G507" s="30">
        <v>7.8127564719705805E-2</v>
      </c>
      <c r="H507" s="30">
        <v>8.2282104793947541E-2</v>
      </c>
      <c r="I507" s="30">
        <v>8.656641911545869E-2</v>
      </c>
      <c r="J507" s="30">
        <v>9.095003054407387E-2</v>
      </c>
      <c r="K507" s="30">
        <v>9.5404365674749192E-2</v>
      </c>
      <c r="L507" s="30">
        <v>9.9902556619742497E-2</v>
      </c>
      <c r="N507" s="1"/>
      <c r="O507" s="1"/>
      <c r="P507" s="1"/>
      <c r="Q507" s="1"/>
      <c r="R507" s="1"/>
      <c r="S507" s="1"/>
      <c r="T507" s="1"/>
      <c r="U507" s="1"/>
      <c r="V507" s="1"/>
      <c r="W507" s="68">
        <f t="shared" si="310"/>
        <v>0.9534176889509014</v>
      </c>
      <c r="Y507" s="24"/>
      <c r="Z507" s="24"/>
      <c r="AA507" s="24"/>
      <c r="AB507" s="24"/>
      <c r="AC507" s="24"/>
      <c r="AD507" s="24"/>
      <c r="AE507" s="24"/>
      <c r="AF507" s="24"/>
      <c r="AG507" s="24"/>
      <c r="AH507" s="24">
        <f t="shared" si="305"/>
        <v>9.9902556619742497E-2</v>
      </c>
      <c r="AL507" s="23">
        <f t="shared" si="294"/>
        <v>0</v>
      </c>
      <c r="AM507" s="23">
        <f t="shared" si="295"/>
        <v>0</v>
      </c>
      <c r="AN507" s="23">
        <f t="shared" si="296"/>
        <v>0</v>
      </c>
      <c r="AO507" s="23">
        <f t="shared" si="297"/>
        <v>0</v>
      </c>
      <c r="AP507" s="23">
        <f t="shared" si="298"/>
        <v>0</v>
      </c>
      <c r="AQ507" s="23">
        <f t="shared" si="299"/>
        <v>0</v>
      </c>
      <c r="AR507" s="23">
        <f t="shared" si="300"/>
        <v>0</v>
      </c>
      <c r="AS507" s="23">
        <f t="shared" si="301"/>
        <v>0</v>
      </c>
      <c r="AT507" s="23">
        <f t="shared" si="302"/>
        <v>0</v>
      </c>
      <c r="AU507" s="23">
        <f t="shared" si="303"/>
        <v>15350.11470063281</v>
      </c>
      <c r="AW507" s="25"/>
      <c r="AX507" s="25"/>
      <c r="AY507" s="25"/>
      <c r="AZ507" s="25"/>
      <c r="BA507" s="25"/>
      <c r="BB507" s="25"/>
      <c r="BC507" s="25"/>
      <c r="BD507" s="25"/>
      <c r="BE507" s="25"/>
      <c r="BF507" s="25">
        <f t="shared" si="307"/>
        <v>15350.11470063281</v>
      </c>
      <c r="BG507" s="25">
        <f t="shared" si="308"/>
        <v>0</v>
      </c>
      <c r="BI507" s="25"/>
      <c r="BJ507" s="25"/>
      <c r="BK507" s="25"/>
      <c r="BL507" s="25"/>
      <c r="BM507" s="25"/>
      <c r="BN507" s="25"/>
      <c r="BO507" s="25"/>
      <c r="BP507" s="25"/>
      <c r="BQ507" s="25"/>
      <c r="BR507" s="25">
        <f t="shared" si="311"/>
        <v>15350.11470063281</v>
      </c>
      <c r="BS507" s="25">
        <f t="shared" si="312"/>
        <v>0</v>
      </c>
    </row>
    <row r="508" spans="1:71" x14ac:dyDescent="0.2">
      <c r="A508" s="29">
        <f t="shared" si="309"/>
        <v>4.9999999999999378</v>
      </c>
      <c r="B508" s="30">
        <v>6.0302486366672632E-2</v>
      </c>
      <c r="C508" s="30">
        <v>6.324369643384474E-2</v>
      </c>
      <c r="D508" s="30">
        <v>6.6509178397052504E-2</v>
      </c>
      <c r="E508" s="30">
        <v>7.0056744714652272E-2</v>
      </c>
      <c r="F508" s="30">
        <v>7.3843589922358871E-2</v>
      </c>
      <c r="G508" s="30">
        <v>7.7830083030829736E-2</v>
      </c>
      <c r="H508" s="30">
        <v>8.1980302563589819E-2</v>
      </c>
      <c r="I508" s="30">
        <v>8.6261378695617133E-2</v>
      </c>
      <c r="J508" s="30">
        <v>9.0642782741181815E-2</v>
      </c>
      <c r="K508" s="30">
        <v>9.5095884986775736E-2</v>
      </c>
      <c r="L508" s="30">
        <v>9.9593759644462723E-2</v>
      </c>
      <c r="N508" s="1"/>
      <c r="O508" s="1"/>
      <c r="P508" s="1"/>
      <c r="Q508" s="1"/>
      <c r="R508" s="1"/>
      <c r="S508" s="1"/>
      <c r="T508" s="1"/>
      <c r="U508" s="1"/>
      <c r="V508" s="1"/>
      <c r="W508" s="68">
        <f t="shared" si="310"/>
        <v>0.95356475576473465</v>
      </c>
      <c r="Y508" s="24"/>
      <c r="Z508" s="24"/>
      <c r="AA508" s="24"/>
      <c r="AB508" s="24"/>
      <c r="AC508" s="24"/>
      <c r="AD508" s="24"/>
      <c r="AE508" s="24"/>
      <c r="AF508" s="24"/>
      <c r="AG508" s="24"/>
      <c r="AH508" s="24">
        <f t="shared" si="305"/>
        <v>9.9593759644462723E-2</v>
      </c>
      <c r="AL508" s="23">
        <f t="shared" si="294"/>
        <v>0</v>
      </c>
      <c r="AM508" s="23">
        <f t="shared" si="295"/>
        <v>0</v>
      </c>
      <c r="AN508" s="23">
        <f t="shared" si="296"/>
        <v>0</v>
      </c>
      <c r="AO508" s="23">
        <f t="shared" si="297"/>
        <v>0</v>
      </c>
      <c r="AP508" s="23">
        <f t="shared" si="298"/>
        <v>0</v>
      </c>
      <c r="AQ508" s="23">
        <f t="shared" si="299"/>
        <v>0</v>
      </c>
      <c r="AR508" s="23">
        <f t="shared" si="300"/>
        <v>0</v>
      </c>
      <c r="AS508" s="23">
        <f t="shared" si="301"/>
        <v>0</v>
      </c>
      <c r="AT508" s="23">
        <f t="shared" si="302"/>
        <v>0</v>
      </c>
      <c r="AU508" s="23">
        <f t="shared" si="303"/>
        <v>15205.253534047344</v>
      </c>
      <c r="AW508" s="25"/>
      <c r="AX508" s="25"/>
      <c r="AY508" s="25"/>
      <c r="AZ508" s="25"/>
      <c r="BA508" s="25"/>
      <c r="BB508" s="25"/>
      <c r="BC508" s="25"/>
      <c r="BD508" s="25"/>
      <c r="BE508" s="25"/>
      <c r="BF508" s="25">
        <f t="shared" si="307"/>
        <v>15205.253534047344</v>
      </c>
      <c r="BG508" s="25">
        <f t="shared" si="308"/>
        <v>0</v>
      </c>
      <c r="BI508" s="25"/>
      <c r="BJ508" s="25"/>
      <c r="BK508" s="25"/>
      <c r="BL508" s="25"/>
      <c r="BM508" s="25"/>
      <c r="BN508" s="25"/>
      <c r="BO508" s="25"/>
      <c r="BP508" s="25"/>
      <c r="BQ508" s="25"/>
      <c r="BR508" s="25">
        <f t="shared" si="311"/>
        <v>15205.253534047344</v>
      </c>
      <c r="BS508" s="25">
        <f t="shared" si="312"/>
        <v>0</v>
      </c>
    </row>
  </sheetData>
  <mergeCells count="5">
    <mergeCell ref="BI6:BS6"/>
    <mergeCell ref="AW6:BG6"/>
    <mergeCell ref="Y6:AH6"/>
    <mergeCell ref="AK6:AU6"/>
    <mergeCell ref="N6:W6"/>
  </mergeCells>
  <conditionalFormatting sqref="AW8:BG508">
    <cfRule type="cellIs" dxfId="0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2"/>
  <sheetViews>
    <sheetView workbookViewId="0">
      <selection activeCell="C3" sqref="C3"/>
    </sheetView>
  </sheetViews>
  <sheetFormatPr defaultRowHeight="12.75" x14ac:dyDescent="0.2"/>
  <sheetData>
    <row r="1" spans="1:6" x14ac:dyDescent="0.2">
      <c r="A1" t="str">
        <f>'BOOTSTRAP PD'!A6</f>
        <v>TIME ( in Years)</v>
      </c>
      <c r="B1" t="str">
        <f>'BOOTSTRAP PD'!C6</f>
        <v>CDS</v>
      </c>
      <c r="C1" s="2" t="s">
        <v>0</v>
      </c>
      <c r="D1" t="str">
        <f>'BOOTSTRAP PD'!E6</f>
        <v>Lambda</v>
      </c>
      <c r="E1" t="str">
        <f>'BOOTSTRAP PD'!F6</f>
        <v>PD</v>
      </c>
      <c r="F1" t="str">
        <f>'BOOTSTRAP PD'!H6</f>
        <v>P_cum</v>
      </c>
    </row>
    <row r="2" spans="1:6" x14ac:dyDescent="0.2">
      <c r="A2">
        <f>'BOOTSTRAP PD'!A7</f>
        <v>0</v>
      </c>
      <c r="B2">
        <f>'BOOTSTRAP PD'!C7</f>
        <v>0</v>
      </c>
      <c r="C2">
        <f>'BOOTSTRAP PD'!D7</f>
        <v>1</v>
      </c>
      <c r="D2">
        <f>'BOOTSTRAP PD'!E7</f>
        <v>0</v>
      </c>
      <c r="E2">
        <f>'BOOTSTRAP PD'!F7</f>
        <v>0</v>
      </c>
      <c r="F2">
        <f>'BOOTSTRAP PD'!H7</f>
        <v>1</v>
      </c>
    </row>
    <row r="3" spans="1:6" x14ac:dyDescent="0.2">
      <c r="A3">
        <f>'BOOTSTRAP PD'!A8</f>
        <v>0.5</v>
      </c>
      <c r="B3">
        <f>'BOOTSTRAP PD'!C8</f>
        <v>114.4</v>
      </c>
      <c r="C3">
        <f>'BOOTSTRAP PD'!D8</f>
        <v>0.99583479331400004</v>
      </c>
      <c r="D3">
        <f>'BOOTSTRAP PD'!E8</f>
        <v>1.8976355744616674E-2</v>
      </c>
      <c r="E3">
        <f>'BOOTSTRAP PD'!F8</f>
        <v>9.4433071386118561E-3</v>
      </c>
      <c r="F3">
        <f>'BOOTSTRAP PD'!H8</f>
        <v>0.99055669286138814</v>
      </c>
    </row>
    <row r="4" spans="1:6" x14ac:dyDescent="0.2">
      <c r="A4">
        <f>'BOOTSTRAP PD'!A9</f>
        <v>1</v>
      </c>
      <c r="B4">
        <f>'BOOTSTRAP PD'!C9</f>
        <v>141.76</v>
      </c>
      <c r="C4">
        <f>'BOOTSTRAP PD'!D9</f>
        <v>0.99096300549399996</v>
      </c>
      <c r="D4">
        <f>'BOOTSTRAP PD'!E9</f>
        <v>2.8075876861832501E-2</v>
      </c>
      <c r="E4">
        <f>'BOOTSTRAP PD'!F9</f>
        <v>1.380822758474165E-2</v>
      </c>
      <c r="F4">
        <f>'BOOTSTRAP PD'!H9</f>
        <v>0.97674846527664649</v>
      </c>
    </row>
    <row r="5" spans="1:6" x14ac:dyDescent="0.2">
      <c r="A5">
        <f>'BOOTSTRAP PD'!A10</f>
        <v>1.5</v>
      </c>
      <c r="B5">
        <f>'BOOTSTRAP PD'!C10</f>
        <v>153.56</v>
      </c>
      <c r="C5">
        <f>'BOOTSTRAP PD'!D10</f>
        <v>0.98569666301900005</v>
      </c>
      <c r="D5">
        <f>'BOOTSTRAP PD'!E10</f>
        <v>2.9427109034609975E-2</v>
      </c>
      <c r="E5">
        <f>'BOOTSTRAP PD'!F10</f>
        <v>1.4266230938006053E-2</v>
      </c>
      <c r="F5">
        <f>'BOOTSTRAP PD'!H10</f>
        <v>0.96248223433864044</v>
      </c>
    </row>
    <row r="6" spans="1:6" x14ac:dyDescent="0.2">
      <c r="A6">
        <f>'BOOTSTRAP PD'!A11</f>
        <v>2</v>
      </c>
      <c r="B6">
        <f>'BOOTSTRAP PD'!C11</f>
        <v>165.36</v>
      </c>
      <c r="C6">
        <f>'BOOTSTRAP PD'!D11</f>
        <v>0.98010503953600003</v>
      </c>
      <c r="D6">
        <f>'BOOTSTRAP PD'!E11</f>
        <v>3.3433344579941376E-2</v>
      </c>
      <c r="E6">
        <f>'BOOTSTRAP PD'!F11</f>
        <v>1.595576488566175E-2</v>
      </c>
      <c r="F6">
        <f>'BOOTSTRAP PD'!H11</f>
        <v>0.94652646945297869</v>
      </c>
    </row>
    <row r="7" spans="1:6" x14ac:dyDescent="0.2">
      <c r="A7">
        <f>'BOOTSTRAP PD'!A12</f>
        <v>2.5</v>
      </c>
      <c r="B7">
        <f>'BOOTSTRAP PD'!C12</f>
        <v>176.96</v>
      </c>
      <c r="C7">
        <f>'BOOTSTRAP PD'!D12</f>
        <v>0.97410111162099999</v>
      </c>
      <c r="D7">
        <f>'BOOTSTRAP PD'!E12</f>
        <v>3.7326741234251164E-2</v>
      </c>
      <c r="E7">
        <f>'BOOTSTRAP PD'!F12</f>
        <v>1.7501547355309732E-2</v>
      </c>
      <c r="F7">
        <f>'BOOTSTRAP PD'!H12</f>
        <v>0.92902492209766896</v>
      </c>
    </row>
    <row r="8" spans="1:6" x14ac:dyDescent="0.2">
      <c r="A8">
        <f>'BOOTSTRAP PD'!A13</f>
        <v>3</v>
      </c>
      <c r="B8">
        <f>'BOOTSTRAP PD'!C13</f>
        <v>188.56</v>
      </c>
      <c r="C8">
        <f>'BOOTSTRAP PD'!D13</f>
        <v>0.96783236118000004</v>
      </c>
      <c r="D8">
        <f>'BOOTSTRAP PD'!E13</f>
        <v>4.1391094897336667E-2</v>
      </c>
      <c r="E8">
        <f>'BOOTSTRAP PD'!F13</f>
        <v>1.9029091439715762E-2</v>
      </c>
      <c r="F8">
        <f>'BOOTSTRAP PD'!H13</f>
        <v>0.9099958306579532</v>
      </c>
    </row>
    <row r="9" spans="1:6" x14ac:dyDescent="0.2">
      <c r="A9">
        <f>'BOOTSTRAP PD'!A14</f>
        <v>3.5</v>
      </c>
      <c r="B9">
        <f>'BOOTSTRAP PD'!C14</f>
        <v>197.94</v>
      </c>
      <c r="C9">
        <f>'BOOTSTRAP PD'!D14</f>
        <v>0.96123247030000003</v>
      </c>
      <c r="D9">
        <f>'BOOTSTRAP PD'!E14</f>
        <v>4.2784111287440856E-2</v>
      </c>
      <c r="E9">
        <f>'BOOTSTRAP PD'!F14</f>
        <v>1.9259942096119254E-2</v>
      </c>
      <c r="F9">
        <f>'BOOTSTRAP PD'!H14</f>
        <v>0.89073588856183394</v>
      </c>
    </row>
    <row r="10" spans="1:6" x14ac:dyDescent="0.2">
      <c r="A10">
        <f>'BOOTSTRAP PD'!A15</f>
        <v>4</v>
      </c>
      <c r="B10">
        <f>'BOOTSTRAP PD'!C15</f>
        <v>207.32</v>
      </c>
      <c r="C10">
        <f>'BOOTSTRAP PD'!D15</f>
        <v>0.95423927873100001</v>
      </c>
      <c r="D10">
        <f>'BOOTSTRAP PD'!E15</f>
        <v>4.6198773968016346E-2</v>
      </c>
      <c r="E10">
        <f>'BOOTSTRAP PD'!F15</f>
        <v>2.0339632077653658E-2</v>
      </c>
      <c r="F10">
        <f>'BOOTSTRAP PD'!H15</f>
        <v>0.87039625648418029</v>
      </c>
    </row>
    <row r="11" spans="1:6" x14ac:dyDescent="0.2">
      <c r="A11">
        <f>'BOOTSTRAP PD'!A16</f>
        <v>4.5</v>
      </c>
      <c r="B11">
        <f>'BOOTSTRAP PD'!C16</f>
        <v>212.85</v>
      </c>
      <c r="C11">
        <f>'BOOTSTRAP PD'!D16</f>
        <v>0.94689889010399997</v>
      </c>
      <c r="D11">
        <f>'BOOTSTRAP PD'!E16</f>
        <v>4.3347870881394558E-2</v>
      </c>
      <c r="E11">
        <f>'BOOTSTRAP PD'!F16</f>
        <v>1.866194285224998E-2</v>
      </c>
      <c r="F11">
        <f>'BOOTSTRAP PD'!H16</f>
        <v>0.85173431363193031</v>
      </c>
    </row>
    <row r="12" spans="1:6" x14ac:dyDescent="0.2">
      <c r="A12">
        <f>'BOOTSTRAP PD'!A17</f>
        <v>5</v>
      </c>
      <c r="B12">
        <f>'BOOTSTRAP PD'!C17</f>
        <v>218.38</v>
      </c>
      <c r="C12">
        <f>'BOOTSTRAP PD'!D17</f>
        <v>0.93918722794499998</v>
      </c>
      <c r="D12">
        <f>'BOOTSTRAP PD'!E17</f>
        <v>4.5435152579595739E-2</v>
      </c>
      <c r="E12">
        <f>'BOOTSTRAP PD'!F17</f>
        <v>1.9131209121559301E-2</v>
      </c>
      <c r="F12">
        <f>'BOOTSTRAP PD'!H17</f>
        <v>0.83260310451037101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L12"/>
  <sheetViews>
    <sheetView workbookViewId="0">
      <selection activeCell="W20" sqref="W20"/>
    </sheetView>
  </sheetViews>
  <sheetFormatPr defaultRowHeight="12.75" x14ac:dyDescent="0.2"/>
  <sheetData>
    <row r="2" spans="1:12" x14ac:dyDescent="0.2">
      <c r="A2" s="107">
        <v>0</v>
      </c>
      <c r="B2" s="108">
        <v>0</v>
      </c>
      <c r="C2" s="108">
        <v>0.97795500000000002</v>
      </c>
      <c r="D2" s="108">
        <v>0.95384400000000003</v>
      </c>
      <c r="E2" s="108">
        <v>0.92835999999999996</v>
      </c>
      <c r="F2" s="108">
        <v>0.90182799999999996</v>
      </c>
      <c r="G2" s="108">
        <v>0.87418499999999999</v>
      </c>
      <c r="H2" s="108">
        <v>0.84580599999999995</v>
      </c>
      <c r="I2" s="108">
        <v>0.81682399999999999</v>
      </c>
      <c r="J2" s="108">
        <v>0.78730900000000004</v>
      </c>
      <c r="K2" s="108">
        <v>0.75732699999999997</v>
      </c>
      <c r="L2" s="109">
        <v>0.72702599999999995</v>
      </c>
    </row>
    <row r="3" spans="1:12" x14ac:dyDescent="0.2">
      <c r="A3" s="110">
        <v>0.5</v>
      </c>
      <c r="B3" s="111">
        <v>0</v>
      </c>
      <c r="C3" s="111">
        <v>0</v>
      </c>
      <c r="D3" s="111">
        <v>0.97534500000000002</v>
      </c>
      <c r="E3" s="111">
        <v>0.94928599999999996</v>
      </c>
      <c r="F3" s="111">
        <v>0.92215599999999998</v>
      </c>
      <c r="G3" s="111">
        <v>0.89389099999999999</v>
      </c>
      <c r="H3" s="111">
        <v>0.86487099999999995</v>
      </c>
      <c r="I3" s="111">
        <v>0.83523599999999998</v>
      </c>
      <c r="J3" s="111">
        <v>0.80505599999999999</v>
      </c>
      <c r="K3" s="111">
        <v>0.77439899999999995</v>
      </c>
      <c r="L3" s="112">
        <v>0.74341400000000002</v>
      </c>
    </row>
    <row r="4" spans="1:12" x14ac:dyDescent="0.2">
      <c r="A4" s="113">
        <v>1</v>
      </c>
      <c r="B4" s="114">
        <v>0</v>
      </c>
      <c r="C4" s="114">
        <v>0</v>
      </c>
      <c r="D4" s="114">
        <v>0</v>
      </c>
      <c r="E4" s="114">
        <v>0.97328300000000001</v>
      </c>
      <c r="F4" s="114">
        <v>0.94546699999999995</v>
      </c>
      <c r="G4" s="114">
        <v>0.91648700000000005</v>
      </c>
      <c r="H4" s="114">
        <v>0.88673400000000002</v>
      </c>
      <c r="I4" s="114">
        <v>0.85634999999999994</v>
      </c>
      <c r="J4" s="114">
        <v>0.825407</v>
      </c>
      <c r="K4" s="114">
        <v>0.79397399999999996</v>
      </c>
      <c r="L4" s="115">
        <v>0.76220600000000005</v>
      </c>
    </row>
    <row r="5" spans="1:12" x14ac:dyDescent="0.2">
      <c r="A5" s="110">
        <v>1.5</v>
      </c>
      <c r="B5" s="111">
        <v>0</v>
      </c>
      <c r="C5" s="111">
        <v>0</v>
      </c>
      <c r="D5" s="111">
        <v>0</v>
      </c>
      <c r="E5" s="111">
        <v>0</v>
      </c>
      <c r="F5" s="111">
        <v>0.97141999999999995</v>
      </c>
      <c r="G5" s="111">
        <v>0.94164499999999995</v>
      </c>
      <c r="H5" s="111">
        <v>0.91107499999999997</v>
      </c>
      <c r="I5" s="111">
        <v>0.879857</v>
      </c>
      <c r="J5" s="111">
        <v>0.84806499999999996</v>
      </c>
      <c r="K5" s="111">
        <v>0.81576899999999997</v>
      </c>
      <c r="L5" s="112">
        <v>0.78312899999999996</v>
      </c>
    </row>
    <row r="6" spans="1:12" x14ac:dyDescent="0.2">
      <c r="A6" s="113">
        <v>2</v>
      </c>
      <c r="B6" s="114">
        <v>0</v>
      </c>
      <c r="C6" s="114">
        <v>0</v>
      </c>
      <c r="D6" s="114">
        <v>0</v>
      </c>
      <c r="E6" s="114">
        <v>0</v>
      </c>
      <c r="F6" s="114">
        <v>0</v>
      </c>
      <c r="G6" s="114">
        <v>0.96934900000000002</v>
      </c>
      <c r="H6" s="114">
        <v>0.93787900000000002</v>
      </c>
      <c r="I6" s="114">
        <v>0.90574299999999996</v>
      </c>
      <c r="J6" s="114">
        <v>0.87301499999999999</v>
      </c>
      <c r="K6" s="114">
        <v>0.83976899999999999</v>
      </c>
      <c r="L6" s="115">
        <v>0.80616900000000002</v>
      </c>
    </row>
    <row r="7" spans="1:12" x14ac:dyDescent="0.2">
      <c r="A7" s="110">
        <v>2.5</v>
      </c>
      <c r="B7" s="111">
        <v>0</v>
      </c>
      <c r="C7" s="111">
        <v>0</v>
      </c>
      <c r="D7" s="111">
        <v>0</v>
      </c>
      <c r="E7" s="111">
        <v>0</v>
      </c>
      <c r="F7" s="111">
        <v>0</v>
      </c>
      <c r="G7" s="111">
        <v>0</v>
      </c>
      <c r="H7" s="111">
        <v>0.96753599999999995</v>
      </c>
      <c r="I7" s="111">
        <v>0.93438299999999996</v>
      </c>
      <c r="J7" s="111">
        <v>0.90061999999999998</v>
      </c>
      <c r="K7" s="111">
        <v>0.86632399999999998</v>
      </c>
      <c r="L7" s="112">
        <v>0.83166099999999998</v>
      </c>
    </row>
    <row r="8" spans="1:12" x14ac:dyDescent="0.2">
      <c r="A8" s="113">
        <v>3</v>
      </c>
      <c r="B8" s="114">
        <v>0</v>
      </c>
      <c r="C8" s="114">
        <v>0</v>
      </c>
      <c r="D8" s="114">
        <v>0</v>
      </c>
      <c r="E8" s="114">
        <v>0</v>
      </c>
      <c r="F8" s="114">
        <v>0</v>
      </c>
      <c r="G8" s="114">
        <v>0</v>
      </c>
      <c r="H8" s="114">
        <v>0</v>
      </c>
      <c r="I8" s="114">
        <v>0.96573500000000001</v>
      </c>
      <c r="J8" s="114">
        <v>0.93084</v>
      </c>
      <c r="K8" s="114">
        <v>0.89539199999999997</v>
      </c>
      <c r="L8" s="115">
        <v>0.85956600000000005</v>
      </c>
    </row>
    <row r="9" spans="1:12" x14ac:dyDescent="0.2">
      <c r="A9" s="110">
        <v>3.5</v>
      </c>
      <c r="B9" s="111">
        <v>0</v>
      </c>
      <c r="C9" s="111">
        <v>0</v>
      </c>
      <c r="D9" s="111">
        <v>0</v>
      </c>
      <c r="E9" s="111">
        <v>0</v>
      </c>
      <c r="F9" s="111">
        <v>0</v>
      </c>
      <c r="G9" s="111">
        <v>0</v>
      </c>
      <c r="H9" s="111">
        <v>0</v>
      </c>
      <c r="I9" s="111">
        <v>0</v>
      </c>
      <c r="J9" s="111">
        <v>0.96386700000000003</v>
      </c>
      <c r="K9" s="111">
        <v>0.92716100000000001</v>
      </c>
      <c r="L9" s="112">
        <v>0.89006399999999997</v>
      </c>
    </row>
    <row r="10" spans="1:12" x14ac:dyDescent="0.2">
      <c r="A10" s="113">
        <v>4</v>
      </c>
      <c r="B10" s="114">
        <v>0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0.96191899999999997</v>
      </c>
      <c r="L10" s="115">
        <v>0.923431</v>
      </c>
    </row>
    <row r="11" spans="1:12" x14ac:dyDescent="0.2">
      <c r="A11" s="110">
        <v>4.5</v>
      </c>
      <c r="B11" s="111">
        <v>0</v>
      </c>
      <c r="C11" s="111">
        <v>0</v>
      </c>
      <c r="D11" s="111">
        <v>0</v>
      </c>
      <c r="E11" s="111">
        <v>0</v>
      </c>
      <c r="F11" s="111">
        <v>0</v>
      </c>
      <c r="G11" s="111">
        <v>0</v>
      </c>
      <c r="H11" s="111">
        <v>0</v>
      </c>
      <c r="I11" s="111">
        <v>0</v>
      </c>
      <c r="J11" s="111">
        <v>0</v>
      </c>
      <c r="K11" s="111">
        <v>0</v>
      </c>
      <c r="L11" s="112">
        <v>0.95998899999999998</v>
      </c>
    </row>
    <row r="12" spans="1:12" x14ac:dyDescent="0.2">
      <c r="A12" s="116">
        <v>5</v>
      </c>
      <c r="B12" s="117">
        <v>0</v>
      </c>
      <c r="C12" s="117">
        <v>0</v>
      </c>
      <c r="D12" s="117">
        <v>0</v>
      </c>
      <c r="E12" s="117">
        <v>0</v>
      </c>
      <c r="F12" s="117">
        <v>0</v>
      </c>
      <c r="G12" s="117">
        <v>0</v>
      </c>
      <c r="H12" s="117">
        <v>0</v>
      </c>
      <c r="I12" s="117">
        <v>0</v>
      </c>
      <c r="J12" s="117">
        <v>0</v>
      </c>
      <c r="K12" s="117">
        <v>0</v>
      </c>
      <c r="L12" s="118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BOOTSTRAP PD</vt:lpstr>
      <vt:lpstr>Sheet1</vt:lpstr>
      <vt:lpstr>IRS</vt:lpstr>
      <vt:lpstr>CVA</vt:lpstr>
      <vt:lpstr>webex</vt:lpstr>
      <vt:lpstr>data</vt:lpstr>
      <vt:lpstr>py_input</vt:lpstr>
      <vt:lpstr>Sheet3</vt:lpstr>
      <vt:lpstr>'BOOTSTRAP PD'!dt</vt:lpstr>
      <vt:lpstr>dt</vt:lpstr>
      <vt:lpstr>fix</vt:lpstr>
      <vt:lpstr>N</vt:lpstr>
      <vt:lpstr>'BOOTSTRAP PD'!RR</vt:lpstr>
      <vt:lpstr>Swap_FixedLeg</vt:lpstr>
      <vt:lpstr>Swap_Tau</vt:lpstr>
      <vt:lpstr>time</vt:lpstr>
      <vt:lpstr>time_step</vt:lpstr>
    </vt:vector>
  </TitlesOfParts>
  <Company>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ozpeynirci</dc:creator>
  <cp:lastModifiedBy>Emrah Ozpeynirci</cp:lastModifiedBy>
  <cp:lastPrinted>2008-11-05T23:48:52Z</cp:lastPrinted>
  <dcterms:created xsi:type="dcterms:W3CDTF">2008-10-19T13:24:22Z</dcterms:created>
  <dcterms:modified xsi:type="dcterms:W3CDTF">2017-12-01T14:32:00Z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-1184678814</vt:i4>
  </property>
  <property fmtid="{D5CDD505-2E9C-101B-9397-08002B2CF9AE}" pid="3" name="_NewReviewCycle">
    <vt:lpwstr/>
  </property>
  <property fmtid="{D5CDD505-2E9C-101B-9397-08002B2CF9AE}" pid="4" name="_EmailSubject">
    <vt:lpwstr>Request for Module5 Lec4 Excel spreadsheet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ReviewingToolsShownOnce">
    <vt:lpwstr/>
  </property>
</Properties>
</file>